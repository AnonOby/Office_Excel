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anono\Downloads\"/>
    </mc:Choice>
  </mc:AlternateContent>
  <xr:revisionPtr revIDLastSave="0" documentId="13_ncr:1_{28150DD7-C82C-4D22-90C1-89A8ED08574A}" xr6:coauthVersionLast="47" xr6:coauthVersionMax="47" xr10:uidLastSave="{00000000-0000-0000-0000-000000000000}"/>
  <bookViews>
    <workbookView xWindow="-108" yWindow="-108" windowWidth="23256" windowHeight="12456" tabRatio="787" xr2:uid="{00000000-000D-0000-FFFF-FFFF00000000}"/>
  </bookViews>
  <sheets>
    <sheet name="1，表格设计" sheetId="1" r:id="rId1"/>
    <sheet name="2，成绩单计算" sheetId="2" r:id="rId2"/>
    <sheet name="3，数据清洗" sheetId="7" r:id="rId3"/>
    <sheet name="4，统计" sheetId="11" r:id="rId4"/>
    <sheet name="5，透视基础应用(图片)" sheetId="10" r:id="rId5"/>
    <sheet name="5，透视基础应用(透视表)" sheetId="12" r:id="rId6"/>
    <sheet name="6，图表" sheetId="5" r:id="rId7"/>
    <sheet name="英语成绩" sheetId="6" r:id="rId8"/>
    <sheet name="地区表" sheetId="8" r:id="rId9"/>
    <sheet name="透视表数据源" sheetId="9" r:id="rId10"/>
  </sheets>
  <definedNames>
    <definedName name="_xlnm._FilterDatabase" localSheetId="1" hidden="1">'2，成绩单计算'!$A$1:$J$69</definedName>
    <definedName name="_xlnm._FilterDatabase" localSheetId="2" hidden="1">'3，数据清洗'!$A$1:$N$999</definedName>
    <definedName name="_xlnm._FilterDatabase" localSheetId="3" hidden="1">'4，统计'!$A$1:$K$1</definedName>
    <definedName name="_xlnm._FilterDatabase" localSheetId="8" hidden="1">地区表!$A$1:$E$255</definedName>
    <definedName name="Slicer_城市">#N/A</definedName>
    <definedName name="Slicer_城市1">#N/A</definedName>
  </definedNames>
  <calcPr calcId="191029"/>
  <pivotCaches>
    <pivotCache cacheId="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11" l="1"/>
  <c r="M35" i="11"/>
  <c r="M34" i="11"/>
  <c r="M33" i="11"/>
  <c r="M32" i="11"/>
  <c r="M31" i="11"/>
  <c r="M30" i="11"/>
  <c r="M29" i="11"/>
  <c r="M26" i="11"/>
  <c r="M28" i="11"/>
  <c r="M27" i="11"/>
  <c r="M25"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2" i="11"/>
  <c r="G2" i="11"/>
  <c r="I2" i="11" s="1"/>
  <c r="G3" i="11"/>
  <c r="I3" i="11" s="1"/>
  <c r="G4" i="11"/>
  <c r="I4" i="11" s="1"/>
  <c r="G5" i="11"/>
  <c r="I5" i="11" s="1"/>
  <c r="G6" i="11"/>
  <c r="I6" i="11" s="1"/>
  <c r="G7" i="11"/>
  <c r="I7" i="11" s="1"/>
  <c r="G8" i="11"/>
  <c r="I8" i="11" s="1"/>
  <c r="G9" i="11"/>
  <c r="I9" i="11" s="1"/>
  <c r="G10" i="11"/>
  <c r="I10" i="11" s="1"/>
  <c r="G11" i="11"/>
  <c r="I11" i="11" s="1"/>
  <c r="G12" i="11"/>
  <c r="I12" i="11" s="1"/>
  <c r="G13" i="11"/>
  <c r="I13" i="11" s="1"/>
  <c r="G14" i="11"/>
  <c r="I14" i="11" s="1"/>
  <c r="G15" i="11"/>
  <c r="I15" i="11" s="1"/>
  <c r="G16" i="11"/>
  <c r="I16" i="11" s="1"/>
  <c r="G17" i="11"/>
  <c r="I17" i="11" s="1"/>
  <c r="G18" i="11"/>
  <c r="I18" i="11" s="1"/>
  <c r="G19" i="11"/>
  <c r="I19" i="11" s="1"/>
  <c r="G20" i="11"/>
  <c r="I20" i="11" s="1"/>
  <c r="G21" i="11"/>
  <c r="I21" i="11" s="1"/>
  <c r="G22" i="11"/>
  <c r="I22" i="11" s="1"/>
  <c r="G23" i="11"/>
  <c r="I23" i="11" s="1"/>
  <c r="G24" i="11"/>
  <c r="I24" i="11" s="1"/>
  <c r="G25" i="11"/>
  <c r="I25" i="11" s="1"/>
  <c r="G26" i="11"/>
  <c r="I26" i="11" s="1"/>
  <c r="G27" i="11"/>
  <c r="I27" i="11" s="1"/>
  <c r="G28" i="11"/>
  <c r="I28" i="11" s="1"/>
  <c r="G29" i="11"/>
  <c r="I29" i="11" s="1"/>
  <c r="G30" i="11"/>
  <c r="I30" i="11" s="1"/>
  <c r="G31" i="11"/>
  <c r="I31" i="11" s="1"/>
  <c r="G32" i="11"/>
  <c r="I32" i="11" s="1"/>
  <c r="G33" i="11"/>
  <c r="I33" i="11" s="1"/>
  <c r="G34" i="11"/>
  <c r="I34" i="11" s="1"/>
  <c r="G35" i="11"/>
  <c r="I35" i="11" s="1"/>
  <c r="G36" i="11"/>
  <c r="I36" i="11" s="1"/>
  <c r="G37" i="11"/>
  <c r="I37" i="11" s="1"/>
  <c r="G38" i="11"/>
  <c r="I38" i="11" s="1"/>
  <c r="G39" i="11"/>
  <c r="I39" i="11" s="1"/>
  <c r="G40" i="11"/>
  <c r="I40" i="11" s="1"/>
  <c r="G41" i="11"/>
  <c r="I41" i="11" s="1"/>
  <c r="G42" i="11"/>
  <c r="I42" i="11" s="1"/>
  <c r="G43" i="11"/>
  <c r="I43" i="11" s="1"/>
  <c r="G44" i="11"/>
  <c r="I44" i="11" s="1"/>
  <c r="G45" i="11"/>
  <c r="I45" i="11" s="1"/>
  <c r="G46" i="11"/>
  <c r="I46" i="11" s="1"/>
  <c r="G47" i="11"/>
  <c r="I47" i="11" s="1"/>
  <c r="G48" i="11"/>
  <c r="I48" i="11" s="1"/>
  <c r="G49" i="11"/>
  <c r="I49" i="11" s="1"/>
  <c r="G50" i="11"/>
  <c r="I50" i="11" s="1"/>
  <c r="G51" i="11"/>
  <c r="I51" i="11" s="1"/>
  <c r="G52" i="11"/>
  <c r="I52" i="11" s="1"/>
  <c r="G53" i="11"/>
  <c r="I53" i="11" s="1"/>
  <c r="G54" i="11"/>
  <c r="I54" i="11" s="1"/>
  <c r="G55" i="11"/>
  <c r="I55" i="11" s="1"/>
  <c r="G56" i="11"/>
  <c r="I56" i="11" s="1"/>
  <c r="G57" i="11"/>
  <c r="I57" i="11" s="1"/>
  <c r="G58" i="11"/>
  <c r="I58" i="11" s="1"/>
  <c r="G59" i="11"/>
  <c r="I59" i="11" s="1"/>
  <c r="G60" i="11"/>
  <c r="I60" i="11" s="1"/>
  <c r="G61" i="11"/>
  <c r="I61" i="11" s="1"/>
  <c r="G62" i="11"/>
  <c r="I62" i="11" s="1"/>
  <c r="G63" i="11"/>
  <c r="I63" i="11" s="1"/>
  <c r="G64" i="11"/>
  <c r="I64" i="11" s="1"/>
  <c r="G65" i="11"/>
  <c r="I65" i="11" s="1"/>
  <c r="G66" i="11"/>
  <c r="I66" i="11" s="1"/>
  <c r="G67" i="11"/>
  <c r="I67" i="11" s="1"/>
  <c r="G68" i="11"/>
  <c r="I68" i="11" s="1"/>
  <c r="G69" i="11"/>
  <c r="I69" i="11" s="1"/>
  <c r="G70" i="11"/>
  <c r="I70" i="11" s="1"/>
  <c r="G71" i="11"/>
  <c r="I71" i="11" s="1"/>
  <c r="G72" i="11"/>
  <c r="I72" i="11" s="1"/>
  <c r="G73" i="11"/>
  <c r="I73" i="11" s="1"/>
  <c r="G74" i="11"/>
  <c r="I74" i="11" s="1"/>
  <c r="G75" i="11"/>
  <c r="I75" i="11" s="1"/>
  <c r="G76" i="11"/>
  <c r="I76" i="11" s="1"/>
  <c r="G77" i="11"/>
  <c r="I77" i="11" s="1"/>
  <c r="G78" i="11"/>
  <c r="I78" i="11" s="1"/>
  <c r="G79" i="11"/>
  <c r="I79" i="11" s="1"/>
  <c r="G80" i="11"/>
  <c r="I80" i="11" s="1"/>
  <c r="G81" i="11"/>
  <c r="I81" i="11" s="1"/>
  <c r="G82" i="11"/>
  <c r="I82" i="11" s="1"/>
  <c r="G83" i="11"/>
  <c r="I83" i="11" s="1"/>
  <c r="G84" i="11"/>
  <c r="I84" i="11" s="1"/>
  <c r="G85" i="11"/>
  <c r="I85" i="11" s="1"/>
  <c r="G86" i="11"/>
  <c r="I86" i="11" s="1"/>
  <c r="G87" i="11"/>
  <c r="I87" i="11" s="1"/>
  <c r="G88" i="11"/>
  <c r="I88" i="11" s="1"/>
  <c r="G89" i="11"/>
  <c r="I89" i="11" s="1"/>
  <c r="G90" i="11"/>
  <c r="I90" i="11" s="1"/>
  <c r="G91" i="11"/>
  <c r="I91" i="11" s="1"/>
  <c r="G92" i="11"/>
  <c r="I92" i="11" s="1"/>
  <c r="G93" i="11"/>
  <c r="I93" i="11" s="1"/>
  <c r="G94" i="11"/>
  <c r="I94" i="11" s="1"/>
  <c r="G95" i="11"/>
  <c r="I95" i="11" s="1"/>
  <c r="G96" i="11"/>
  <c r="I96" i="11" s="1"/>
  <c r="G97" i="11"/>
  <c r="I97" i="11" s="1"/>
  <c r="G98" i="11"/>
  <c r="I98" i="11" s="1"/>
  <c r="G99" i="11"/>
  <c r="I99" i="11" s="1"/>
  <c r="G100" i="11"/>
  <c r="I100" i="11" s="1"/>
  <c r="G101" i="11"/>
  <c r="I101" i="11" s="1"/>
  <c r="G102" i="11"/>
  <c r="I102" i="11" s="1"/>
  <c r="G103" i="11"/>
  <c r="I103" i="11" s="1"/>
  <c r="G104" i="11"/>
  <c r="I104" i="11" s="1"/>
  <c r="G105" i="11"/>
  <c r="I105" i="11" s="1"/>
  <c r="G106" i="11"/>
  <c r="I106" i="11" s="1"/>
  <c r="G107" i="11"/>
  <c r="I107" i="11" s="1"/>
  <c r="G108" i="11"/>
  <c r="I108" i="11" s="1"/>
  <c r="G109" i="11"/>
  <c r="I109" i="11" s="1"/>
  <c r="G110" i="11"/>
  <c r="I110" i="11" s="1"/>
  <c r="G111" i="11"/>
  <c r="I111" i="11" s="1"/>
  <c r="G112" i="11"/>
  <c r="I112" i="11" s="1"/>
  <c r="G113" i="11"/>
  <c r="I113" i="11" s="1"/>
  <c r="G114" i="11"/>
  <c r="I114" i="11" s="1"/>
  <c r="G115" i="11"/>
  <c r="I115" i="11" s="1"/>
  <c r="G116" i="11"/>
  <c r="I116" i="11" s="1"/>
  <c r="G117" i="11"/>
  <c r="I117" i="11" s="1"/>
  <c r="G118" i="11"/>
  <c r="I118" i="11" s="1"/>
  <c r="G119" i="11"/>
  <c r="I119" i="11" s="1"/>
  <c r="G120" i="11"/>
  <c r="I120" i="11" s="1"/>
  <c r="G121" i="11"/>
  <c r="I121" i="11" s="1"/>
  <c r="G122" i="11"/>
  <c r="I122" i="11" s="1"/>
  <c r="G123" i="11"/>
  <c r="I123" i="11" s="1"/>
  <c r="G124" i="11"/>
  <c r="I124" i="11" s="1"/>
  <c r="G125" i="11"/>
  <c r="I125" i="11" s="1"/>
  <c r="G126" i="11"/>
  <c r="I126" i="11" s="1"/>
  <c r="G127" i="11"/>
  <c r="I127" i="11" s="1"/>
  <c r="G128" i="11"/>
  <c r="I128" i="11" s="1"/>
  <c r="G129" i="11"/>
  <c r="I129" i="11" s="1"/>
  <c r="G130" i="11"/>
  <c r="I130" i="11" s="1"/>
  <c r="G131" i="11"/>
  <c r="I131" i="11" s="1"/>
  <c r="G132" i="11"/>
  <c r="I132" i="11" s="1"/>
  <c r="G133" i="11"/>
  <c r="I133" i="11" s="1"/>
  <c r="G134" i="11"/>
  <c r="I134" i="11" s="1"/>
  <c r="G135" i="11"/>
  <c r="I135" i="11" s="1"/>
  <c r="G136" i="11"/>
  <c r="I136" i="11" s="1"/>
  <c r="G137" i="11"/>
  <c r="I137" i="11" s="1"/>
  <c r="G138" i="11"/>
  <c r="I138" i="11" s="1"/>
  <c r="G139" i="11"/>
  <c r="I139" i="11" s="1"/>
  <c r="G140" i="11"/>
  <c r="I140" i="11" s="1"/>
  <c r="G141" i="11"/>
  <c r="I141" i="11" s="1"/>
  <c r="G142" i="11"/>
  <c r="I142" i="11" s="1"/>
  <c r="G143" i="11"/>
  <c r="I143" i="11" s="1"/>
  <c r="G144" i="11"/>
  <c r="I144" i="11" s="1"/>
  <c r="G145" i="11"/>
  <c r="I145" i="11" s="1"/>
  <c r="G146" i="11"/>
  <c r="I146" i="11" s="1"/>
  <c r="G147" i="11"/>
  <c r="I147" i="11" s="1"/>
  <c r="G148" i="11"/>
  <c r="I148" i="11" s="1"/>
  <c r="G149" i="11"/>
  <c r="I149" i="11" s="1"/>
  <c r="G150" i="11"/>
  <c r="I150" i="11" s="1"/>
  <c r="G151" i="11"/>
  <c r="I151" i="11" s="1"/>
  <c r="G152" i="11"/>
  <c r="I152" i="11" s="1"/>
  <c r="G153" i="11"/>
  <c r="I153" i="11" s="1"/>
  <c r="G154" i="11"/>
  <c r="I154" i="11" s="1"/>
  <c r="G155" i="11"/>
  <c r="I155" i="11" s="1"/>
  <c r="G156" i="11"/>
  <c r="I156" i="11" s="1"/>
  <c r="G157" i="11"/>
  <c r="I157" i="11" s="1"/>
  <c r="G158" i="11"/>
  <c r="I158" i="11" s="1"/>
  <c r="G159" i="11"/>
  <c r="I159" i="11" s="1"/>
  <c r="G160" i="11"/>
  <c r="I160" i="11" s="1"/>
  <c r="G161" i="11"/>
  <c r="I161" i="11" s="1"/>
  <c r="G162" i="11"/>
  <c r="I162" i="11" s="1"/>
  <c r="G163" i="11"/>
  <c r="I163" i="11" s="1"/>
  <c r="G164" i="11"/>
  <c r="I164" i="11" s="1"/>
  <c r="G165" i="11"/>
  <c r="I165" i="11" s="1"/>
  <c r="G166" i="11"/>
  <c r="I166" i="11" s="1"/>
  <c r="G167" i="11"/>
  <c r="I167" i="11" s="1"/>
  <c r="G168" i="11"/>
  <c r="I168" i="11" s="1"/>
  <c r="G169" i="11"/>
  <c r="I169" i="11" s="1"/>
  <c r="G170" i="11"/>
  <c r="I170" i="11" s="1"/>
  <c r="G171" i="11"/>
  <c r="I171" i="11" s="1"/>
  <c r="G172" i="11"/>
  <c r="I172" i="11" s="1"/>
  <c r="G173" i="11"/>
  <c r="I173" i="11" s="1"/>
  <c r="G174" i="11"/>
  <c r="I174" i="11" s="1"/>
  <c r="G175" i="11"/>
  <c r="I175" i="11" s="1"/>
  <c r="G176" i="11"/>
  <c r="I176" i="11" s="1"/>
  <c r="G177" i="11"/>
  <c r="I177" i="11" s="1"/>
  <c r="G178" i="11"/>
  <c r="I178" i="11" s="1"/>
  <c r="G179" i="11"/>
  <c r="I179" i="11" s="1"/>
  <c r="G180" i="11"/>
  <c r="I180" i="11" s="1"/>
  <c r="G181" i="11"/>
  <c r="I181" i="11" s="1"/>
  <c r="G182" i="11"/>
  <c r="I182" i="11" s="1"/>
  <c r="G183" i="11"/>
  <c r="I183" i="11" s="1"/>
  <c r="G184" i="11"/>
  <c r="I184" i="11" s="1"/>
  <c r="G185" i="11"/>
  <c r="I185" i="11" s="1"/>
  <c r="G186" i="11"/>
  <c r="I186" i="11" s="1"/>
  <c r="G187" i="11"/>
  <c r="I187" i="11" s="1"/>
  <c r="G188" i="11"/>
  <c r="I188" i="11" s="1"/>
  <c r="G189" i="11"/>
  <c r="I189" i="11" s="1"/>
  <c r="G190" i="11"/>
  <c r="I190" i="11" s="1"/>
  <c r="G191" i="11"/>
  <c r="I191" i="11" s="1"/>
  <c r="G192" i="11"/>
  <c r="I192" i="11" s="1"/>
  <c r="G193" i="11"/>
  <c r="I193" i="11" s="1"/>
  <c r="G194" i="11"/>
  <c r="I194" i="11" s="1"/>
  <c r="G195" i="11"/>
  <c r="I195" i="11" s="1"/>
  <c r="G196" i="11"/>
  <c r="I196" i="11" s="1"/>
  <c r="G197" i="11"/>
  <c r="I197" i="11" s="1"/>
  <c r="G198" i="11"/>
  <c r="I198" i="11" s="1"/>
  <c r="G199" i="11"/>
  <c r="I199" i="11" s="1"/>
  <c r="G200" i="11"/>
  <c r="I200" i="11" s="1"/>
  <c r="G201" i="11"/>
  <c r="I201" i="11" s="1"/>
  <c r="G202" i="11"/>
  <c r="I202" i="11" s="1"/>
  <c r="G203" i="11"/>
  <c r="I203" i="11" s="1"/>
  <c r="G204" i="11"/>
  <c r="I204" i="11" s="1"/>
  <c r="G205" i="11"/>
  <c r="I205" i="11" s="1"/>
  <c r="G206" i="11"/>
  <c r="I206" i="11" s="1"/>
  <c r="G207" i="11"/>
  <c r="I207" i="11" s="1"/>
  <c r="G208" i="11"/>
  <c r="I208" i="11" s="1"/>
  <c r="G209" i="11"/>
  <c r="I209" i="11" s="1"/>
  <c r="G210" i="11"/>
  <c r="I210" i="11" s="1"/>
  <c r="G211" i="11"/>
  <c r="I211" i="11" s="1"/>
  <c r="G212" i="11"/>
  <c r="I212" i="11" s="1"/>
  <c r="G213" i="11"/>
  <c r="I213" i="11" s="1"/>
  <c r="G214" i="11"/>
  <c r="I214" i="11" s="1"/>
  <c r="G215" i="11"/>
  <c r="I215" i="11" s="1"/>
  <c r="G216" i="11"/>
  <c r="I216" i="11" s="1"/>
  <c r="G217" i="11"/>
  <c r="I217" i="11" s="1"/>
  <c r="G218" i="11"/>
  <c r="I218" i="11" s="1"/>
  <c r="G219" i="11"/>
  <c r="I219" i="11" s="1"/>
  <c r="G220" i="11"/>
  <c r="I220" i="11" s="1"/>
  <c r="G221" i="11"/>
  <c r="I221" i="11" s="1"/>
  <c r="G222" i="11"/>
  <c r="I222" i="11" s="1"/>
  <c r="G223" i="11"/>
  <c r="I223" i="11" s="1"/>
  <c r="G224" i="11"/>
  <c r="I224" i="11" s="1"/>
  <c r="G225" i="11"/>
  <c r="I225" i="11" s="1"/>
  <c r="G226" i="11"/>
  <c r="I226" i="11" s="1"/>
  <c r="G227" i="11"/>
  <c r="I227" i="11" s="1"/>
  <c r="G228" i="11"/>
  <c r="I228" i="11" s="1"/>
  <c r="G229" i="11"/>
  <c r="I229" i="11" s="1"/>
  <c r="G230" i="11"/>
  <c r="I230" i="11" s="1"/>
  <c r="G231" i="11"/>
  <c r="I231" i="11" s="1"/>
  <c r="G232" i="11"/>
  <c r="I232" i="11" s="1"/>
  <c r="G233" i="11"/>
  <c r="I233" i="11" s="1"/>
  <c r="G234" i="11"/>
  <c r="I234" i="11" s="1"/>
  <c r="G235" i="11"/>
  <c r="I235" i="11" s="1"/>
  <c r="G236" i="11"/>
  <c r="I236" i="11" s="1"/>
  <c r="G237" i="11"/>
  <c r="I237" i="11" s="1"/>
  <c r="G238" i="11"/>
  <c r="I238" i="11" s="1"/>
  <c r="G239" i="11"/>
  <c r="I239" i="11" s="1"/>
  <c r="G240" i="11"/>
  <c r="I240" i="11" s="1"/>
  <c r="G241" i="11"/>
  <c r="I241" i="11" s="1"/>
  <c r="G242" i="11"/>
  <c r="I242" i="11" s="1"/>
  <c r="G243" i="11"/>
  <c r="I243" i="11" s="1"/>
  <c r="G244" i="11"/>
  <c r="I244" i="11" s="1"/>
  <c r="G245" i="11"/>
  <c r="I245" i="11" s="1"/>
  <c r="G246" i="11"/>
  <c r="I246" i="11" s="1"/>
  <c r="G247" i="11"/>
  <c r="I247" i="11" s="1"/>
  <c r="G248" i="11"/>
  <c r="I248" i="11" s="1"/>
  <c r="G249" i="11"/>
  <c r="I249" i="11" s="1"/>
  <c r="G250" i="11"/>
  <c r="I250" i="11" s="1"/>
  <c r="G251" i="11"/>
  <c r="I251" i="11" s="1"/>
  <c r="G252" i="11"/>
  <c r="I252" i="11" s="1"/>
  <c r="G253" i="11"/>
  <c r="I253" i="11" s="1"/>
  <c r="G254" i="11"/>
  <c r="I254" i="11" s="1"/>
  <c r="G255" i="11"/>
  <c r="I255" i="11" s="1"/>
  <c r="G256" i="11"/>
  <c r="I256" i="11" s="1"/>
  <c r="G257" i="11"/>
  <c r="I257" i="11" s="1"/>
  <c r="G258" i="11"/>
  <c r="I258" i="11" s="1"/>
  <c r="G259" i="11"/>
  <c r="I259" i="11" s="1"/>
  <c r="G260" i="11"/>
  <c r="I260" i="11" s="1"/>
  <c r="G261" i="11"/>
  <c r="I261" i="11" s="1"/>
  <c r="G262" i="11"/>
  <c r="I262" i="11" s="1"/>
  <c r="G263" i="11"/>
  <c r="I263" i="11" s="1"/>
  <c r="G264" i="11"/>
  <c r="I264" i="11" s="1"/>
  <c r="G265" i="11"/>
  <c r="I265" i="11" s="1"/>
  <c r="G266" i="11"/>
  <c r="I266" i="11" s="1"/>
  <c r="G267" i="11"/>
  <c r="I267" i="11" s="1"/>
  <c r="G268" i="11"/>
  <c r="I268" i="11" s="1"/>
  <c r="G269" i="11"/>
  <c r="I269" i="11" s="1"/>
  <c r="G270" i="11"/>
  <c r="I270" i="11" s="1"/>
  <c r="G271" i="11"/>
  <c r="I271" i="11" s="1"/>
  <c r="G272" i="11"/>
  <c r="I272" i="11" s="1"/>
  <c r="G273" i="11"/>
  <c r="I273" i="11" s="1"/>
  <c r="G274" i="11"/>
  <c r="I274" i="11" s="1"/>
  <c r="G275" i="11"/>
  <c r="I275" i="11" s="1"/>
  <c r="G276" i="11"/>
  <c r="I276" i="11" s="1"/>
  <c r="G277" i="11"/>
  <c r="I277" i="11" s="1"/>
  <c r="G278" i="11"/>
  <c r="I278" i="11" s="1"/>
  <c r="G279" i="11"/>
  <c r="I279" i="11" s="1"/>
  <c r="G280" i="11"/>
  <c r="I280" i="11" s="1"/>
  <c r="G281" i="11"/>
  <c r="I281" i="11" s="1"/>
  <c r="G282" i="11"/>
  <c r="I282" i="11" s="1"/>
  <c r="G283" i="11"/>
  <c r="I283" i="11" s="1"/>
  <c r="G284" i="11"/>
  <c r="I284" i="11" s="1"/>
  <c r="G285" i="11"/>
  <c r="I285" i="11" s="1"/>
  <c r="G286" i="11"/>
  <c r="I286" i="11" s="1"/>
  <c r="G287" i="11"/>
  <c r="I287" i="11" s="1"/>
  <c r="G288" i="11"/>
  <c r="I288" i="11" s="1"/>
  <c r="G289" i="11"/>
  <c r="I289" i="11" s="1"/>
  <c r="G290" i="11"/>
  <c r="I290" i="11" s="1"/>
  <c r="G291" i="11"/>
  <c r="I291" i="11" s="1"/>
  <c r="G292" i="11"/>
  <c r="I292" i="11" s="1"/>
  <c r="G293" i="11"/>
  <c r="I293" i="11" s="1"/>
  <c r="G294" i="11"/>
  <c r="I294" i="11" s="1"/>
  <c r="G295" i="11"/>
  <c r="I295" i="11" s="1"/>
  <c r="G296" i="11"/>
  <c r="I296" i="11" s="1"/>
  <c r="G297" i="11"/>
  <c r="I297" i="11" s="1"/>
  <c r="G298" i="11"/>
  <c r="I298" i="11" s="1"/>
  <c r="G299" i="11"/>
  <c r="I299" i="11" s="1"/>
  <c r="G300" i="11"/>
  <c r="I300" i="11" s="1"/>
  <c r="G301" i="11"/>
  <c r="I301" i="11" s="1"/>
  <c r="G302" i="11"/>
  <c r="I302" i="11" s="1"/>
  <c r="G303" i="11"/>
  <c r="I303" i="11" s="1"/>
  <c r="G304" i="11"/>
  <c r="I304" i="11" s="1"/>
  <c r="G305" i="11"/>
  <c r="I305" i="11" s="1"/>
  <c r="G306" i="11"/>
  <c r="I306" i="11" s="1"/>
  <c r="G307" i="11"/>
  <c r="I307" i="11" s="1"/>
  <c r="G308" i="11"/>
  <c r="I308" i="11" s="1"/>
  <c r="G309" i="11"/>
  <c r="I309" i="11" s="1"/>
  <c r="G310" i="11"/>
  <c r="I310" i="11" s="1"/>
  <c r="G311" i="11"/>
  <c r="I311" i="11" s="1"/>
  <c r="G312" i="11"/>
  <c r="I312" i="11" s="1"/>
  <c r="G313" i="11"/>
  <c r="I313" i="11" s="1"/>
  <c r="G314" i="11"/>
  <c r="I314" i="11" s="1"/>
  <c r="G315" i="11"/>
  <c r="I315" i="11" s="1"/>
  <c r="G316" i="11"/>
  <c r="I316" i="11" s="1"/>
  <c r="G317" i="11"/>
  <c r="I317" i="11" s="1"/>
  <c r="G318" i="11"/>
  <c r="I318" i="11" s="1"/>
  <c r="G319" i="11"/>
  <c r="I319" i="11" s="1"/>
  <c r="G320" i="11"/>
  <c r="I320" i="11" s="1"/>
  <c r="G321" i="11"/>
  <c r="I321" i="11" s="1"/>
  <c r="G322" i="11"/>
  <c r="I322" i="11" s="1"/>
  <c r="G323" i="11"/>
  <c r="I323" i="11" s="1"/>
  <c r="G324" i="11"/>
  <c r="I324" i="11" s="1"/>
  <c r="G325" i="11"/>
  <c r="I325" i="11" s="1"/>
  <c r="G326" i="11"/>
  <c r="I326" i="11" s="1"/>
  <c r="G327" i="11"/>
  <c r="I327" i="11" s="1"/>
  <c r="G328" i="11"/>
  <c r="I328" i="11" s="1"/>
  <c r="G329" i="11"/>
  <c r="I329" i="11" s="1"/>
  <c r="G330" i="11"/>
  <c r="I330" i="11" s="1"/>
  <c r="G331" i="11"/>
  <c r="I331" i="11" s="1"/>
  <c r="G332" i="11"/>
  <c r="I332" i="11" s="1"/>
  <c r="G333" i="11"/>
  <c r="I333" i="11" s="1"/>
  <c r="G334" i="11"/>
  <c r="I334" i="11" s="1"/>
  <c r="G335" i="11"/>
  <c r="I335" i="11" s="1"/>
  <c r="G336" i="11"/>
  <c r="I336" i="11" s="1"/>
  <c r="G337" i="11"/>
  <c r="I337" i="11" s="1"/>
  <c r="G338" i="11"/>
  <c r="I338" i="11" s="1"/>
  <c r="G339" i="11"/>
  <c r="I339" i="11" s="1"/>
  <c r="G340" i="11"/>
  <c r="I340" i="11" s="1"/>
  <c r="G341" i="11"/>
  <c r="I341" i="11" s="1"/>
  <c r="G342" i="11"/>
  <c r="I342" i="11" s="1"/>
  <c r="G343" i="11"/>
  <c r="I343" i="11" s="1"/>
  <c r="G344" i="11"/>
  <c r="I344" i="11" s="1"/>
  <c r="G345" i="11"/>
  <c r="I345" i="11" s="1"/>
  <c r="G346" i="11"/>
  <c r="I346" i="11" s="1"/>
  <c r="G347" i="11"/>
  <c r="I347" i="11" s="1"/>
  <c r="G348" i="11"/>
  <c r="I348" i="11" s="1"/>
  <c r="G349" i="11"/>
  <c r="I349" i="11" s="1"/>
  <c r="G350" i="11"/>
  <c r="I350" i="11" s="1"/>
  <c r="G351" i="11"/>
  <c r="I351" i="11" s="1"/>
  <c r="G352" i="11"/>
  <c r="I352" i="11" s="1"/>
  <c r="G353" i="11"/>
  <c r="I353" i="11" s="1"/>
  <c r="G354" i="11"/>
  <c r="I354" i="11" s="1"/>
  <c r="G355" i="11"/>
  <c r="I355" i="11" s="1"/>
  <c r="G356" i="11"/>
  <c r="I356" i="11" s="1"/>
  <c r="G357" i="11"/>
  <c r="I357" i="11" s="1"/>
  <c r="G358" i="11"/>
  <c r="I358" i="11" s="1"/>
  <c r="G359" i="11"/>
  <c r="I359" i="11" s="1"/>
  <c r="G360" i="11"/>
  <c r="I360" i="11" s="1"/>
  <c r="G361" i="11"/>
  <c r="I361" i="11" s="1"/>
  <c r="G362" i="11"/>
  <c r="I362" i="11" s="1"/>
  <c r="G363" i="11"/>
  <c r="I363" i="11" s="1"/>
  <c r="G364" i="11"/>
  <c r="I364" i="11" s="1"/>
  <c r="G365" i="11"/>
  <c r="I365" i="11" s="1"/>
  <c r="G366" i="11"/>
  <c r="I366" i="11" s="1"/>
  <c r="G367" i="11"/>
  <c r="I367" i="11" s="1"/>
  <c r="G368" i="11"/>
  <c r="I368" i="11" s="1"/>
  <c r="G369" i="11"/>
  <c r="I369" i="11" s="1"/>
  <c r="G370" i="11"/>
  <c r="I370" i="11" s="1"/>
  <c r="G371" i="11"/>
  <c r="I371" i="11" s="1"/>
  <c r="G372" i="11"/>
  <c r="I372" i="11" s="1"/>
  <c r="G373" i="11"/>
  <c r="I373" i="11" s="1"/>
  <c r="G374" i="11"/>
  <c r="I374" i="11" s="1"/>
  <c r="G375" i="11"/>
  <c r="I375" i="11" s="1"/>
  <c r="G376" i="11"/>
  <c r="I376" i="11" s="1"/>
  <c r="G377" i="11"/>
  <c r="I377" i="11" s="1"/>
  <c r="G378" i="11"/>
  <c r="I378" i="11" s="1"/>
  <c r="G379" i="11"/>
  <c r="I379" i="11" s="1"/>
  <c r="G380" i="11"/>
  <c r="I380" i="11" s="1"/>
  <c r="G381" i="11"/>
  <c r="I381" i="11" s="1"/>
  <c r="G382" i="11"/>
  <c r="I382" i="11" s="1"/>
  <c r="G383" i="11"/>
  <c r="I383" i="11" s="1"/>
  <c r="G384" i="11"/>
  <c r="I384" i="11" s="1"/>
  <c r="G385" i="11"/>
  <c r="I385" i="11" s="1"/>
  <c r="G386" i="11"/>
  <c r="I386" i="11" s="1"/>
  <c r="G387" i="11"/>
  <c r="I387" i="11" s="1"/>
  <c r="G388" i="11"/>
  <c r="I388" i="11" s="1"/>
  <c r="G389" i="11"/>
  <c r="I389" i="11" s="1"/>
  <c r="G390" i="11"/>
  <c r="I390" i="11" s="1"/>
  <c r="G391" i="11"/>
  <c r="I391" i="11" s="1"/>
  <c r="G392" i="11"/>
  <c r="I392" i="11" s="1"/>
  <c r="G393" i="11"/>
  <c r="I393" i="11" s="1"/>
  <c r="G394" i="11"/>
  <c r="I394" i="11" s="1"/>
  <c r="G395" i="11"/>
  <c r="I395" i="11" s="1"/>
  <c r="G396" i="11"/>
  <c r="I396" i="11" s="1"/>
  <c r="G397" i="11"/>
  <c r="I397" i="11" s="1"/>
  <c r="G398" i="11"/>
  <c r="I398" i="11" s="1"/>
  <c r="G399" i="11"/>
  <c r="I399" i="11" s="1"/>
  <c r="G400" i="11"/>
  <c r="I400" i="11" s="1"/>
  <c r="G401" i="11"/>
  <c r="I401" i="11" s="1"/>
  <c r="G402" i="11"/>
  <c r="I402" i="11" s="1"/>
  <c r="G403" i="11"/>
  <c r="I403" i="11" s="1"/>
  <c r="G404" i="11"/>
  <c r="I404" i="11" s="1"/>
  <c r="G405" i="11"/>
  <c r="I405" i="11" s="1"/>
  <c r="G406" i="11"/>
  <c r="I406" i="11" s="1"/>
  <c r="G407" i="11"/>
  <c r="I407" i="11" s="1"/>
  <c r="G408" i="11"/>
  <c r="I408" i="11" s="1"/>
  <c r="G409" i="11"/>
  <c r="I409" i="11" s="1"/>
  <c r="G410" i="11"/>
  <c r="I410" i="11" s="1"/>
  <c r="G411" i="11"/>
  <c r="I411" i="11" s="1"/>
  <c r="G412" i="11"/>
  <c r="I412" i="11" s="1"/>
  <c r="G413" i="11"/>
  <c r="I413" i="11" s="1"/>
  <c r="G414" i="11"/>
  <c r="I414" i="11" s="1"/>
  <c r="G415" i="11"/>
  <c r="I415" i="11" s="1"/>
  <c r="G416" i="11"/>
  <c r="I416" i="11" s="1"/>
  <c r="G417" i="11"/>
  <c r="I417" i="11" s="1"/>
  <c r="G418" i="11"/>
  <c r="I418" i="11" s="1"/>
  <c r="G419" i="11"/>
  <c r="I419" i="11" s="1"/>
  <c r="G420" i="11"/>
  <c r="I420" i="11" s="1"/>
  <c r="G421" i="11"/>
  <c r="I421" i="11" s="1"/>
  <c r="G422" i="11"/>
  <c r="I422" i="11" s="1"/>
  <c r="G423" i="11"/>
  <c r="I423" i="11" s="1"/>
  <c r="G424" i="11"/>
  <c r="I424" i="11" s="1"/>
  <c r="G425" i="11"/>
  <c r="I425" i="11" s="1"/>
  <c r="G426" i="11"/>
  <c r="I426" i="11" s="1"/>
  <c r="G427" i="11"/>
  <c r="I427" i="11" s="1"/>
  <c r="G428" i="11"/>
  <c r="I428" i="11" s="1"/>
  <c r="G429" i="11"/>
  <c r="I429" i="11" s="1"/>
  <c r="G430" i="11"/>
  <c r="I430" i="11" s="1"/>
  <c r="G431" i="11"/>
  <c r="I431" i="11" s="1"/>
  <c r="G432" i="11"/>
  <c r="I432" i="11" s="1"/>
  <c r="G433" i="11"/>
  <c r="I433" i="11" s="1"/>
  <c r="G434" i="11"/>
  <c r="I434" i="11" s="1"/>
  <c r="G435" i="11"/>
  <c r="I435" i="11" s="1"/>
  <c r="G436" i="11"/>
  <c r="I436" i="11" s="1"/>
  <c r="G437" i="11"/>
  <c r="I437" i="11" s="1"/>
  <c r="G438" i="11"/>
  <c r="I438" i="11" s="1"/>
  <c r="G439" i="11"/>
  <c r="I439" i="11" s="1"/>
  <c r="G440" i="11"/>
  <c r="I440" i="11" s="1"/>
  <c r="G441" i="11"/>
  <c r="I441" i="11" s="1"/>
  <c r="G442" i="11"/>
  <c r="I442" i="11" s="1"/>
  <c r="G443" i="11"/>
  <c r="I443" i="11" s="1"/>
  <c r="G444" i="11"/>
  <c r="I444" i="11" s="1"/>
  <c r="G445" i="11"/>
  <c r="I445" i="11" s="1"/>
  <c r="G446" i="11"/>
  <c r="I446" i="11" s="1"/>
  <c r="G447" i="11"/>
  <c r="I447" i="11" s="1"/>
  <c r="G448" i="11"/>
  <c r="I448" i="11" s="1"/>
  <c r="G449" i="11"/>
  <c r="I449" i="11" s="1"/>
  <c r="G450" i="11"/>
  <c r="I450" i="11" s="1"/>
  <c r="G451" i="11"/>
  <c r="I451" i="11" s="1"/>
  <c r="G452" i="11"/>
  <c r="I452" i="11" s="1"/>
  <c r="G453" i="11"/>
  <c r="I453" i="11" s="1"/>
  <c r="G454" i="11"/>
  <c r="I454" i="11" s="1"/>
  <c r="G455" i="11"/>
  <c r="I455" i="11" s="1"/>
  <c r="G456" i="11"/>
  <c r="I456" i="11" s="1"/>
  <c r="G457" i="11"/>
  <c r="I457" i="11" s="1"/>
  <c r="G458" i="11"/>
  <c r="I458" i="11" s="1"/>
  <c r="G459" i="11"/>
  <c r="I459" i="11" s="1"/>
  <c r="G460" i="11"/>
  <c r="I460" i="11" s="1"/>
  <c r="G461" i="11"/>
  <c r="I461" i="11" s="1"/>
  <c r="G462" i="11"/>
  <c r="I462" i="11" s="1"/>
  <c r="G463" i="11"/>
  <c r="I463" i="11" s="1"/>
  <c r="G464" i="11"/>
  <c r="I464" i="11" s="1"/>
  <c r="G465" i="11"/>
  <c r="I465" i="11" s="1"/>
  <c r="G466" i="11"/>
  <c r="I466" i="11" s="1"/>
  <c r="G467" i="11"/>
  <c r="I467" i="11" s="1"/>
  <c r="G468" i="11"/>
  <c r="I468" i="11" s="1"/>
  <c r="G469" i="11"/>
  <c r="I469" i="11" s="1"/>
  <c r="G470" i="11"/>
  <c r="I470" i="11" s="1"/>
  <c r="G471" i="11"/>
  <c r="I471" i="11" s="1"/>
  <c r="G472" i="11"/>
  <c r="I472" i="11" s="1"/>
  <c r="G473" i="11"/>
  <c r="I473" i="11" s="1"/>
  <c r="G474" i="11"/>
  <c r="I474" i="11" s="1"/>
  <c r="G475" i="11"/>
  <c r="I475" i="11" s="1"/>
  <c r="G476" i="11"/>
  <c r="I476" i="11" s="1"/>
  <c r="G477" i="11"/>
  <c r="I477" i="11" s="1"/>
  <c r="G478" i="11"/>
  <c r="I478" i="11" s="1"/>
  <c r="G479" i="11"/>
  <c r="I479" i="11" s="1"/>
  <c r="G480" i="11"/>
  <c r="I480" i="11" s="1"/>
  <c r="G481" i="11"/>
  <c r="I481" i="11" s="1"/>
  <c r="G482" i="11"/>
  <c r="I482" i="11" s="1"/>
  <c r="G483" i="11"/>
  <c r="I483" i="11" s="1"/>
  <c r="G484" i="11"/>
  <c r="I484" i="11" s="1"/>
  <c r="G485" i="11"/>
  <c r="I485" i="11" s="1"/>
  <c r="G486" i="11"/>
  <c r="I486" i="11" s="1"/>
  <c r="G487" i="11"/>
  <c r="I487" i="11" s="1"/>
  <c r="G488" i="11"/>
  <c r="I488" i="11" s="1"/>
  <c r="G489" i="11"/>
  <c r="I489" i="11" s="1"/>
  <c r="G490" i="11"/>
  <c r="I490" i="11" s="1"/>
  <c r="G491" i="11"/>
  <c r="I491" i="11" s="1"/>
  <c r="G492" i="11"/>
  <c r="I492" i="11" s="1"/>
  <c r="G493" i="11"/>
  <c r="I493" i="11" s="1"/>
  <c r="G494" i="11"/>
  <c r="I494" i="11" s="1"/>
  <c r="G495" i="11"/>
  <c r="I495" i="11" s="1"/>
  <c r="G496" i="11"/>
  <c r="I496" i="11" s="1"/>
  <c r="G497" i="11"/>
  <c r="I497" i="11" s="1"/>
  <c r="G498" i="11"/>
  <c r="I498" i="11" s="1"/>
  <c r="G499" i="11"/>
  <c r="I499" i="11" s="1"/>
  <c r="G500" i="11"/>
  <c r="I500" i="11" s="1"/>
  <c r="G501" i="11"/>
  <c r="I501" i="11" s="1"/>
  <c r="G502" i="11"/>
  <c r="I502" i="11" s="1"/>
  <c r="G503" i="11"/>
  <c r="I503" i="11" s="1"/>
  <c r="G504" i="11"/>
  <c r="I504" i="11" s="1"/>
  <c r="G505" i="11"/>
  <c r="I505" i="11" s="1"/>
  <c r="G506" i="11"/>
  <c r="I506" i="11" s="1"/>
  <c r="G507" i="11"/>
  <c r="I507" i="11" s="1"/>
  <c r="G508" i="11"/>
  <c r="I508" i="11" s="1"/>
  <c r="G509" i="11"/>
  <c r="I509" i="11" s="1"/>
  <c r="G510" i="11"/>
  <c r="I510" i="11" s="1"/>
  <c r="G511" i="11"/>
  <c r="I511" i="11" s="1"/>
  <c r="G512" i="11"/>
  <c r="I512" i="11" s="1"/>
  <c r="G513" i="11"/>
  <c r="I513" i="11" s="1"/>
  <c r="G514" i="11"/>
  <c r="I514" i="11" s="1"/>
  <c r="G515" i="11"/>
  <c r="I515" i="11" s="1"/>
  <c r="G516" i="11"/>
  <c r="I516" i="11" s="1"/>
  <c r="G517" i="11"/>
  <c r="I517" i="11" s="1"/>
  <c r="G518" i="11"/>
  <c r="I518" i="11" s="1"/>
  <c r="G519" i="11"/>
  <c r="I519" i="11" s="1"/>
  <c r="G520" i="11"/>
  <c r="I520" i="11" s="1"/>
  <c r="G521" i="11"/>
  <c r="I521" i="11" s="1"/>
  <c r="G522" i="11"/>
  <c r="I522" i="11" s="1"/>
  <c r="G523" i="11"/>
  <c r="I523" i="11" s="1"/>
  <c r="G524" i="11"/>
  <c r="I524" i="11" s="1"/>
  <c r="G525" i="11"/>
  <c r="I525" i="11" s="1"/>
  <c r="G526" i="11"/>
  <c r="I526" i="11" s="1"/>
  <c r="G527" i="11"/>
  <c r="I527" i="11" s="1"/>
  <c r="G528" i="11"/>
  <c r="I528" i="11" s="1"/>
  <c r="G529" i="11"/>
  <c r="I529" i="11" s="1"/>
  <c r="G530" i="11"/>
  <c r="I530" i="11" s="1"/>
  <c r="G531" i="11"/>
  <c r="I531" i="11" s="1"/>
  <c r="G532" i="11"/>
  <c r="I532" i="11" s="1"/>
  <c r="G533" i="11"/>
  <c r="I533" i="11" s="1"/>
  <c r="G534" i="11"/>
  <c r="I534" i="11" s="1"/>
  <c r="G535" i="11"/>
  <c r="I535" i="11" s="1"/>
  <c r="G536" i="11"/>
  <c r="I536" i="11" s="1"/>
  <c r="G537" i="11"/>
  <c r="I537" i="11" s="1"/>
  <c r="G538" i="11"/>
  <c r="I538" i="11" s="1"/>
  <c r="G539" i="11"/>
  <c r="I539" i="11" s="1"/>
  <c r="G540" i="11"/>
  <c r="I540" i="11" s="1"/>
  <c r="G541" i="11"/>
  <c r="I541" i="11" s="1"/>
  <c r="G542" i="11"/>
  <c r="I542" i="11" s="1"/>
  <c r="G543" i="11"/>
  <c r="I543" i="11" s="1"/>
  <c r="G544" i="11"/>
  <c r="I544" i="11" s="1"/>
  <c r="G545" i="11"/>
  <c r="I545" i="11" s="1"/>
  <c r="G546" i="11"/>
  <c r="I546" i="11" s="1"/>
  <c r="G547" i="11"/>
  <c r="I547" i="11" s="1"/>
  <c r="G548" i="11"/>
  <c r="I548" i="11" s="1"/>
  <c r="G549" i="11"/>
  <c r="I549" i="11" s="1"/>
  <c r="G550" i="11"/>
  <c r="I550" i="11" s="1"/>
  <c r="G551" i="11"/>
  <c r="I551" i="11" s="1"/>
  <c r="G552" i="11"/>
  <c r="I552" i="11" s="1"/>
  <c r="G553" i="11"/>
  <c r="I553" i="11" s="1"/>
  <c r="G554" i="11"/>
  <c r="I554" i="11" s="1"/>
  <c r="G555" i="11"/>
  <c r="I555" i="11" s="1"/>
  <c r="G556" i="11"/>
  <c r="I556" i="11" s="1"/>
  <c r="G557" i="11"/>
  <c r="I557" i="11" s="1"/>
  <c r="G558" i="11"/>
  <c r="I558" i="11" s="1"/>
  <c r="G559" i="11"/>
  <c r="I559" i="11" s="1"/>
  <c r="G560" i="11"/>
  <c r="I560" i="11" s="1"/>
  <c r="G561" i="11"/>
  <c r="I561" i="11" s="1"/>
  <c r="G562" i="11"/>
  <c r="I562" i="11" s="1"/>
  <c r="G563" i="11"/>
  <c r="I563" i="11" s="1"/>
  <c r="G564" i="11"/>
  <c r="I564" i="11" s="1"/>
  <c r="G565" i="11"/>
  <c r="I565" i="11" s="1"/>
  <c r="G566" i="11"/>
  <c r="I566" i="11" s="1"/>
  <c r="G567" i="11"/>
  <c r="I567" i="11" s="1"/>
  <c r="G568" i="11"/>
  <c r="I568" i="11" s="1"/>
  <c r="G569" i="11"/>
  <c r="I569" i="11" s="1"/>
  <c r="G570" i="11"/>
  <c r="I570" i="11" s="1"/>
  <c r="G571" i="11"/>
  <c r="I571" i="11" s="1"/>
  <c r="G572" i="11"/>
  <c r="I572" i="11" s="1"/>
  <c r="G573" i="11"/>
  <c r="I573" i="11" s="1"/>
  <c r="G574" i="11"/>
  <c r="I574" i="11" s="1"/>
  <c r="G575" i="11"/>
  <c r="I575" i="11" s="1"/>
  <c r="G576" i="11"/>
  <c r="I576" i="11" s="1"/>
  <c r="G577" i="11"/>
  <c r="I577" i="11" s="1"/>
  <c r="G578" i="11"/>
  <c r="I578" i="11" s="1"/>
  <c r="G579" i="11"/>
  <c r="I579" i="11" s="1"/>
  <c r="G580" i="11"/>
  <c r="I580" i="11" s="1"/>
  <c r="G581" i="11"/>
  <c r="I581" i="11" s="1"/>
  <c r="G582" i="11"/>
  <c r="I582" i="11" s="1"/>
  <c r="G583" i="11"/>
  <c r="I583" i="11" s="1"/>
  <c r="G584" i="11"/>
  <c r="I584" i="11" s="1"/>
  <c r="G585" i="11"/>
  <c r="I585" i="11" s="1"/>
  <c r="G586" i="11"/>
  <c r="I586" i="11" s="1"/>
  <c r="G587" i="11"/>
  <c r="I587" i="11" s="1"/>
  <c r="G588" i="11"/>
  <c r="I588" i="11" s="1"/>
  <c r="G589" i="11"/>
  <c r="I589" i="11" s="1"/>
  <c r="G590" i="11"/>
  <c r="I590" i="11" s="1"/>
  <c r="G591" i="11"/>
  <c r="I591" i="11" s="1"/>
  <c r="G592" i="11"/>
  <c r="I592" i="11" s="1"/>
  <c r="G593" i="11"/>
  <c r="I593" i="11" s="1"/>
  <c r="G594" i="11"/>
  <c r="I594" i="11" s="1"/>
  <c r="G595" i="11"/>
  <c r="I595" i="11" s="1"/>
  <c r="G596" i="11"/>
  <c r="I596" i="11" s="1"/>
  <c r="G597" i="11"/>
  <c r="I597" i="11" s="1"/>
  <c r="G598" i="11"/>
  <c r="I598" i="11" s="1"/>
  <c r="G599" i="11"/>
  <c r="I599" i="11" s="1"/>
  <c r="G600" i="11"/>
  <c r="I600" i="11" s="1"/>
  <c r="G601" i="11"/>
  <c r="I601" i="11" s="1"/>
  <c r="G602" i="11"/>
  <c r="I602" i="11" s="1"/>
  <c r="G603" i="11"/>
  <c r="I603" i="11" s="1"/>
  <c r="G604" i="11"/>
  <c r="I604" i="11" s="1"/>
  <c r="G605" i="11"/>
  <c r="I605" i="11" s="1"/>
  <c r="G606" i="11"/>
  <c r="I606" i="11" s="1"/>
  <c r="G607" i="11"/>
  <c r="I607" i="11" s="1"/>
  <c r="G608" i="11"/>
  <c r="I608" i="11" s="1"/>
  <c r="G609" i="11"/>
  <c r="I609" i="11" s="1"/>
  <c r="G610" i="11"/>
  <c r="I610" i="11" s="1"/>
  <c r="G611" i="11"/>
  <c r="I611" i="11" s="1"/>
  <c r="G612" i="11"/>
  <c r="I612" i="11" s="1"/>
  <c r="G613" i="11"/>
  <c r="I613" i="11" s="1"/>
  <c r="G614" i="11"/>
  <c r="I614" i="11" s="1"/>
  <c r="G615" i="11"/>
  <c r="I615" i="11" s="1"/>
  <c r="G616" i="11"/>
  <c r="I616" i="11" s="1"/>
  <c r="G617" i="11"/>
  <c r="I617" i="11" s="1"/>
  <c r="G618" i="11"/>
  <c r="I618" i="11" s="1"/>
  <c r="G619" i="11"/>
  <c r="I619" i="11" s="1"/>
  <c r="G620" i="11"/>
  <c r="I620" i="11" s="1"/>
  <c r="G621" i="11"/>
  <c r="I621" i="11" s="1"/>
  <c r="G622" i="11"/>
  <c r="I622" i="11" s="1"/>
  <c r="G623" i="11"/>
  <c r="I623" i="11" s="1"/>
  <c r="G624" i="11"/>
  <c r="I624" i="11" s="1"/>
  <c r="G625" i="11"/>
  <c r="I625" i="11" s="1"/>
  <c r="G626" i="11"/>
  <c r="I626" i="11" s="1"/>
  <c r="G627" i="11"/>
  <c r="I627" i="11" s="1"/>
  <c r="G628" i="11"/>
  <c r="I628" i="11" s="1"/>
  <c r="G629" i="11"/>
  <c r="I629" i="11" s="1"/>
  <c r="G630" i="11"/>
  <c r="I630" i="11" s="1"/>
  <c r="G631" i="11"/>
  <c r="I631" i="11" s="1"/>
  <c r="G632" i="11"/>
  <c r="I632" i="11" s="1"/>
  <c r="G633" i="11"/>
  <c r="I633" i="11" s="1"/>
  <c r="G634" i="11"/>
  <c r="I634" i="11" s="1"/>
  <c r="G635" i="11"/>
  <c r="I635" i="11" s="1"/>
  <c r="G636" i="11"/>
  <c r="I636" i="11" s="1"/>
  <c r="G637" i="11"/>
  <c r="I637" i="11" s="1"/>
  <c r="G638" i="11"/>
  <c r="I638" i="11" s="1"/>
  <c r="G639" i="11"/>
  <c r="I639" i="11" s="1"/>
  <c r="G640" i="11"/>
  <c r="I640" i="11" s="1"/>
  <c r="G641" i="11"/>
  <c r="I641" i="11" s="1"/>
  <c r="G642" i="11"/>
  <c r="I642" i="11" s="1"/>
  <c r="G643" i="11"/>
  <c r="I643" i="11" s="1"/>
  <c r="G644" i="11"/>
  <c r="I644" i="11" s="1"/>
  <c r="G645" i="11"/>
  <c r="I645" i="11" s="1"/>
  <c r="G646" i="11"/>
  <c r="I646" i="11" s="1"/>
  <c r="G647" i="11"/>
  <c r="I647" i="11" s="1"/>
  <c r="G648" i="11"/>
  <c r="I648" i="11" s="1"/>
  <c r="G649" i="11"/>
  <c r="I649" i="11" s="1"/>
  <c r="G650" i="11"/>
  <c r="I650" i="11" s="1"/>
  <c r="G651" i="11"/>
  <c r="I651" i="11" s="1"/>
  <c r="G652" i="11"/>
  <c r="I652" i="11" s="1"/>
  <c r="G653" i="11"/>
  <c r="I653" i="11" s="1"/>
  <c r="G654" i="11"/>
  <c r="I654" i="11" s="1"/>
  <c r="G655" i="11"/>
  <c r="I655" i="11" s="1"/>
  <c r="G656" i="11"/>
  <c r="I656" i="11" s="1"/>
  <c r="G657" i="11"/>
  <c r="I657" i="11" s="1"/>
  <c r="G658" i="11"/>
  <c r="I658" i="11" s="1"/>
  <c r="G659" i="11"/>
  <c r="I659" i="11" s="1"/>
  <c r="G660" i="11"/>
  <c r="I660" i="11" s="1"/>
  <c r="G661" i="11"/>
  <c r="I661" i="11" s="1"/>
  <c r="G662" i="11"/>
  <c r="I662" i="11" s="1"/>
  <c r="G663" i="11"/>
  <c r="I663" i="11" s="1"/>
  <c r="G664" i="11"/>
  <c r="I664" i="11" s="1"/>
  <c r="G665" i="11"/>
  <c r="I665" i="11" s="1"/>
  <c r="G666" i="11"/>
  <c r="I666" i="11" s="1"/>
  <c r="G667" i="11"/>
  <c r="I667" i="11" s="1"/>
  <c r="G668" i="11"/>
  <c r="I668" i="11" s="1"/>
  <c r="G669" i="11"/>
  <c r="I669" i="11" s="1"/>
  <c r="G670" i="11"/>
  <c r="I670" i="11" s="1"/>
  <c r="G671" i="11"/>
  <c r="I671" i="11" s="1"/>
  <c r="G672" i="11"/>
  <c r="I672" i="11" s="1"/>
  <c r="G673" i="11"/>
  <c r="I673" i="11" s="1"/>
  <c r="G674" i="11"/>
  <c r="I674" i="11" s="1"/>
  <c r="G675" i="11"/>
  <c r="I675" i="11" s="1"/>
  <c r="G676" i="11"/>
  <c r="I676" i="11" s="1"/>
  <c r="G677" i="11"/>
  <c r="I677" i="11" s="1"/>
  <c r="G678" i="11"/>
  <c r="I678" i="11" s="1"/>
  <c r="G679" i="11"/>
  <c r="I679" i="11" s="1"/>
  <c r="G680" i="11"/>
  <c r="I680" i="11" s="1"/>
  <c r="G681" i="11"/>
  <c r="I681" i="11" s="1"/>
  <c r="G682" i="11"/>
  <c r="I682" i="11" s="1"/>
  <c r="G683" i="11"/>
  <c r="I683" i="11" s="1"/>
  <c r="G684" i="11"/>
  <c r="I684" i="11" s="1"/>
  <c r="G685" i="11"/>
  <c r="I685" i="11" s="1"/>
  <c r="G686" i="11"/>
  <c r="I686" i="11" s="1"/>
  <c r="G687" i="11"/>
  <c r="I687" i="11" s="1"/>
  <c r="G688" i="11"/>
  <c r="I688" i="11" s="1"/>
  <c r="G689" i="11"/>
  <c r="I689" i="11" s="1"/>
  <c r="G690" i="11"/>
  <c r="I690" i="11" s="1"/>
  <c r="G691" i="11"/>
  <c r="I691" i="11" s="1"/>
  <c r="G692" i="11"/>
  <c r="I692" i="11" s="1"/>
  <c r="G693" i="11"/>
  <c r="I693" i="11" s="1"/>
  <c r="G694" i="11"/>
  <c r="I694" i="11" s="1"/>
  <c r="G695" i="11"/>
  <c r="I695" i="11" s="1"/>
  <c r="G696" i="11"/>
  <c r="I696" i="11" s="1"/>
  <c r="G697" i="11"/>
  <c r="I697" i="11" s="1"/>
  <c r="G698" i="11"/>
  <c r="I698" i="11" s="1"/>
  <c r="G699" i="11"/>
  <c r="I699" i="11" s="1"/>
  <c r="G700" i="11"/>
  <c r="I700" i="11" s="1"/>
  <c r="G701" i="11"/>
  <c r="I701" i="11" s="1"/>
  <c r="G702" i="11"/>
  <c r="I702" i="11" s="1"/>
  <c r="G703" i="11"/>
  <c r="I703" i="11" s="1"/>
  <c r="G704" i="11"/>
  <c r="I704" i="11" s="1"/>
  <c r="G705" i="11"/>
  <c r="I705" i="11" s="1"/>
  <c r="G706" i="11"/>
  <c r="I706" i="11" s="1"/>
  <c r="G707" i="11"/>
  <c r="I707" i="11" s="1"/>
  <c r="G708" i="11"/>
  <c r="I708" i="11" s="1"/>
  <c r="G709" i="11"/>
  <c r="I709" i="11" s="1"/>
  <c r="G710" i="11"/>
  <c r="I710" i="11" s="1"/>
  <c r="G711" i="11"/>
  <c r="I711" i="11" s="1"/>
  <c r="G712" i="11"/>
  <c r="I712" i="11" s="1"/>
  <c r="G713" i="11"/>
  <c r="I713" i="11" s="1"/>
  <c r="G714" i="11"/>
  <c r="I714" i="11" s="1"/>
  <c r="G715" i="11"/>
  <c r="I715" i="11" s="1"/>
  <c r="G716" i="11"/>
  <c r="I716" i="11" s="1"/>
  <c r="G717" i="11"/>
  <c r="I717" i="11" s="1"/>
  <c r="G718" i="11"/>
  <c r="I718" i="11" s="1"/>
  <c r="G719" i="11"/>
  <c r="I719" i="11" s="1"/>
  <c r="G720" i="11"/>
  <c r="I720" i="11" s="1"/>
  <c r="G721" i="11"/>
  <c r="I721" i="11" s="1"/>
  <c r="G722" i="11"/>
  <c r="I722" i="11" s="1"/>
  <c r="G723" i="11"/>
  <c r="I723" i="11" s="1"/>
  <c r="G724" i="11"/>
  <c r="I724" i="11" s="1"/>
  <c r="G725" i="11"/>
  <c r="I725" i="11" s="1"/>
  <c r="G726" i="11"/>
  <c r="I726" i="11" s="1"/>
  <c r="G727" i="11"/>
  <c r="I727" i="11" s="1"/>
  <c r="G728" i="11"/>
  <c r="I728" i="11" s="1"/>
  <c r="G729" i="11"/>
  <c r="I729" i="11" s="1"/>
  <c r="G730" i="11"/>
  <c r="I730" i="11" s="1"/>
  <c r="G731" i="11"/>
  <c r="I731" i="11" s="1"/>
  <c r="G732" i="11"/>
  <c r="I732" i="11" s="1"/>
  <c r="G733" i="11"/>
  <c r="I733" i="11" s="1"/>
  <c r="G734" i="11"/>
  <c r="I734" i="11" s="1"/>
  <c r="G735" i="11"/>
  <c r="I735" i="11" s="1"/>
  <c r="G736" i="11"/>
  <c r="I736" i="11" s="1"/>
  <c r="G737" i="11"/>
  <c r="I737" i="11" s="1"/>
  <c r="G738" i="11"/>
  <c r="I738" i="11" s="1"/>
  <c r="G739" i="11"/>
  <c r="I739" i="11" s="1"/>
  <c r="G740" i="11"/>
  <c r="I740" i="11" s="1"/>
  <c r="G741" i="11"/>
  <c r="I741" i="11" s="1"/>
  <c r="G742" i="11"/>
  <c r="I742" i="11" s="1"/>
  <c r="G743" i="11"/>
  <c r="I743" i="11" s="1"/>
  <c r="G744" i="11"/>
  <c r="I744" i="11" s="1"/>
  <c r="G745" i="11"/>
  <c r="I745" i="11" s="1"/>
  <c r="G746" i="11"/>
  <c r="I746" i="11" s="1"/>
  <c r="G747" i="11"/>
  <c r="I747" i="11" s="1"/>
  <c r="G748" i="11"/>
  <c r="I748" i="11" s="1"/>
  <c r="G749" i="11"/>
  <c r="I749" i="11" s="1"/>
  <c r="G750" i="11"/>
  <c r="I750" i="11" s="1"/>
  <c r="G751" i="11"/>
  <c r="I751" i="11" s="1"/>
  <c r="G752" i="11"/>
  <c r="I752" i="11" s="1"/>
  <c r="G753" i="11"/>
  <c r="I753" i="11" s="1"/>
  <c r="G754" i="11"/>
  <c r="I754" i="11" s="1"/>
  <c r="G755" i="11"/>
  <c r="I755" i="11" s="1"/>
  <c r="G756" i="11"/>
  <c r="I756" i="11" s="1"/>
  <c r="G757" i="11"/>
  <c r="I757" i="11" s="1"/>
  <c r="G758" i="11"/>
  <c r="I758" i="11" s="1"/>
  <c r="G759" i="11"/>
  <c r="I759" i="11" s="1"/>
  <c r="G760" i="11"/>
  <c r="I760" i="11" s="1"/>
  <c r="G761" i="11"/>
  <c r="I761" i="11" s="1"/>
  <c r="G762" i="11"/>
  <c r="I762" i="11" s="1"/>
  <c r="G763" i="11"/>
  <c r="I763" i="11" s="1"/>
  <c r="G764" i="11"/>
  <c r="I764" i="11" s="1"/>
  <c r="G765" i="11"/>
  <c r="I765" i="11" s="1"/>
  <c r="G766" i="11"/>
  <c r="I766" i="11" s="1"/>
  <c r="G767" i="11"/>
  <c r="I767" i="11" s="1"/>
  <c r="G768" i="11"/>
  <c r="I768" i="11" s="1"/>
  <c r="G769" i="11"/>
  <c r="I769" i="11" s="1"/>
  <c r="G770" i="11"/>
  <c r="I770" i="11" s="1"/>
  <c r="G771" i="11"/>
  <c r="I771" i="11" s="1"/>
  <c r="G772" i="11"/>
  <c r="I772" i="11" s="1"/>
  <c r="G773" i="11"/>
  <c r="I773" i="11" s="1"/>
  <c r="G774" i="11"/>
  <c r="I774" i="11" s="1"/>
  <c r="G775" i="11"/>
  <c r="I775" i="11" s="1"/>
  <c r="G776" i="11"/>
  <c r="I776" i="11" s="1"/>
  <c r="G777" i="11"/>
  <c r="I777" i="11" s="1"/>
  <c r="G778" i="11"/>
  <c r="I778" i="11" s="1"/>
  <c r="G779" i="11"/>
  <c r="I779" i="11" s="1"/>
  <c r="G780" i="11"/>
  <c r="I780" i="11" s="1"/>
  <c r="G781" i="11"/>
  <c r="I781" i="11" s="1"/>
  <c r="G782" i="11"/>
  <c r="I782" i="11" s="1"/>
  <c r="G783" i="11"/>
  <c r="I783" i="11" s="1"/>
  <c r="G784" i="11"/>
  <c r="I784" i="11" s="1"/>
  <c r="G785" i="11"/>
  <c r="I785" i="11" s="1"/>
  <c r="G786" i="11"/>
  <c r="I786" i="11" s="1"/>
  <c r="G787" i="11"/>
  <c r="I787" i="11" s="1"/>
  <c r="G788" i="11"/>
  <c r="I788" i="11" s="1"/>
  <c r="G789" i="11"/>
  <c r="I789" i="11" s="1"/>
  <c r="G790" i="11"/>
  <c r="I790" i="11" s="1"/>
  <c r="G791" i="11"/>
  <c r="I791" i="11" s="1"/>
  <c r="G792" i="11"/>
  <c r="I792" i="11" s="1"/>
  <c r="G793" i="11"/>
  <c r="I793" i="11" s="1"/>
  <c r="G794" i="11"/>
  <c r="I794" i="11" s="1"/>
  <c r="G795" i="11"/>
  <c r="I795" i="11" s="1"/>
  <c r="G796" i="11"/>
  <c r="I796" i="11" s="1"/>
  <c r="G797" i="11"/>
  <c r="I797" i="11" s="1"/>
  <c r="G798" i="11"/>
  <c r="I798" i="11" s="1"/>
  <c r="G799" i="11"/>
  <c r="I799" i="11" s="1"/>
  <c r="G800" i="11"/>
  <c r="I800" i="11" s="1"/>
  <c r="G801" i="11"/>
  <c r="I801" i="11" s="1"/>
  <c r="G802" i="11"/>
  <c r="I802" i="11" s="1"/>
  <c r="G803" i="11"/>
  <c r="I803" i="11" s="1"/>
  <c r="G804" i="11"/>
  <c r="I804" i="11" s="1"/>
  <c r="G805" i="11"/>
  <c r="I805" i="11" s="1"/>
  <c r="G806" i="11"/>
  <c r="I806" i="11" s="1"/>
  <c r="G807" i="11"/>
  <c r="I807" i="11" s="1"/>
  <c r="G808" i="11"/>
  <c r="I808" i="11" s="1"/>
  <c r="G809" i="11"/>
  <c r="I809" i="11" s="1"/>
  <c r="G810" i="11"/>
  <c r="I810" i="11" s="1"/>
  <c r="G811" i="11"/>
  <c r="I811" i="11" s="1"/>
  <c r="G812" i="11"/>
  <c r="I812" i="11" s="1"/>
  <c r="G813" i="11"/>
  <c r="I813" i="11" s="1"/>
  <c r="G814" i="11"/>
  <c r="I814" i="11" s="1"/>
  <c r="G815" i="11"/>
  <c r="I815" i="11" s="1"/>
  <c r="G816" i="11"/>
  <c r="I816" i="11" s="1"/>
  <c r="G817" i="11"/>
  <c r="I817" i="11" s="1"/>
  <c r="G818" i="11"/>
  <c r="I818" i="11" s="1"/>
  <c r="G819" i="11"/>
  <c r="I819" i="11" s="1"/>
  <c r="G820" i="11"/>
  <c r="I820" i="11" s="1"/>
  <c r="G821" i="11"/>
  <c r="I821" i="11" s="1"/>
  <c r="G822" i="11"/>
  <c r="I822" i="11" s="1"/>
  <c r="G823" i="11"/>
  <c r="I823" i="11" s="1"/>
  <c r="G824" i="11"/>
  <c r="I824" i="11" s="1"/>
  <c r="G825" i="11"/>
  <c r="I825" i="11" s="1"/>
  <c r="G826" i="11"/>
  <c r="I826" i="11" s="1"/>
  <c r="G827" i="11"/>
  <c r="I827" i="11" s="1"/>
  <c r="G828" i="11"/>
  <c r="I828" i="11" s="1"/>
  <c r="G829" i="11"/>
  <c r="I829" i="11" s="1"/>
  <c r="G830" i="11"/>
  <c r="I830" i="11" s="1"/>
  <c r="G831" i="11"/>
  <c r="I831" i="11" s="1"/>
  <c r="G832" i="11"/>
  <c r="I832" i="11" s="1"/>
  <c r="G833" i="11"/>
  <c r="I833" i="11" s="1"/>
  <c r="G834" i="11"/>
  <c r="I834" i="11" s="1"/>
  <c r="G835" i="11"/>
  <c r="I835" i="11" s="1"/>
  <c r="G836" i="11"/>
  <c r="I836" i="11" s="1"/>
  <c r="G837" i="11"/>
  <c r="I837" i="11" s="1"/>
  <c r="G838" i="11"/>
  <c r="I838" i="11" s="1"/>
  <c r="G839" i="11"/>
  <c r="I839" i="11" s="1"/>
  <c r="G840" i="11"/>
  <c r="I840" i="11" s="1"/>
  <c r="G841" i="11"/>
  <c r="I841" i="11" s="1"/>
  <c r="G842" i="11"/>
  <c r="I842" i="11" s="1"/>
  <c r="G843" i="11"/>
  <c r="I843" i="11" s="1"/>
  <c r="G844" i="11"/>
  <c r="I844" i="11" s="1"/>
  <c r="G845" i="11"/>
  <c r="I845" i="11" s="1"/>
  <c r="G846" i="11"/>
  <c r="I846" i="11" s="1"/>
  <c r="G847" i="11"/>
  <c r="I847" i="11" s="1"/>
  <c r="G848" i="11"/>
  <c r="I848" i="11" s="1"/>
  <c r="G849" i="11"/>
  <c r="I849" i="11" s="1"/>
  <c r="G850" i="11"/>
  <c r="I850" i="11" s="1"/>
  <c r="G851" i="11"/>
  <c r="I851" i="11" s="1"/>
  <c r="G852" i="11"/>
  <c r="I852" i="11" s="1"/>
  <c r="G853" i="11"/>
  <c r="I853" i="11" s="1"/>
  <c r="G854" i="11"/>
  <c r="I854" i="11" s="1"/>
  <c r="G855" i="11"/>
  <c r="I855" i="11" s="1"/>
  <c r="G856" i="11"/>
  <c r="I856" i="11" s="1"/>
  <c r="G857" i="11"/>
  <c r="I857" i="11" s="1"/>
  <c r="G858" i="11"/>
  <c r="I858" i="11" s="1"/>
  <c r="G859" i="11"/>
  <c r="I859" i="11" s="1"/>
  <c r="G860" i="11"/>
  <c r="I860" i="11" s="1"/>
  <c r="G861" i="11"/>
  <c r="I861" i="11" s="1"/>
  <c r="G862" i="11"/>
  <c r="I862" i="11" s="1"/>
  <c r="G863" i="11"/>
  <c r="I863" i="11" s="1"/>
  <c r="G864" i="11"/>
  <c r="I864" i="11" s="1"/>
  <c r="G865" i="11"/>
  <c r="I865" i="11" s="1"/>
  <c r="G866" i="11"/>
  <c r="I866" i="11" s="1"/>
  <c r="G867" i="11"/>
  <c r="I867" i="11" s="1"/>
  <c r="G868" i="11"/>
  <c r="I868" i="11" s="1"/>
  <c r="G869" i="11"/>
  <c r="I869" i="11" s="1"/>
  <c r="G870" i="11"/>
  <c r="I870" i="11" s="1"/>
  <c r="G871" i="11"/>
  <c r="I871" i="11" s="1"/>
  <c r="G872" i="11"/>
  <c r="I872" i="11" s="1"/>
  <c r="G873" i="11"/>
  <c r="I873" i="11" s="1"/>
  <c r="G874" i="11"/>
  <c r="I874" i="11" s="1"/>
  <c r="G875" i="11"/>
  <c r="I875" i="11" s="1"/>
  <c r="G876" i="11"/>
  <c r="I876" i="11" s="1"/>
  <c r="G877" i="11"/>
  <c r="I877" i="11" s="1"/>
  <c r="G878" i="11"/>
  <c r="I878" i="11" s="1"/>
  <c r="G879" i="11"/>
  <c r="I879" i="11" s="1"/>
  <c r="G880" i="11"/>
  <c r="I880" i="11" s="1"/>
  <c r="G881" i="11"/>
  <c r="I881" i="11" s="1"/>
  <c r="G882" i="11"/>
  <c r="I882" i="11" s="1"/>
  <c r="G883" i="11"/>
  <c r="I883" i="11" s="1"/>
  <c r="G884" i="11"/>
  <c r="I884" i="11" s="1"/>
  <c r="G885" i="11"/>
  <c r="I885" i="11" s="1"/>
  <c r="G886" i="11"/>
  <c r="I886" i="11" s="1"/>
  <c r="G887" i="11"/>
  <c r="I887" i="11" s="1"/>
  <c r="G888" i="11"/>
  <c r="I888" i="11" s="1"/>
  <c r="G889" i="11"/>
  <c r="I889" i="11" s="1"/>
  <c r="G890" i="11"/>
  <c r="I890" i="11" s="1"/>
  <c r="G891" i="11"/>
  <c r="I891" i="11" s="1"/>
  <c r="G892" i="11"/>
  <c r="I892" i="11" s="1"/>
  <c r="G893" i="11"/>
  <c r="I893" i="11" s="1"/>
  <c r="G894" i="11"/>
  <c r="I894" i="11" s="1"/>
  <c r="G895" i="11"/>
  <c r="I895" i="11" s="1"/>
  <c r="G896" i="11"/>
  <c r="I896" i="11" s="1"/>
  <c r="G897" i="11"/>
  <c r="I897" i="11" s="1"/>
  <c r="G898" i="11"/>
  <c r="I898" i="11" s="1"/>
  <c r="G899" i="11"/>
  <c r="I899" i="11" s="1"/>
  <c r="G900" i="11"/>
  <c r="I900" i="11" s="1"/>
  <c r="G901" i="11"/>
  <c r="I901" i="11" s="1"/>
  <c r="G902" i="11"/>
  <c r="I902" i="11" s="1"/>
  <c r="G903" i="11"/>
  <c r="I903" i="11" s="1"/>
  <c r="G904" i="11"/>
  <c r="I904" i="11" s="1"/>
  <c r="G905" i="11"/>
  <c r="I905" i="11" s="1"/>
  <c r="G906" i="11"/>
  <c r="I906" i="11" s="1"/>
  <c r="G907" i="11"/>
  <c r="I907" i="11" s="1"/>
  <c r="G908" i="11"/>
  <c r="I908" i="11" s="1"/>
  <c r="G909" i="11"/>
  <c r="I909" i="11" s="1"/>
  <c r="G910" i="11"/>
  <c r="I910" i="11" s="1"/>
  <c r="G911" i="11"/>
  <c r="I911" i="11" s="1"/>
  <c r="G912" i="11"/>
  <c r="I912" i="11" s="1"/>
  <c r="G913" i="11"/>
  <c r="I913" i="11" s="1"/>
  <c r="G914" i="11"/>
  <c r="I914" i="11" s="1"/>
  <c r="G915" i="11"/>
  <c r="I915" i="11" s="1"/>
  <c r="G916" i="11"/>
  <c r="I916" i="11" s="1"/>
  <c r="G917" i="11"/>
  <c r="I917" i="11" s="1"/>
  <c r="G918" i="11"/>
  <c r="I918" i="11" s="1"/>
  <c r="G919" i="11"/>
  <c r="I919" i="11" s="1"/>
  <c r="G920" i="11"/>
  <c r="I920" i="11" s="1"/>
  <c r="G921" i="11"/>
  <c r="I921" i="11" s="1"/>
  <c r="G922" i="11"/>
  <c r="I922" i="11" s="1"/>
  <c r="G923" i="11"/>
  <c r="I923" i="11" s="1"/>
  <c r="G924" i="11"/>
  <c r="I924" i="11" s="1"/>
  <c r="G925" i="11"/>
  <c r="I925" i="11" s="1"/>
  <c r="G926" i="11"/>
  <c r="I926" i="11" s="1"/>
  <c r="G927" i="11"/>
  <c r="I927" i="11" s="1"/>
  <c r="G928" i="11"/>
  <c r="I928" i="11" s="1"/>
  <c r="G929" i="11"/>
  <c r="I929" i="11" s="1"/>
  <c r="G930" i="11"/>
  <c r="I930" i="11" s="1"/>
  <c r="G931" i="11"/>
  <c r="I931" i="11" s="1"/>
  <c r="G932" i="11"/>
  <c r="I932" i="11" s="1"/>
  <c r="G933" i="11"/>
  <c r="I933" i="11" s="1"/>
  <c r="G934" i="11"/>
  <c r="I934" i="11" s="1"/>
  <c r="G935" i="11"/>
  <c r="I935" i="11" s="1"/>
  <c r="G936" i="11"/>
  <c r="I936" i="11" s="1"/>
  <c r="G937" i="11"/>
  <c r="I937" i="11" s="1"/>
  <c r="G938" i="11"/>
  <c r="I938" i="11" s="1"/>
  <c r="G939" i="11"/>
  <c r="I939" i="11" s="1"/>
  <c r="G940" i="11"/>
  <c r="I940" i="11" s="1"/>
  <c r="G941" i="11"/>
  <c r="I941" i="11" s="1"/>
  <c r="G942" i="11"/>
  <c r="I942" i="11" s="1"/>
  <c r="G943" i="11"/>
  <c r="I943" i="11" s="1"/>
  <c r="G944" i="11"/>
  <c r="I944" i="11" s="1"/>
  <c r="G945" i="11"/>
  <c r="I945" i="11" s="1"/>
  <c r="G946" i="11"/>
  <c r="I946" i="11" s="1"/>
  <c r="G947" i="11"/>
  <c r="I947" i="11" s="1"/>
  <c r="G948" i="11"/>
  <c r="I948" i="11" s="1"/>
  <c r="G949" i="11"/>
  <c r="I949" i="11" s="1"/>
  <c r="G950" i="11"/>
  <c r="I950" i="11" s="1"/>
  <c r="G951" i="11"/>
  <c r="I951" i="11" s="1"/>
  <c r="G952" i="11"/>
  <c r="I952" i="11" s="1"/>
  <c r="G953" i="11"/>
  <c r="I953" i="11" s="1"/>
  <c r="G954" i="11"/>
  <c r="I954" i="11" s="1"/>
  <c r="G955" i="11"/>
  <c r="I955" i="11" s="1"/>
  <c r="G956" i="11"/>
  <c r="I956" i="11" s="1"/>
  <c r="G957" i="11"/>
  <c r="I957" i="11" s="1"/>
  <c r="G958" i="11"/>
  <c r="I958" i="11" s="1"/>
  <c r="G959" i="11"/>
  <c r="I959" i="11" s="1"/>
  <c r="G960" i="11"/>
  <c r="I960" i="11" s="1"/>
  <c r="G961" i="11"/>
  <c r="I961" i="11" s="1"/>
  <c r="G962" i="11"/>
  <c r="I962" i="11" s="1"/>
  <c r="G963" i="11"/>
  <c r="I963" i="11" s="1"/>
  <c r="G964" i="11"/>
  <c r="I964" i="11" s="1"/>
  <c r="G965" i="11"/>
  <c r="I965" i="11" s="1"/>
  <c r="G966" i="11"/>
  <c r="I966" i="11" s="1"/>
  <c r="G967" i="11"/>
  <c r="I967" i="11" s="1"/>
  <c r="G968" i="11"/>
  <c r="I968" i="11" s="1"/>
  <c r="G969" i="11"/>
  <c r="I969" i="11" s="1"/>
  <c r="G970" i="11"/>
  <c r="I970" i="11" s="1"/>
  <c r="G971" i="11"/>
  <c r="I971" i="11" s="1"/>
  <c r="G972" i="11"/>
  <c r="I972" i="11" s="1"/>
  <c r="G973" i="11"/>
  <c r="I973" i="11" s="1"/>
  <c r="G974" i="11"/>
  <c r="I974" i="11" s="1"/>
  <c r="G975" i="11"/>
  <c r="I975" i="11" s="1"/>
  <c r="G976" i="11"/>
  <c r="I976" i="11" s="1"/>
  <c r="G977" i="11"/>
  <c r="I977" i="11" s="1"/>
  <c r="G978" i="11"/>
  <c r="I978" i="11" s="1"/>
  <c r="G979" i="11"/>
  <c r="I979" i="11" s="1"/>
  <c r="G980" i="11"/>
  <c r="I980" i="11" s="1"/>
  <c r="G981" i="11"/>
  <c r="I981" i="11" s="1"/>
  <c r="G982" i="11"/>
  <c r="I982" i="11" s="1"/>
  <c r="G983" i="11"/>
  <c r="I983" i="11" s="1"/>
  <c r="G984" i="11"/>
  <c r="I984" i="11" s="1"/>
  <c r="G985" i="11"/>
  <c r="I985" i="11" s="1"/>
  <c r="G986" i="11"/>
  <c r="I986" i="11" s="1"/>
  <c r="G987" i="11"/>
  <c r="I987" i="11" s="1"/>
  <c r="G988" i="11"/>
  <c r="I988" i="11" s="1"/>
  <c r="G989" i="11"/>
  <c r="I989" i="11" s="1"/>
  <c r="G990" i="11"/>
  <c r="I990" i="11" s="1"/>
  <c r="G991" i="11"/>
  <c r="I991" i="11" s="1"/>
  <c r="G992" i="11"/>
  <c r="I992" i="11" s="1"/>
  <c r="G993" i="11"/>
  <c r="I993" i="11" s="1"/>
  <c r="G994" i="11"/>
  <c r="I994" i="11" s="1"/>
  <c r="G995" i="11"/>
  <c r="I995" i="11" s="1"/>
  <c r="G996" i="11"/>
  <c r="I996" i="11" s="1"/>
  <c r="G997" i="11"/>
  <c r="I997" i="11" s="1"/>
  <c r="G998" i="11"/>
  <c r="I998" i="11" s="1"/>
  <c r="G999" i="11"/>
  <c r="I999" i="11" s="1"/>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3" i="7"/>
  <c r="K4" i="7"/>
  <c r="K5" i="7"/>
  <c r="K6" i="7"/>
  <c r="K7" i="7"/>
  <c r="K8" i="7"/>
  <c r="K9" i="7"/>
  <c r="K10" i="7"/>
  <c r="K11" i="7"/>
  <c r="K12" i="7"/>
  <c r="K13" i="7"/>
  <c r="K14" i="7"/>
  <c r="K15" i="7"/>
  <c r="K16" i="7"/>
  <c r="K17" i="7"/>
  <c r="K18" i="7"/>
  <c r="K19" i="7"/>
  <c r="K20" i="7"/>
  <c r="K21" i="7"/>
  <c r="K2" i="7"/>
  <c r="L10" i="7" a="1"/>
  <c r="L10" i="7" s="1"/>
  <c r="L11" i="7" a="1"/>
  <c r="L11" i="7" s="1"/>
  <c r="L12" i="7" a="1"/>
  <c r="L12" i="7" s="1"/>
  <c r="L13" i="7" a="1"/>
  <c r="L13" i="7" s="1"/>
  <c r="L14" i="7" a="1"/>
  <c r="L14" i="7" s="1"/>
  <c r="L15" i="7" a="1"/>
  <c r="L15" i="7"/>
  <c r="L16" i="7" a="1"/>
  <c r="L16" i="7" s="1"/>
  <c r="L17" i="7" a="1"/>
  <c r="L17" i="7"/>
  <c r="L18" i="7" a="1"/>
  <c r="L18" i="7" s="1"/>
  <c r="L19" i="7" a="1"/>
  <c r="L19" i="7" s="1"/>
  <c r="L20" i="7" a="1"/>
  <c r="L20" i="7" s="1"/>
  <c r="L21" i="7" a="1"/>
  <c r="L21" i="7"/>
  <c r="L22" i="7" a="1"/>
  <c r="L22" i="7" s="1"/>
  <c r="L23" i="7" a="1"/>
  <c r="L23" i="7" s="1"/>
  <c r="L24" i="7" a="1"/>
  <c r="L24" i="7" s="1"/>
  <c r="L25" i="7" a="1"/>
  <c r="L25" i="7" s="1"/>
  <c r="L26" i="7" a="1"/>
  <c r="L26" i="7" s="1"/>
  <c r="L27" i="7" a="1"/>
  <c r="L27" i="7"/>
  <c r="L28" i="7" a="1"/>
  <c r="L28" i="7" s="1"/>
  <c r="L29" i="7" a="1"/>
  <c r="L29" i="7" s="1"/>
  <c r="L30" i="7" a="1"/>
  <c r="L30" i="7" s="1"/>
  <c r="L31" i="7" a="1"/>
  <c r="L31" i="7" s="1"/>
  <c r="L32" i="7" a="1"/>
  <c r="L32" i="7" s="1"/>
  <c r="L33" i="7" a="1"/>
  <c r="L33" i="7" s="1"/>
  <c r="L34" i="7" a="1"/>
  <c r="L34" i="7"/>
  <c r="L35" i="7" a="1"/>
  <c r="L35" i="7" s="1"/>
  <c r="L36" i="7" a="1"/>
  <c r="L36" i="7" s="1"/>
  <c r="L37" i="7" a="1"/>
  <c r="L37" i="7" s="1"/>
  <c r="L38" i="7" a="1"/>
  <c r="L38" i="7" s="1"/>
  <c r="L39" i="7" a="1"/>
  <c r="L39" i="7" s="1"/>
  <c r="L40" i="7" a="1"/>
  <c r="L40" i="7" s="1"/>
  <c r="L41" i="7" a="1"/>
  <c r="L41" i="7" s="1"/>
  <c r="L42" i="7" a="1"/>
  <c r="L42" i="7" s="1"/>
  <c r="L43" i="7" a="1"/>
  <c r="L43" i="7" s="1"/>
  <c r="L44" i="7" a="1"/>
  <c r="L44" i="7" s="1"/>
  <c r="L45" i="7" a="1"/>
  <c r="L45" i="7" s="1"/>
  <c r="L46" i="7" a="1"/>
  <c r="L46" i="7"/>
  <c r="L47" i="7" a="1"/>
  <c r="L47" i="7"/>
  <c r="L48" i="7" a="1"/>
  <c r="L48" i="7" s="1"/>
  <c r="L49" i="7" a="1"/>
  <c r="L49" i="7" s="1"/>
  <c r="L50" i="7" a="1"/>
  <c r="L50" i="7" s="1"/>
  <c r="L51" i="7" a="1"/>
  <c r="L51" i="7" s="1"/>
  <c r="L52" i="7" a="1"/>
  <c r="L52" i="7" s="1"/>
  <c r="L53" i="7" a="1"/>
  <c r="L53" i="7" s="1"/>
  <c r="L54" i="7" a="1"/>
  <c r="L54" i="7" s="1"/>
  <c r="L55" i="7" a="1"/>
  <c r="L55" i="7"/>
  <c r="L56" i="7" a="1"/>
  <c r="L56" i="7" s="1"/>
  <c r="L57" i="7" a="1"/>
  <c r="L57" i="7" s="1"/>
  <c r="L58" i="7" a="1"/>
  <c r="L58" i="7" s="1"/>
  <c r="L59" i="7" a="1"/>
  <c r="L59" i="7" s="1"/>
  <c r="L60" i="7" a="1"/>
  <c r="L60" i="7" s="1"/>
  <c r="L61" i="7" a="1"/>
  <c r="L61" i="7" s="1"/>
  <c r="L62" i="7" a="1"/>
  <c r="L62" i="7" s="1"/>
  <c r="L63" i="7" a="1"/>
  <c r="L63" i="7" s="1"/>
  <c r="L64" i="7" a="1"/>
  <c r="L64" i="7" s="1"/>
  <c r="L65" i="7" a="1"/>
  <c r="L65" i="7"/>
  <c r="L66" i="7" a="1"/>
  <c r="L66" i="7" s="1"/>
  <c r="L67" i="7" a="1"/>
  <c r="L67" i="7" s="1"/>
  <c r="L68" i="7" a="1"/>
  <c r="L68" i="7" s="1"/>
  <c r="L69" i="7" a="1"/>
  <c r="L69" i="7" s="1"/>
  <c r="L70" i="7" a="1"/>
  <c r="L70" i="7" s="1"/>
  <c r="L71" i="7" a="1"/>
  <c r="L71" i="7" s="1"/>
  <c r="L72" i="7" a="1"/>
  <c r="L72" i="7" s="1"/>
  <c r="L73" i="7" a="1"/>
  <c r="L73" i="7" s="1"/>
  <c r="L74" i="7" a="1"/>
  <c r="L74" i="7"/>
  <c r="L75" i="7" a="1"/>
  <c r="L75" i="7" s="1"/>
  <c r="L76" i="7" a="1"/>
  <c r="L76" i="7" s="1"/>
  <c r="L77" i="7" a="1"/>
  <c r="L77" i="7" s="1"/>
  <c r="L78" i="7" a="1"/>
  <c r="L78" i="7" s="1"/>
  <c r="L79" i="7" a="1"/>
  <c r="L79" i="7" s="1"/>
  <c r="L80" i="7" a="1"/>
  <c r="L80" i="7"/>
  <c r="L81" i="7" a="1"/>
  <c r="L81" i="7" s="1"/>
  <c r="L82" i="7" a="1"/>
  <c r="L82" i="7" s="1"/>
  <c r="L83" i="7" a="1"/>
  <c r="L83" i="7"/>
  <c r="L84" i="7" a="1"/>
  <c r="L84" i="7" s="1"/>
  <c r="L85" i="7" a="1"/>
  <c r="L85" i="7"/>
  <c r="L86" i="7" a="1"/>
  <c r="L86" i="7" s="1"/>
  <c r="L87" i="7" a="1"/>
  <c r="L87" i="7" s="1"/>
  <c r="L88" i="7" a="1"/>
  <c r="L88" i="7" s="1"/>
  <c r="L89" i="7" a="1"/>
  <c r="L89" i="7" s="1"/>
  <c r="L90" i="7" a="1"/>
  <c r="L90" i="7" s="1"/>
  <c r="L91" i="7" a="1"/>
  <c r="L91" i="7" s="1"/>
  <c r="L92" i="7" a="1"/>
  <c r="L92" i="7" s="1"/>
  <c r="L93" i="7" a="1"/>
  <c r="L93" i="7" s="1"/>
  <c r="L94" i="7" a="1"/>
  <c r="L94" i="7"/>
  <c r="L95" i="7" a="1"/>
  <c r="L95" i="7" s="1"/>
  <c r="L96" i="7" a="1"/>
  <c r="L96" i="7" s="1"/>
  <c r="L97" i="7" a="1"/>
  <c r="L97" i="7" s="1"/>
  <c r="L98" i="7" a="1"/>
  <c r="L98" i="7" s="1"/>
  <c r="L99" i="7" a="1"/>
  <c r="L99" i="7" s="1"/>
  <c r="L100" i="7" a="1"/>
  <c r="L100" i="7" s="1"/>
  <c r="L101" i="7" a="1"/>
  <c r="L101" i="7" s="1"/>
  <c r="L102" i="7" a="1"/>
  <c r="L102" i="7" s="1"/>
  <c r="L103" i="7" a="1"/>
  <c r="L103" i="7" s="1"/>
  <c r="L104" i="7" a="1"/>
  <c r="L104" i="7" s="1"/>
  <c r="L105" i="7" a="1"/>
  <c r="L105" i="7" s="1"/>
  <c r="L106" i="7" a="1"/>
  <c r="L106" i="7" s="1"/>
  <c r="L107" i="7" a="1"/>
  <c r="L107" i="7" s="1"/>
  <c r="L108" i="7" a="1"/>
  <c r="L108" i="7" s="1"/>
  <c r="L109" i="7" a="1"/>
  <c r="L109" i="7" s="1"/>
  <c r="L110" i="7" a="1"/>
  <c r="L110" i="7"/>
  <c r="L111" i="7" a="1"/>
  <c r="L111" i="7" s="1"/>
  <c r="L112" i="7" a="1"/>
  <c r="L112" i="7" s="1"/>
  <c r="L113" i="7" a="1"/>
  <c r="L113" i="7" s="1"/>
  <c r="L114" i="7" a="1"/>
  <c r="L114" i="7" s="1"/>
  <c r="L115" i="7" a="1"/>
  <c r="L115" i="7" s="1"/>
  <c r="L116" i="7" a="1"/>
  <c r="L116" i="7" s="1"/>
  <c r="L117" i="7" a="1"/>
  <c r="L117" i="7" s="1"/>
  <c r="L118" i="7" a="1"/>
  <c r="L118" i="7" s="1"/>
  <c r="L119" i="7" a="1"/>
  <c r="L119" i="7" s="1"/>
  <c r="L120" i="7" a="1"/>
  <c r="L120" i="7" s="1"/>
  <c r="L121" i="7" a="1"/>
  <c r="L121" i="7" s="1"/>
  <c r="L122" i="7" a="1"/>
  <c r="L122" i="7" s="1"/>
  <c r="L123" i="7" a="1"/>
  <c r="L123" i="7" s="1"/>
  <c r="L124" i="7" a="1"/>
  <c r="L124" i="7" s="1"/>
  <c r="L125" i="7" a="1"/>
  <c r="L125" i="7" s="1"/>
  <c r="L126" i="7" a="1"/>
  <c r="L126" i="7" s="1"/>
  <c r="L127" i="7" a="1"/>
  <c r="L127" i="7" s="1"/>
  <c r="L128" i="7" a="1"/>
  <c r="L128" i="7" s="1"/>
  <c r="L129" i="7" a="1"/>
  <c r="L129" i="7"/>
  <c r="L130" i="7" a="1"/>
  <c r="L130" i="7" s="1"/>
  <c r="L131" i="7" a="1"/>
  <c r="L131" i="7" s="1"/>
  <c r="L132" i="7" a="1"/>
  <c r="L132" i="7" s="1"/>
  <c r="L133" i="7" a="1"/>
  <c r="L133" i="7" s="1"/>
  <c r="L134" i="7" a="1"/>
  <c r="L134" i="7"/>
  <c r="L135" i="7" a="1"/>
  <c r="L135" i="7" s="1"/>
  <c r="L136" i="7" a="1"/>
  <c r="L136" i="7" s="1"/>
  <c r="L137" i="7" a="1"/>
  <c r="L137" i="7"/>
  <c r="L138" i="7" a="1"/>
  <c r="L138" i="7" s="1"/>
  <c r="L139" i="7" a="1"/>
  <c r="L139" i="7" s="1"/>
  <c r="L140" i="7" a="1"/>
  <c r="L140" i="7" s="1"/>
  <c r="L141" i="7" a="1"/>
  <c r="L141" i="7" s="1"/>
  <c r="L142" i="7" a="1"/>
  <c r="L142" i="7" s="1"/>
  <c r="L143" i="7" a="1"/>
  <c r="L143" i="7" s="1"/>
  <c r="L144" i="7" a="1"/>
  <c r="L144" i="7" s="1"/>
  <c r="L145" i="7" a="1"/>
  <c r="L145" i="7" s="1"/>
  <c r="L146" i="7" a="1"/>
  <c r="L146" i="7"/>
  <c r="L147" i="7" a="1"/>
  <c r="L147" i="7" s="1"/>
  <c r="L148" i="7" a="1"/>
  <c r="L148" i="7" s="1"/>
  <c r="L149" i="7" a="1"/>
  <c r="L149" i="7" s="1"/>
  <c r="L150" i="7" a="1"/>
  <c r="L150" i="7" s="1"/>
  <c r="L151" i="7" a="1"/>
  <c r="L151" i="7"/>
  <c r="L152" i="7" a="1"/>
  <c r="L152" i="7" s="1"/>
  <c r="L153" i="7" a="1"/>
  <c r="L153" i="7" s="1"/>
  <c r="L154" i="7" a="1"/>
  <c r="L154" i="7" s="1"/>
  <c r="L155" i="7" a="1"/>
  <c r="L155" i="7"/>
  <c r="L156" i="7" a="1"/>
  <c r="L156" i="7" s="1"/>
  <c r="L157" i="7" a="1"/>
  <c r="L157" i="7" s="1"/>
  <c r="L158" i="7" a="1"/>
  <c r="L158" i="7" s="1"/>
  <c r="L159" i="7" a="1"/>
  <c r="L159" i="7" s="1"/>
  <c r="L160" i="7" a="1"/>
  <c r="L160" i="7" s="1"/>
  <c r="L161" i="7" a="1"/>
  <c r="L161" i="7" s="1"/>
  <c r="L162" i="7" a="1"/>
  <c r="L162" i="7" s="1"/>
  <c r="L163" i="7" a="1"/>
  <c r="L163" i="7" s="1"/>
  <c r="L164" i="7" a="1"/>
  <c r="L164" i="7"/>
  <c r="L165" i="7" a="1"/>
  <c r="L165" i="7" s="1"/>
  <c r="L166" i="7" a="1"/>
  <c r="L166" i="7" s="1"/>
  <c r="L167" i="7" a="1"/>
  <c r="L167" i="7" s="1"/>
  <c r="L168" i="7" a="1"/>
  <c r="L168" i="7" s="1"/>
  <c r="L169" i="7" a="1"/>
  <c r="L169" i="7" s="1"/>
  <c r="L170" i="7" a="1"/>
  <c r="L170" i="7" s="1"/>
  <c r="L171" i="7" a="1"/>
  <c r="L171" i="7"/>
  <c r="L172" i="7" a="1"/>
  <c r="L172" i="7" s="1"/>
  <c r="L173" i="7" a="1"/>
  <c r="L173" i="7" s="1"/>
  <c r="L174" i="7" a="1"/>
  <c r="L174" i="7" s="1"/>
  <c r="L175" i="7" a="1"/>
  <c r="L175" i="7"/>
  <c r="L176" i="7" a="1"/>
  <c r="L176" i="7" s="1"/>
  <c r="L177" i="7" a="1"/>
  <c r="L177" i="7" s="1"/>
  <c r="L178" i="7" a="1"/>
  <c r="L178" i="7" s="1"/>
  <c r="L179" i="7" a="1"/>
  <c r="L179" i="7" s="1"/>
  <c r="L180" i="7" a="1"/>
  <c r="L180" i="7" s="1"/>
  <c r="L181" i="7" a="1"/>
  <c r="L181" i="7" s="1"/>
  <c r="L182" i="7" a="1"/>
  <c r="L182" i="7" s="1"/>
  <c r="L183" i="7" a="1"/>
  <c r="L183" i="7" s="1"/>
  <c r="L184" i="7" a="1"/>
  <c r="L184" i="7" s="1"/>
  <c r="L185" i="7" a="1"/>
  <c r="L185" i="7" s="1"/>
  <c r="L186" i="7" a="1"/>
  <c r="L186" i="7" s="1"/>
  <c r="L187" i="7" a="1"/>
  <c r="L187" i="7"/>
  <c r="L188" i="7" a="1"/>
  <c r="L188" i="7" s="1"/>
  <c r="L189" i="7" a="1"/>
  <c r="L189" i="7" s="1"/>
  <c r="L190" i="7" a="1"/>
  <c r="L190" i="7" s="1"/>
  <c r="L191" i="7" a="1"/>
  <c r="L191" i="7" s="1"/>
  <c r="L192" i="7" a="1"/>
  <c r="L192" i="7" s="1"/>
  <c r="L193" i="7" a="1"/>
  <c r="L193" i="7" s="1"/>
  <c r="L194" i="7" a="1"/>
  <c r="L194" i="7" s="1"/>
  <c r="L195" i="7" a="1"/>
  <c r="L195" i="7" s="1"/>
  <c r="L196" i="7" a="1"/>
  <c r="L196" i="7" s="1"/>
  <c r="L197" i="7" a="1"/>
  <c r="L197" i="7"/>
  <c r="L198" i="7" a="1"/>
  <c r="L198" i="7" s="1"/>
  <c r="L199" i="7" a="1"/>
  <c r="L199" i="7" s="1"/>
  <c r="L200" i="7" a="1"/>
  <c r="L200" i="7" s="1"/>
  <c r="L201" i="7" a="1"/>
  <c r="L201" i="7"/>
  <c r="L202" i="7" a="1"/>
  <c r="L202" i="7" s="1"/>
  <c r="L203" i="7" a="1"/>
  <c r="L203" i="7" s="1"/>
  <c r="L204" i="7" a="1"/>
  <c r="L204" i="7" s="1"/>
  <c r="L205" i="7" a="1"/>
  <c r="L205" i="7"/>
  <c r="L206" i="7" a="1"/>
  <c r="L206" i="7"/>
  <c r="L207" i="7" a="1"/>
  <c r="L207" i="7" s="1"/>
  <c r="L208" i="7" a="1"/>
  <c r="L208" i="7"/>
  <c r="L209" i="7" a="1"/>
  <c r="L209" i="7"/>
  <c r="L210" i="7" a="1"/>
  <c r="L210" i="7" s="1"/>
  <c r="L211" i="7" a="1"/>
  <c r="L211" i="7" s="1"/>
  <c r="L212" i="7" a="1"/>
  <c r="L212" i="7"/>
  <c r="L213" i="7" a="1"/>
  <c r="L213" i="7"/>
  <c r="L214" i="7" a="1"/>
  <c r="L214" i="7" s="1"/>
  <c r="L215" i="7" a="1"/>
  <c r="L215" i="7" s="1"/>
  <c r="L216" i="7" a="1"/>
  <c r="L216" i="7" s="1"/>
  <c r="L217" i="7" a="1"/>
  <c r="L217" i="7" s="1"/>
  <c r="L218" i="7" a="1"/>
  <c r="L218" i="7" s="1"/>
  <c r="L219" i="7" a="1"/>
  <c r="L219" i="7" s="1"/>
  <c r="L220" i="7" a="1"/>
  <c r="L220" i="7" s="1"/>
  <c r="L221" i="7" a="1"/>
  <c r="L221" i="7"/>
  <c r="L222" i="7" a="1"/>
  <c r="L222" i="7" s="1"/>
  <c r="L223" i="7" a="1"/>
  <c r="L223" i="7"/>
  <c r="L224" i="7" a="1"/>
  <c r="L224" i="7" s="1"/>
  <c r="L225" i="7" a="1"/>
  <c r="L225" i="7" s="1"/>
  <c r="L226" i="7" a="1"/>
  <c r="L226" i="7" s="1"/>
  <c r="L227" i="7" a="1"/>
  <c r="L227" i="7" s="1"/>
  <c r="L228" i="7" a="1"/>
  <c r="L228" i="7" s="1"/>
  <c r="L229" i="7" a="1"/>
  <c r="L229" i="7" s="1"/>
  <c r="L230" i="7" a="1"/>
  <c r="L230" i="7" s="1"/>
  <c r="L231" i="7" a="1"/>
  <c r="L231" i="7"/>
  <c r="L232" i="7" a="1"/>
  <c r="L232" i="7"/>
  <c r="L233" i="7" a="1"/>
  <c r="L233" i="7" s="1"/>
  <c r="L234" i="7" a="1"/>
  <c r="L234" i="7" s="1"/>
  <c r="L235" i="7" a="1"/>
  <c r="L235" i="7" s="1"/>
  <c r="L236" i="7" a="1"/>
  <c r="L236" i="7" s="1"/>
  <c r="L237" i="7" a="1"/>
  <c r="L237" i="7" s="1"/>
  <c r="L238" i="7" a="1"/>
  <c r="L238" i="7" s="1"/>
  <c r="L239" i="7" a="1"/>
  <c r="L239" i="7" s="1"/>
  <c r="L240" i="7" a="1"/>
  <c r="L240" i="7" s="1"/>
  <c r="L241" i="7" a="1"/>
  <c r="L241" i="7" s="1"/>
  <c r="L242" i="7" a="1"/>
  <c r="L242" i="7" s="1"/>
  <c r="L243" i="7" a="1"/>
  <c r="L243" i="7" s="1"/>
  <c r="L244" i="7" a="1"/>
  <c r="L244" i="7" s="1"/>
  <c r="L245" i="7" a="1"/>
  <c r="L245" i="7" s="1"/>
  <c r="L246" i="7" a="1"/>
  <c r="L246" i="7" s="1"/>
  <c r="L247" i="7" a="1"/>
  <c r="L247" i="7"/>
  <c r="L248" i="7" a="1"/>
  <c r="L248" i="7" s="1"/>
  <c r="L249" i="7" a="1"/>
  <c r="L249" i="7" s="1"/>
  <c r="L250" i="7" a="1"/>
  <c r="L250" i="7" s="1"/>
  <c r="L251" i="7" a="1"/>
  <c r="L251" i="7" s="1"/>
  <c r="L252" i="7" a="1"/>
  <c r="L252" i="7" s="1"/>
  <c r="L253" i="7" a="1"/>
  <c r="L253" i="7" s="1"/>
  <c r="L254" i="7" a="1"/>
  <c r="L254" i="7"/>
  <c r="L255" i="7" a="1"/>
  <c r="L255" i="7" s="1"/>
  <c r="L256" i="7" a="1"/>
  <c r="L256" i="7" s="1"/>
  <c r="L257" i="7" a="1"/>
  <c r="L257" i="7" s="1"/>
  <c r="L258" i="7" a="1"/>
  <c r="L258" i="7" s="1"/>
  <c r="L259" i="7" a="1"/>
  <c r="L259" i="7" s="1"/>
  <c r="L260" i="7" a="1"/>
  <c r="L260" i="7" s="1"/>
  <c r="L261" i="7" a="1"/>
  <c r="L261" i="7" s="1"/>
  <c r="L262" i="7" a="1"/>
  <c r="L262" i="7"/>
  <c r="L263" i="7" a="1"/>
  <c r="L263" i="7" s="1"/>
  <c r="L264" i="7" a="1"/>
  <c r="L264" i="7" s="1"/>
  <c r="L265" i="7" a="1"/>
  <c r="L265" i="7"/>
  <c r="L266" i="7" a="1"/>
  <c r="L266" i="7" s="1"/>
  <c r="L267" i="7" a="1"/>
  <c r="L267" i="7" s="1"/>
  <c r="L268" i="7" a="1"/>
  <c r="L268" i="7" s="1"/>
  <c r="L269" i="7" a="1"/>
  <c r="L269" i="7" s="1"/>
  <c r="L270" i="7" a="1"/>
  <c r="L270" i="7" s="1"/>
  <c r="L271" i="7" a="1"/>
  <c r="L271" i="7"/>
  <c r="L272" i="7" a="1"/>
  <c r="L272" i="7" s="1"/>
  <c r="L273" i="7" a="1"/>
  <c r="L273" i="7" s="1"/>
  <c r="L274" i="7" a="1"/>
  <c r="L274" i="7" s="1"/>
  <c r="L275" i="7" a="1"/>
  <c r="L275" i="7"/>
  <c r="L276" i="7" a="1"/>
  <c r="L276" i="7" s="1"/>
  <c r="L277" i="7" a="1"/>
  <c r="L277" i="7" s="1"/>
  <c r="L278" i="7" a="1"/>
  <c r="L278" i="7" s="1"/>
  <c r="L279" i="7" a="1"/>
  <c r="L279" i="7" s="1"/>
  <c r="L280" i="7" a="1"/>
  <c r="L280" i="7" s="1"/>
  <c r="L281" i="7" a="1"/>
  <c r="L281" i="7" s="1"/>
  <c r="L282" i="7" a="1"/>
  <c r="L282" i="7" s="1"/>
  <c r="L283" i="7" a="1"/>
  <c r="L283" i="7"/>
  <c r="L284" i="7" a="1"/>
  <c r="L284" i="7"/>
  <c r="L285" i="7" a="1"/>
  <c r="L285" i="7" s="1"/>
  <c r="L286" i="7" a="1"/>
  <c r="L286" i="7" s="1"/>
  <c r="L287" i="7" a="1"/>
  <c r="L287" i="7" s="1"/>
  <c r="L288" i="7" a="1"/>
  <c r="L288" i="7" s="1"/>
  <c r="L289" i="7" a="1"/>
  <c r="L289" i="7" s="1"/>
  <c r="L290" i="7" a="1"/>
  <c r="L290" i="7" s="1"/>
  <c r="L291" i="7" a="1"/>
  <c r="L291" i="7" s="1"/>
  <c r="L292" i="7" a="1"/>
  <c r="L292" i="7" s="1"/>
  <c r="L293" i="7" a="1"/>
  <c r="L293" i="7" s="1"/>
  <c r="L294" i="7" a="1"/>
  <c r="L294" i="7" s="1"/>
  <c r="L295" i="7" a="1"/>
  <c r="L295" i="7" s="1"/>
  <c r="L296" i="7" a="1"/>
  <c r="L296" i="7" s="1"/>
  <c r="L297" i="7" a="1"/>
  <c r="L297" i="7" s="1"/>
  <c r="L298" i="7" a="1"/>
  <c r="L298" i="7" s="1"/>
  <c r="L299" i="7" a="1"/>
  <c r="L299" i="7"/>
  <c r="L300" i="7" a="1"/>
  <c r="L300" i="7" s="1"/>
  <c r="L301" i="7" a="1"/>
  <c r="L301" i="7" s="1"/>
  <c r="L302" i="7" a="1"/>
  <c r="L302" i="7" s="1"/>
  <c r="L303" i="7" a="1"/>
  <c r="L303" i="7" s="1"/>
  <c r="L304" i="7" a="1"/>
  <c r="L304" i="7" s="1"/>
  <c r="L305" i="7" a="1"/>
  <c r="L305" i="7" s="1"/>
  <c r="L306" i="7" a="1"/>
  <c r="L306" i="7" s="1"/>
  <c r="L307" i="7" a="1"/>
  <c r="L307" i="7" s="1"/>
  <c r="L308" i="7" a="1"/>
  <c r="L308" i="7" s="1"/>
  <c r="L309" i="7" a="1"/>
  <c r="L309" i="7" s="1"/>
  <c r="L310" i="7" a="1"/>
  <c r="L310" i="7"/>
  <c r="L311" i="7" a="1"/>
  <c r="L311" i="7" s="1"/>
  <c r="L312" i="7" a="1"/>
  <c r="L312" i="7" s="1"/>
  <c r="L313" i="7" a="1"/>
  <c r="L313" i="7" s="1"/>
  <c r="L314" i="7" a="1"/>
  <c r="L314" i="7"/>
  <c r="L315" i="7" a="1"/>
  <c r="L315" i="7"/>
  <c r="L316" i="7" a="1"/>
  <c r="L316" i="7" s="1"/>
  <c r="L317" i="7" a="1"/>
  <c r="L317" i="7" s="1"/>
  <c r="L318" i="7" a="1"/>
  <c r="L318" i="7" s="1"/>
  <c r="L319" i="7" a="1"/>
  <c r="L319" i="7"/>
  <c r="L320" i="7" a="1"/>
  <c r="L320" i="7" s="1"/>
  <c r="L321" i="7" a="1"/>
  <c r="L321" i="7" s="1"/>
  <c r="L322" i="7" a="1"/>
  <c r="L322" i="7" s="1"/>
  <c r="L323" i="7" a="1"/>
  <c r="L323" i="7"/>
  <c r="L324" i="7" a="1"/>
  <c r="L324" i="7" s="1"/>
  <c r="L325" i="7" a="1"/>
  <c r="L325" i="7" s="1"/>
  <c r="L326" i="7" a="1"/>
  <c r="L326" i="7" s="1"/>
  <c r="L327" i="7" a="1"/>
  <c r="L327" i="7" s="1"/>
  <c r="L328" i="7" a="1"/>
  <c r="L328" i="7" s="1"/>
  <c r="L329" i="7" a="1"/>
  <c r="L329" i="7" s="1"/>
  <c r="L330" i="7" a="1"/>
  <c r="L330" i="7" s="1"/>
  <c r="L331" i="7" a="1"/>
  <c r="L331" i="7" s="1"/>
  <c r="L332" i="7" a="1"/>
  <c r="L332" i="7"/>
  <c r="L333" i="7" a="1"/>
  <c r="L333" i="7" s="1"/>
  <c r="L334" i="7" a="1"/>
  <c r="L334" i="7" s="1"/>
  <c r="L335" i="7" a="1"/>
  <c r="L335" i="7" s="1"/>
  <c r="L336" i="7" a="1"/>
  <c r="L336" i="7" s="1"/>
  <c r="L337" i="7" a="1"/>
  <c r="L337" i="7" s="1"/>
  <c r="L338" i="7" a="1"/>
  <c r="L338" i="7" s="1"/>
  <c r="L339" i="7" a="1"/>
  <c r="L339" i="7" s="1"/>
  <c r="L340" i="7" a="1"/>
  <c r="L340" i="7" s="1"/>
  <c r="L341" i="7" a="1"/>
  <c r="L341" i="7" s="1"/>
  <c r="L342" i="7" a="1"/>
  <c r="L342" i="7" s="1"/>
  <c r="L343" i="7" a="1"/>
  <c r="L343" i="7" s="1"/>
  <c r="L344" i="7" a="1"/>
  <c r="L344" i="7" s="1"/>
  <c r="L345" i="7" a="1"/>
  <c r="L345" i="7"/>
  <c r="L346" i="7" a="1"/>
  <c r="L346" i="7"/>
  <c r="L347" i="7" a="1"/>
  <c r="L347" i="7" s="1"/>
  <c r="L348" i="7" a="1"/>
  <c r="L348" i="7" s="1"/>
  <c r="L349" i="7" a="1"/>
  <c r="L349" i="7" s="1"/>
  <c r="L350" i="7" a="1"/>
  <c r="L350" i="7" s="1"/>
  <c r="L351" i="7" a="1"/>
  <c r="L351" i="7" s="1"/>
  <c r="L352" i="7" a="1"/>
  <c r="L352" i="7"/>
  <c r="L353" i="7" a="1"/>
  <c r="L353" i="7" s="1"/>
  <c r="L354" i="7" a="1"/>
  <c r="L354" i="7" s="1"/>
  <c r="L355" i="7" a="1"/>
  <c r="L355" i="7"/>
  <c r="L356" i="7" a="1"/>
  <c r="L356" i="7" s="1"/>
  <c r="L357" i="7" a="1"/>
  <c r="L357" i="7" s="1"/>
  <c r="L358" i="7" a="1"/>
  <c r="L358" i="7"/>
  <c r="L359" i="7" a="1"/>
  <c r="L359" i="7"/>
  <c r="L360" i="7" a="1"/>
  <c r="L360" i="7" s="1"/>
  <c r="L361" i="7" a="1"/>
  <c r="L361" i="7" s="1"/>
  <c r="L362" i="7" a="1"/>
  <c r="L362" i="7" s="1"/>
  <c r="L363" i="7" a="1"/>
  <c r="L363" i="7" s="1"/>
  <c r="L364" i="7" a="1"/>
  <c r="L364" i="7" s="1"/>
  <c r="L365" i="7" a="1"/>
  <c r="L365" i="7" s="1"/>
  <c r="L366" i="7" a="1"/>
  <c r="L366" i="7" s="1"/>
  <c r="L367" i="7" a="1"/>
  <c r="L367" i="7" s="1"/>
  <c r="L368" i="7" a="1"/>
  <c r="L368" i="7"/>
  <c r="L369" i="7" a="1"/>
  <c r="L369" i="7" s="1"/>
  <c r="L370" i="7" a="1"/>
  <c r="L370" i="7" s="1"/>
  <c r="L371" i="7" a="1"/>
  <c r="L371" i="7" s="1"/>
  <c r="L372" i="7" a="1"/>
  <c r="L372" i="7" s="1"/>
  <c r="L373" i="7" a="1"/>
  <c r="L373" i="7"/>
  <c r="L374" i="7" a="1"/>
  <c r="L374" i="7" s="1"/>
  <c r="L375" i="7" a="1"/>
  <c r="L375" i="7" s="1"/>
  <c r="L376" i="7" a="1"/>
  <c r="L376" i="7" s="1"/>
  <c r="L377" i="7" a="1"/>
  <c r="L377" i="7" s="1"/>
  <c r="L378" i="7" a="1"/>
  <c r="L378" i="7" s="1"/>
  <c r="L379" i="7" a="1"/>
  <c r="L379" i="7" s="1"/>
  <c r="L380" i="7" a="1"/>
  <c r="L380" i="7" s="1"/>
  <c r="L381" i="7" a="1"/>
  <c r="L381" i="7" s="1"/>
  <c r="L382" i="7" a="1"/>
  <c r="L382" i="7"/>
  <c r="L383" i="7" a="1"/>
  <c r="L383" i="7" s="1"/>
  <c r="L384" i="7" a="1"/>
  <c r="L384" i="7" s="1"/>
  <c r="L385" i="7" a="1"/>
  <c r="L385" i="7" s="1"/>
  <c r="L386" i="7" a="1"/>
  <c r="L386" i="7" s="1"/>
  <c r="L387" i="7" a="1"/>
  <c r="L387" i="7" s="1"/>
  <c r="L388" i="7" a="1"/>
  <c r="L388" i="7" s="1"/>
  <c r="L389" i="7" a="1"/>
  <c r="L389" i="7" s="1"/>
  <c r="L390" i="7" a="1"/>
  <c r="L390" i="7" s="1"/>
  <c r="L391" i="7" a="1"/>
  <c r="L391" i="7"/>
  <c r="L392" i="7" a="1"/>
  <c r="L392" i="7" s="1"/>
  <c r="L393" i="7" a="1"/>
  <c r="L393" i="7" s="1"/>
  <c r="L394" i="7" a="1"/>
  <c r="L394" i="7" s="1"/>
  <c r="L395" i="7" a="1"/>
  <c r="L395" i="7" s="1"/>
  <c r="L396" i="7" a="1"/>
  <c r="L396" i="7" s="1"/>
  <c r="L397" i="7" a="1"/>
  <c r="L397" i="7" s="1"/>
  <c r="L398" i="7" a="1"/>
  <c r="L398" i="7" s="1"/>
  <c r="L399" i="7" a="1"/>
  <c r="L399" i="7" s="1"/>
  <c r="L400" i="7" a="1"/>
  <c r="L400" i="7" s="1"/>
  <c r="L401" i="7" a="1"/>
  <c r="L401" i="7" s="1"/>
  <c r="L402" i="7" a="1"/>
  <c r="L402" i="7" s="1"/>
  <c r="L403" i="7" a="1"/>
  <c r="L403" i="7" s="1"/>
  <c r="L404" i="7" a="1"/>
  <c r="L404" i="7" s="1"/>
  <c r="L405" i="7" a="1"/>
  <c r="L405" i="7"/>
  <c r="L406" i="7" a="1"/>
  <c r="L406" i="7"/>
  <c r="L407" i="7" a="1"/>
  <c r="L407" i="7" s="1"/>
  <c r="L408" i="7" a="1"/>
  <c r="L408" i="7" s="1"/>
  <c r="L409" i="7" a="1"/>
  <c r="L409" i="7" s="1"/>
  <c r="L410" i="7" a="1"/>
  <c r="L410" i="7" s="1"/>
  <c r="L411" i="7" a="1"/>
  <c r="L411" i="7" s="1"/>
  <c r="L412" i="7" a="1"/>
  <c r="L412" i="7" s="1"/>
  <c r="L413" i="7" a="1"/>
  <c r="L413" i="7"/>
  <c r="L414" i="7" a="1"/>
  <c r="L414" i="7" s="1"/>
  <c r="L415" i="7" a="1"/>
  <c r="L415" i="7" s="1"/>
  <c r="L416" i="7" a="1"/>
  <c r="L416" i="7" s="1"/>
  <c r="L417" i="7" a="1"/>
  <c r="L417" i="7" s="1"/>
  <c r="L418" i="7" a="1"/>
  <c r="L418" i="7" s="1"/>
  <c r="L419" i="7" a="1"/>
  <c r="L419" i="7" s="1"/>
  <c r="L420" i="7" a="1"/>
  <c r="L420" i="7" s="1"/>
  <c r="L421" i="7" a="1"/>
  <c r="L421" i="7" s="1"/>
  <c r="L422" i="7" a="1"/>
  <c r="L422" i="7" s="1"/>
  <c r="L423" i="7" a="1"/>
  <c r="L423" i="7" s="1"/>
  <c r="L424" i="7" a="1"/>
  <c r="L424" i="7" s="1"/>
  <c r="L425" i="7" a="1"/>
  <c r="L425" i="7" s="1"/>
  <c r="L426" i="7" a="1"/>
  <c r="L426" i="7" s="1"/>
  <c r="L427" i="7" a="1"/>
  <c r="L427" i="7" s="1"/>
  <c r="L428" i="7" a="1"/>
  <c r="L428" i="7" s="1"/>
  <c r="L429" i="7" a="1"/>
  <c r="L429" i="7" s="1"/>
  <c r="L430" i="7" a="1"/>
  <c r="L430" i="7" s="1"/>
  <c r="L431" i="7" a="1"/>
  <c r="L431" i="7" s="1"/>
  <c r="L432" i="7" a="1"/>
  <c r="L432" i="7" s="1"/>
  <c r="L433" i="7" a="1"/>
  <c r="L433" i="7" s="1"/>
  <c r="L434" i="7" a="1"/>
  <c r="L434" i="7" s="1"/>
  <c r="L435" i="7" a="1"/>
  <c r="L435" i="7"/>
  <c r="L436" i="7" a="1"/>
  <c r="L436" i="7" s="1"/>
  <c r="L437" i="7" a="1"/>
  <c r="L437" i="7" s="1"/>
  <c r="L438" i="7" a="1"/>
  <c r="L438" i="7" s="1"/>
  <c r="L439" i="7" a="1"/>
  <c r="L439" i="7" s="1"/>
  <c r="L440" i="7" a="1"/>
  <c r="L440" i="7" s="1"/>
  <c r="L441" i="7" a="1"/>
  <c r="L441" i="7" s="1"/>
  <c r="L442" i="7" a="1"/>
  <c r="L442" i="7"/>
  <c r="L443" i="7" a="1"/>
  <c r="L443" i="7" s="1"/>
  <c r="L444" i="7" a="1"/>
  <c r="L444" i="7" s="1"/>
  <c r="L445" i="7" a="1"/>
  <c r="L445" i="7" s="1"/>
  <c r="L446" i="7" a="1"/>
  <c r="L446" i="7"/>
  <c r="L447" i="7" a="1"/>
  <c r="L447" i="7" s="1"/>
  <c r="L448" i="7" a="1"/>
  <c r="L448" i="7" s="1"/>
  <c r="L449" i="7" a="1"/>
  <c r="L449" i="7" s="1"/>
  <c r="L450" i="7" a="1"/>
  <c r="L450" i="7" s="1"/>
  <c r="L451" i="7" a="1"/>
  <c r="L451" i="7" s="1"/>
  <c r="L452" i="7" a="1"/>
  <c r="L452" i="7" s="1"/>
  <c r="L453" i="7" a="1"/>
  <c r="L453" i="7" s="1"/>
  <c r="L454" i="7" a="1"/>
  <c r="L454" i="7"/>
  <c r="L455" i="7" a="1"/>
  <c r="L455" i="7" s="1"/>
  <c r="L456" i="7" a="1"/>
  <c r="L456" i="7" s="1"/>
  <c r="L457" i="7" a="1"/>
  <c r="L457" i="7" s="1"/>
  <c r="L458" i="7" a="1"/>
  <c r="L458" i="7" s="1"/>
  <c r="L459" i="7" a="1"/>
  <c r="L459" i="7" s="1"/>
  <c r="L460" i="7" a="1"/>
  <c r="L460" i="7" s="1"/>
  <c r="L461" i="7" a="1"/>
  <c r="L461" i="7"/>
  <c r="L462" i="7" a="1"/>
  <c r="L462" i="7" s="1"/>
  <c r="L463" i="7" a="1"/>
  <c r="L463" i="7" s="1"/>
  <c r="L464" i="7" a="1"/>
  <c r="L464" i="7" s="1"/>
  <c r="L465" i="7" a="1"/>
  <c r="L465" i="7" s="1"/>
  <c r="L466" i="7" a="1"/>
  <c r="L466" i="7"/>
  <c r="L467" i="7" a="1"/>
  <c r="L467" i="7" s="1"/>
  <c r="L468" i="7" a="1"/>
  <c r="L468" i="7" s="1"/>
  <c r="L469" i="7" a="1"/>
  <c r="L469" i="7" s="1"/>
  <c r="L470" i="7" a="1"/>
  <c r="L470" i="7" s="1"/>
  <c r="L471" i="7" a="1"/>
  <c r="L471" i="7" s="1"/>
  <c r="L472" i="7" a="1"/>
  <c r="L472" i="7" s="1"/>
  <c r="L473" i="7" a="1"/>
  <c r="L473" i="7" s="1"/>
  <c r="L474" i="7" a="1"/>
  <c r="L474" i="7" s="1"/>
  <c r="L475" i="7" a="1"/>
  <c r="L475" i="7"/>
  <c r="L476" i="7" a="1"/>
  <c r="L476" i="7" s="1"/>
  <c r="L477" i="7" a="1"/>
  <c r="L477" i="7"/>
  <c r="L478" i="7" a="1"/>
  <c r="L478" i="7" s="1"/>
  <c r="L479" i="7" a="1"/>
  <c r="L479" i="7" s="1"/>
  <c r="L480" i="7" a="1"/>
  <c r="L480" i="7" s="1"/>
  <c r="L481" i="7" a="1"/>
  <c r="L481" i="7" s="1"/>
  <c r="L482" i="7" a="1"/>
  <c r="L482" i="7" s="1"/>
  <c r="L483" i="7" a="1"/>
  <c r="L483" i="7"/>
  <c r="L484" i="7" a="1"/>
  <c r="L484" i="7" s="1"/>
  <c r="L485" i="7" a="1"/>
  <c r="L485" i="7" s="1"/>
  <c r="L486" i="7" a="1"/>
  <c r="L486" i="7" s="1"/>
  <c r="L487" i="7" a="1"/>
  <c r="L487" i="7" s="1"/>
  <c r="L488" i="7" a="1"/>
  <c r="L488" i="7" s="1"/>
  <c r="L489" i="7" a="1"/>
  <c r="L489" i="7" s="1"/>
  <c r="L490" i="7" a="1"/>
  <c r="L490" i="7" s="1"/>
  <c r="L491" i="7" a="1"/>
  <c r="L491" i="7" s="1"/>
  <c r="L492" i="7" a="1"/>
  <c r="L492" i="7" s="1"/>
  <c r="L493" i="7" a="1"/>
  <c r="L493" i="7" s="1"/>
  <c r="L494" i="7" a="1"/>
  <c r="L494" i="7" s="1"/>
  <c r="L495" i="7" a="1"/>
  <c r="L495" i="7" s="1"/>
  <c r="L496" i="7" a="1"/>
  <c r="L496" i="7"/>
  <c r="L497" i="7" a="1"/>
  <c r="L497" i="7"/>
  <c r="L498" i="7" a="1"/>
  <c r="L498" i="7" s="1"/>
  <c r="L499" i="7" a="1"/>
  <c r="L499" i="7" s="1"/>
  <c r="L500" i="7" a="1"/>
  <c r="L500" i="7" s="1"/>
  <c r="L501" i="7" a="1"/>
  <c r="L501" i="7" s="1"/>
  <c r="L502" i="7" a="1"/>
  <c r="L502" i="7" s="1"/>
  <c r="L503" i="7" a="1"/>
  <c r="L503" i="7"/>
  <c r="L504" i="7" a="1"/>
  <c r="L504" i="7" s="1"/>
  <c r="L505" i="7" a="1"/>
  <c r="L505" i="7" s="1"/>
  <c r="L506" i="7" a="1"/>
  <c r="L506" i="7" s="1"/>
  <c r="L507" i="7" a="1"/>
  <c r="L507" i="7" s="1"/>
  <c r="L508" i="7" a="1"/>
  <c r="L508" i="7" s="1"/>
  <c r="L509" i="7" a="1"/>
  <c r="L509" i="7" s="1"/>
  <c r="L510" i="7" a="1"/>
  <c r="L510" i="7" s="1"/>
  <c r="L511" i="7" a="1"/>
  <c r="L511" i="7"/>
  <c r="L512" i="7" a="1"/>
  <c r="L512" i="7" s="1"/>
  <c r="L513" i="7" a="1"/>
  <c r="L513" i="7" s="1"/>
  <c r="L514" i="7" a="1"/>
  <c r="L514" i="7"/>
  <c r="L515" i="7" a="1"/>
  <c r="L515" i="7" s="1"/>
  <c r="L516" i="7" a="1"/>
  <c r="L516" i="7" s="1"/>
  <c r="L517" i="7" a="1"/>
  <c r="L517" i="7" s="1"/>
  <c r="L518" i="7" a="1"/>
  <c r="L518" i="7" s="1"/>
  <c r="L519" i="7" a="1"/>
  <c r="L519" i="7"/>
  <c r="L520" i="7" a="1"/>
  <c r="L520" i="7" s="1"/>
  <c r="L521" i="7" a="1"/>
  <c r="L521" i="7" s="1"/>
  <c r="L522" i="7" a="1"/>
  <c r="L522" i="7"/>
  <c r="L523" i="7" a="1"/>
  <c r="L523" i="7" s="1"/>
  <c r="L524" i="7" a="1"/>
  <c r="L524" i="7" s="1"/>
  <c r="L525" i="7" a="1"/>
  <c r="L525" i="7" s="1"/>
  <c r="L526" i="7" a="1"/>
  <c r="L526" i="7" s="1"/>
  <c r="L527" i="7" a="1"/>
  <c r="L527" i="7" s="1"/>
  <c r="L528" i="7" a="1"/>
  <c r="L528" i="7" s="1"/>
  <c r="L529" i="7" a="1"/>
  <c r="L529" i="7"/>
  <c r="L530" i="7" a="1"/>
  <c r="L530" i="7" s="1"/>
  <c r="L531" i="7" a="1"/>
  <c r="L531" i="7" s="1"/>
  <c r="L532" i="7" a="1"/>
  <c r="L532" i="7" s="1"/>
  <c r="L533" i="7" a="1"/>
  <c r="L533" i="7" s="1"/>
  <c r="L534" i="7" a="1"/>
  <c r="L534" i="7"/>
  <c r="L535" i="7" a="1"/>
  <c r="L535" i="7" s="1"/>
  <c r="L536" i="7" a="1"/>
  <c r="L536" i="7" s="1"/>
  <c r="L537" i="7" a="1"/>
  <c r="L537" i="7" s="1"/>
  <c r="L538" i="7" a="1"/>
  <c r="L538" i="7" s="1"/>
  <c r="L539" i="7" a="1"/>
  <c r="L539" i="7" s="1"/>
  <c r="L540" i="7" a="1"/>
  <c r="L540" i="7" s="1"/>
  <c r="L541" i="7" a="1"/>
  <c r="L541" i="7" s="1"/>
  <c r="L542" i="7" a="1"/>
  <c r="L542" i="7" s="1"/>
  <c r="L543" i="7" a="1"/>
  <c r="L543" i="7" s="1"/>
  <c r="L544" i="7" a="1"/>
  <c r="L544" i="7" s="1"/>
  <c r="L545" i="7" a="1"/>
  <c r="L545" i="7" s="1"/>
  <c r="L546" i="7" a="1"/>
  <c r="L546" i="7" s="1"/>
  <c r="L547" i="7" a="1"/>
  <c r="L547" i="7" s="1"/>
  <c r="L548" i="7" a="1"/>
  <c r="L548" i="7"/>
  <c r="L549" i="7" a="1"/>
  <c r="L549" i="7"/>
  <c r="L550" i="7" a="1"/>
  <c r="L550" i="7" s="1"/>
  <c r="L551" i="7" a="1"/>
  <c r="L551" i="7" s="1"/>
  <c r="L552" i="7" a="1"/>
  <c r="L552" i="7"/>
  <c r="L553" i="7" a="1"/>
  <c r="L553" i="7" s="1"/>
  <c r="L554" i="7" a="1"/>
  <c r="L554" i="7" s="1"/>
  <c r="L555" i="7" a="1"/>
  <c r="L555" i="7" s="1"/>
  <c r="L556" i="7" a="1"/>
  <c r="L556" i="7"/>
  <c r="L557" i="7" a="1"/>
  <c r="L557" i="7" s="1"/>
  <c r="L558" i="7" a="1"/>
  <c r="L558" i="7" s="1"/>
  <c r="L559" i="7" a="1"/>
  <c r="L559" i="7" s="1"/>
  <c r="L560" i="7" a="1"/>
  <c r="L560" i="7"/>
  <c r="L561" i="7" a="1"/>
  <c r="L561" i="7" s="1"/>
  <c r="L562" i="7" a="1"/>
  <c r="L562" i="7" s="1"/>
  <c r="L563" i="7" a="1"/>
  <c r="L563" i="7" s="1"/>
  <c r="L564" i="7" a="1"/>
  <c r="L564" i="7" s="1"/>
  <c r="L565" i="7" a="1"/>
  <c r="L565" i="7"/>
  <c r="L566" i="7" a="1"/>
  <c r="L566" i="7" s="1"/>
  <c r="L567" i="7" a="1"/>
  <c r="L567" i="7" s="1"/>
  <c r="L568" i="7" a="1"/>
  <c r="L568" i="7"/>
  <c r="L569" i="7" a="1"/>
  <c r="L569" i="7" s="1"/>
  <c r="L570" i="7" a="1"/>
  <c r="L570" i="7"/>
  <c r="L571" i="7" a="1"/>
  <c r="L571" i="7" s="1"/>
  <c r="L572" i="7" a="1"/>
  <c r="L572" i="7" s="1"/>
  <c r="L573" i="7" a="1"/>
  <c r="L573" i="7" s="1"/>
  <c r="L574" i="7" a="1"/>
  <c r="L574" i="7" s="1"/>
  <c r="L575" i="7" a="1"/>
  <c r="L575" i="7" s="1"/>
  <c r="L576" i="7" a="1"/>
  <c r="L576" i="7" s="1"/>
  <c r="L577" i="7" a="1"/>
  <c r="L577" i="7" s="1"/>
  <c r="L578" i="7" a="1"/>
  <c r="L578" i="7" s="1"/>
  <c r="L579" i="7" a="1"/>
  <c r="L579" i="7"/>
  <c r="L580" i="7" a="1"/>
  <c r="L580" i="7" s="1"/>
  <c r="L581" i="7" a="1"/>
  <c r="L581" i="7" s="1"/>
  <c r="L582" i="7" a="1"/>
  <c r="L582" i="7" s="1"/>
  <c r="L583" i="7" a="1"/>
  <c r="L583" i="7"/>
  <c r="L584" i="7" a="1"/>
  <c r="L584" i="7" s="1"/>
  <c r="L585" i="7" a="1"/>
  <c r="L585" i="7" s="1"/>
  <c r="L586" i="7" a="1"/>
  <c r="L586" i="7" s="1"/>
  <c r="L587" i="7" a="1"/>
  <c r="L587" i="7" s="1"/>
  <c r="L588" i="7" a="1"/>
  <c r="L588" i="7"/>
  <c r="L589" i="7" a="1"/>
  <c r="L589" i="7" s="1"/>
  <c r="L590" i="7" a="1"/>
  <c r="L590" i="7" s="1"/>
  <c r="L591" i="7" a="1"/>
  <c r="L591" i="7" s="1"/>
  <c r="L592" i="7" a="1"/>
  <c r="L592" i="7" s="1"/>
  <c r="L593" i="7" a="1"/>
  <c r="L593" i="7" s="1"/>
  <c r="L594" i="7" a="1"/>
  <c r="L594" i="7"/>
  <c r="L595" i="7" a="1"/>
  <c r="L595" i="7" s="1"/>
  <c r="L596" i="7" a="1"/>
  <c r="L596" i="7"/>
  <c r="L597" i="7" a="1"/>
  <c r="L597" i="7" s="1"/>
  <c r="L598" i="7" a="1"/>
  <c r="L598" i="7" s="1"/>
  <c r="L599" i="7" a="1"/>
  <c r="L599" i="7" s="1"/>
  <c r="L600" i="7" a="1"/>
  <c r="L600" i="7" s="1"/>
  <c r="L601" i="7" a="1"/>
  <c r="L601" i="7" s="1"/>
  <c r="L602" i="7" a="1"/>
  <c r="L602" i="7"/>
  <c r="L603" i="7" a="1"/>
  <c r="L603" i="7" s="1"/>
  <c r="L604" i="7" a="1"/>
  <c r="L604" i="7" s="1"/>
  <c r="L605" i="7" a="1"/>
  <c r="L605" i="7" s="1"/>
  <c r="L606" i="7" a="1"/>
  <c r="L606" i="7" s="1"/>
  <c r="L607" i="7" a="1"/>
  <c r="L607" i="7"/>
  <c r="L608" i="7" a="1"/>
  <c r="L608" i="7"/>
  <c r="L609" i="7" a="1"/>
  <c r="L609" i="7" s="1"/>
  <c r="L610" i="7" a="1"/>
  <c r="L610" i="7" s="1"/>
  <c r="L611" i="7" a="1"/>
  <c r="L611" i="7" s="1"/>
  <c r="L612" i="7" a="1"/>
  <c r="L612" i="7" s="1"/>
  <c r="L613" i="7" a="1"/>
  <c r="L613" i="7" s="1"/>
  <c r="L614" i="7" a="1"/>
  <c r="L614" i="7" s="1"/>
  <c r="L615" i="7" a="1"/>
  <c r="L615" i="7"/>
  <c r="L616" i="7" a="1"/>
  <c r="L616" i="7"/>
  <c r="L617" i="7" a="1"/>
  <c r="L617" i="7" s="1"/>
  <c r="L618" i="7" a="1"/>
  <c r="L618" i="7" s="1"/>
  <c r="L619" i="7" a="1"/>
  <c r="L619" i="7" s="1"/>
  <c r="L620" i="7" a="1"/>
  <c r="L620" i="7"/>
  <c r="L621" i="7" a="1"/>
  <c r="L621" i="7" s="1"/>
  <c r="L622" i="7" a="1"/>
  <c r="L622" i="7" s="1"/>
  <c r="L623" i="7" a="1"/>
  <c r="L623" i="7" s="1"/>
  <c r="L624" i="7" a="1"/>
  <c r="L624" i="7"/>
  <c r="L625" i="7" a="1"/>
  <c r="L625" i="7" s="1"/>
  <c r="L626" i="7" a="1"/>
  <c r="L626" i="7" s="1"/>
  <c r="L627" i="7" a="1"/>
  <c r="L627" i="7" s="1"/>
  <c r="L628" i="7" a="1"/>
  <c r="L628" i="7" s="1"/>
  <c r="L629" i="7" a="1"/>
  <c r="L629" i="7" s="1"/>
  <c r="L630" i="7" a="1"/>
  <c r="L630" i="7" s="1"/>
  <c r="L631" i="7" a="1"/>
  <c r="L631" i="7" s="1"/>
  <c r="L632" i="7" a="1"/>
  <c r="L632" i="7" s="1"/>
  <c r="L633" i="7" a="1"/>
  <c r="L633" i="7" s="1"/>
  <c r="L634" i="7" a="1"/>
  <c r="L634" i="7" s="1"/>
  <c r="L635" i="7" a="1"/>
  <c r="L635" i="7" s="1"/>
  <c r="L636" i="7" a="1"/>
  <c r="L636" i="7" s="1"/>
  <c r="L637" i="7" a="1"/>
  <c r="L637" i="7" s="1"/>
  <c r="L638" i="7" a="1"/>
  <c r="L638" i="7" s="1"/>
  <c r="L639" i="7" a="1"/>
  <c r="L639" i="7" s="1"/>
  <c r="L640" i="7" a="1"/>
  <c r="L640" i="7" s="1"/>
  <c r="L641" i="7" a="1"/>
  <c r="L641" i="7" s="1"/>
  <c r="L642" i="7" a="1"/>
  <c r="L642" i="7" s="1"/>
  <c r="L643" i="7" a="1"/>
  <c r="L643" i="7" s="1"/>
  <c r="L644" i="7" a="1"/>
  <c r="L644" i="7" s="1"/>
  <c r="L645" i="7" a="1"/>
  <c r="L645" i="7" s="1"/>
  <c r="L646" i="7" a="1"/>
  <c r="L646" i="7"/>
  <c r="L647" i="7" a="1"/>
  <c r="L647" i="7" s="1"/>
  <c r="L648" i="7" a="1"/>
  <c r="L648" i="7" s="1"/>
  <c r="L649" i="7" a="1"/>
  <c r="L649" i="7" s="1"/>
  <c r="L650" i="7" a="1"/>
  <c r="L650" i="7" s="1"/>
  <c r="L651" i="7" a="1"/>
  <c r="L651" i="7"/>
  <c r="L652" i="7" a="1"/>
  <c r="L652" i="7" s="1"/>
  <c r="L653" i="7" a="1"/>
  <c r="L653" i="7" s="1"/>
  <c r="L654" i="7" a="1"/>
  <c r="L654" i="7" s="1"/>
  <c r="L655" i="7" a="1"/>
  <c r="L655" i="7" s="1"/>
  <c r="L656" i="7" a="1"/>
  <c r="L656" i="7" s="1"/>
  <c r="L657" i="7" a="1"/>
  <c r="L657" i="7" s="1"/>
  <c r="L658" i="7" a="1"/>
  <c r="L658" i="7" s="1"/>
  <c r="L659" i="7" a="1"/>
  <c r="L659" i="7" s="1"/>
  <c r="L660" i="7" a="1"/>
  <c r="L660" i="7"/>
  <c r="L661" i="7" a="1"/>
  <c r="L661" i="7"/>
  <c r="L662" i="7" a="1"/>
  <c r="L662" i="7" s="1"/>
  <c r="L663" i="7" a="1"/>
  <c r="L663" i="7" s="1"/>
  <c r="L664" i="7" a="1"/>
  <c r="L664" i="7" s="1"/>
  <c r="L665" i="7" a="1"/>
  <c r="L665" i="7" s="1"/>
  <c r="L666" i="7" a="1"/>
  <c r="L666" i="7" s="1"/>
  <c r="L667" i="7" a="1"/>
  <c r="L667" i="7"/>
  <c r="L668" i="7" a="1"/>
  <c r="L668" i="7" s="1"/>
  <c r="L669" i="7" a="1"/>
  <c r="L669" i="7" s="1"/>
  <c r="L670" i="7" a="1"/>
  <c r="L670" i="7" s="1"/>
  <c r="L671" i="7" a="1"/>
  <c r="L671" i="7" s="1"/>
  <c r="L672" i="7" a="1"/>
  <c r="L672" i="7" s="1"/>
  <c r="L673" i="7" a="1"/>
  <c r="L673" i="7" s="1"/>
  <c r="L674" i="7" a="1"/>
  <c r="L674" i="7"/>
  <c r="L675" i="7" a="1"/>
  <c r="L675" i="7" s="1"/>
  <c r="L676" i="7" a="1"/>
  <c r="L676" i="7"/>
  <c r="L677" i="7" a="1"/>
  <c r="L677" i="7" s="1"/>
  <c r="L678" i="7" a="1"/>
  <c r="L678" i="7"/>
  <c r="L679" i="7" a="1"/>
  <c r="L679" i="7" s="1"/>
  <c r="L680" i="7" a="1"/>
  <c r="L680" i="7" s="1"/>
  <c r="L681" i="7" a="1"/>
  <c r="L681" i="7"/>
  <c r="L682" i="7" a="1"/>
  <c r="L682" i="7" s="1"/>
  <c r="L683" i="7" a="1"/>
  <c r="L683" i="7" s="1"/>
  <c r="L684" i="7" a="1"/>
  <c r="L684" i="7" s="1"/>
  <c r="L685" i="7" a="1"/>
  <c r="L685" i="7" s="1"/>
  <c r="L686" i="7" a="1"/>
  <c r="L686" i="7" s="1"/>
  <c r="L687" i="7" a="1"/>
  <c r="L687" i="7" s="1"/>
  <c r="L688" i="7" a="1"/>
  <c r="L688" i="7" s="1"/>
  <c r="L689" i="7" a="1"/>
  <c r="L689" i="7" s="1"/>
  <c r="L690" i="7" a="1"/>
  <c r="L690" i="7" s="1"/>
  <c r="L691" i="7" a="1"/>
  <c r="L691" i="7" s="1"/>
  <c r="L692" i="7" a="1"/>
  <c r="L692" i="7" s="1"/>
  <c r="L693" i="7" a="1"/>
  <c r="L693" i="7" s="1"/>
  <c r="L694" i="7" a="1"/>
  <c r="L694" i="7" s="1"/>
  <c r="L695" i="7" a="1"/>
  <c r="L695" i="7" s="1"/>
  <c r="L696" i="7" a="1"/>
  <c r="L696" i="7"/>
  <c r="L697" i="7" a="1"/>
  <c r="L697" i="7" s="1"/>
  <c r="L698" i="7" a="1"/>
  <c r="L698" i="7" s="1"/>
  <c r="L699" i="7" a="1"/>
  <c r="L699" i="7" s="1"/>
  <c r="L700" i="7" a="1"/>
  <c r="L700" i="7" s="1"/>
  <c r="L701" i="7" a="1"/>
  <c r="L701" i="7" s="1"/>
  <c r="L702" i="7" a="1"/>
  <c r="L702" i="7" s="1"/>
  <c r="L703" i="7" a="1"/>
  <c r="L703" i="7" s="1"/>
  <c r="L704" i="7" a="1"/>
  <c r="L704" i="7"/>
  <c r="L705" i="7" a="1"/>
  <c r="L705" i="7"/>
  <c r="L706" i="7" a="1"/>
  <c r="L706" i="7" s="1"/>
  <c r="L707" i="7" a="1"/>
  <c r="L707" i="7" s="1"/>
  <c r="L708" i="7" a="1"/>
  <c r="L708" i="7" s="1"/>
  <c r="L709" i="7" a="1"/>
  <c r="L709" i="7" s="1"/>
  <c r="L710" i="7" a="1"/>
  <c r="L710" i="7"/>
  <c r="L711" i="7" a="1"/>
  <c r="L711" i="7" s="1"/>
  <c r="L712" i="7" a="1"/>
  <c r="L712" i="7"/>
  <c r="L713" i="7" a="1"/>
  <c r="L713" i="7" s="1"/>
  <c r="L714" i="7" a="1"/>
  <c r="L714" i="7" s="1"/>
  <c r="L715" i="7" a="1"/>
  <c r="L715" i="7" s="1"/>
  <c r="L716" i="7" a="1"/>
  <c r="L716" i="7" s="1"/>
  <c r="L717" i="7" a="1"/>
  <c r="L717" i="7" s="1"/>
  <c r="L718" i="7" a="1"/>
  <c r="L718" i="7" s="1"/>
  <c r="L719" i="7" a="1"/>
  <c r="L719" i="7" s="1"/>
  <c r="L720" i="7" a="1"/>
  <c r="L720" i="7" s="1"/>
  <c r="L721" i="7" a="1"/>
  <c r="L721" i="7" s="1"/>
  <c r="L722" i="7" a="1"/>
  <c r="L722" i="7"/>
  <c r="L723" i="7" a="1"/>
  <c r="L723" i="7"/>
  <c r="L724" i="7" a="1"/>
  <c r="L724" i="7" s="1"/>
  <c r="L725" i="7" a="1"/>
  <c r="L725" i="7" s="1"/>
  <c r="L726" i="7" a="1"/>
  <c r="L726" i="7" s="1"/>
  <c r="L727" i="7" a="1"/>
  <c r="L727" i="7" s="1"/>
  <c r="L728" i="7" a="1"/>
  <c r="L728" i="7" s="1"/>
  <c r="L729" i="7" a="1"/>
  <c r="L729" i="7" s="1"/>
  <c r="L730" i="7" a="1"/>
  <c r="L730" i="7" s="1"/>
  <c r="L731" i="7" a="1"/>
  <c r="L731" i="7" s="1"/>
  <c r="L732" i="7" a="1"/>
  <c r="L732" i="7" s="1"/>
  <c r="L733" i="7" a="1"/>
  <c r="L733" i="7" s="1"/>
  <c r="L734" i="7" a="1"/>
  <c r="L734" i="7" s="1"/>
  <c r="L735" i="7" a="1"/>
  <c r="L735" i="7"/>
  <c r="L736" i="7" a="1"/>
  <c r="L736" i="7" s="1"/>
  <c r="L737" i="7" a="1"/>
  <c r="L737" i="7" s="1"/>
  <c r="L738" i="7" a="1"/>
  <c r="L738" i="7"/>
  <c r="L739" i="7" a="1"/>
  <c r="L739" i="7" s="1"/>
  <c r="L740" i="7" a="1"/>
  <c r="L740" i="7" s="1"/>
  <c r="L741" i="7" a="1"/>
  <c r="L741" i="7" s="1"/>
  <c r="L742" i="7" a="1"/>
  <c r="L742" i="7" s="1"/>
  <c r="L743" i="7" a="1"/>
  <c r="L743" i="7" s="1"/>
  <c r="L744" i="7" a="1"/>
  <c r="L744" i="7" s="1"/>
  <c r="L745" i="7" a="1"/>
  <c r="L745" i="7" s="1"/>
  <c r="L746" i="7" a="1"/>
  <c r="L746" i="7"/>
  <c r="L747" i="7" a="1"/>
  <c r="L747" i="7"/>
  <c r="L748" i="7" a="1"/>
  <c r="L748" i="7" s="1"/>
  <c r="L749" i="7" a="1"/>
  <c r="L749" i="7" s="1"/>
  <c r="L750" i="7" a="1"/>
  <c r="L750" i="7"/>
  <c r="L751" i="7" a="1"/>
  <c r="L751" i="7" s="1"/>
  <c r="L752" i="7" a="1"/>
  <c r="L752" i="7" s="1"/>
  <c r="L753" i="7" a="1"/>
  <c r="L753" i="7" s="1"/>
  <c r="L754" i="7" a="1"/>
  <c r="L754" i="7" s="1"/>
  <c r="L755" i="7" a="1"/>
  <c r="L755" i="7" s="1"/>
  <c r="L756" i="7" a="1"/>
  <c r="L756" i="7"/>
  <c r="L757" i="7" a="1"/>
  <c r="L757" i="7" s="1"/>
  <c r="L758" i="7" a="1"/>
  <c r="L758" i="7" s="1"/>
  <c r="L759" i="7" a="1"/>
  <c r="L759" i="7" s="1"/>
  <c r="L760" i="7" a="1"/>
  <c r="L760" i="7"/>
  <c r="L761" i="7" a="1"/>
  <c r="L761" i="7" s="1"/>
  <c r="L762" i="7" a="1"/>
  <c r="L762" i="7" s="1"/>
  <c r="L763" i="7" a="1"/>
  <c r="L763" i="7" s="1"/>
  <c r="L764" i="7" a="1"/>
  <c r="L764" i="7"/>
  <c r="L765" i="7" a="1"/>
  <c r="L765" i="7" s="1"/>
  <c r="L766" i="7" a="1"/>
  <c r="L766" i="7" s="1"/>
  <c r="L767" i="7" a="1"/>
  <c r="L767" i="7" s="1"/>
  <c r="L768" i="7" a="1"/>
  <c r="L768" i="7" s="1"/>
  <c r="L769" i="7" a="1"/>
  <c r="L769" i="7" s="1"/>
  <c r="L770" i="7" a="1"/>
  <c r="L770" i="7" s="1"/>
  <c r="L771" i="7" a="1"/>
  <c r="L771" i="7"/>
  <c r="L772" i="7" a="1"/>
  <c r="L772" i="7" s="1"/>
  <c r="L773" i="7" a="1"/>
  <c r="L773" i="7" s="1"/>
  <c r="L774" i="7" a="1"/>
  <c r="L774" i="7" s="1"/>
  <c r="L775" i="7" a="1"/>
  <c r="L775" i="7" s="1"/>
  <c r="L776" i="7" a="1"/>
  <c r="L776" i="7" s="1"/>
  <c r="L777" i="7" a="1"/>
  <c r="L777" i="7"/>
  <c r="L778" i="7" a="1"/>
  <c r="L778" i="7" s="1"/>
  <c r="L779" i="7" a="1"/>
  <c r="L779" i="7" s="1"/>
  <c r="L780" i="7" a="1"/>
  <c r="L780" i="7" s="1"/>
  <c r="L781" i="7" a="1"/>
  <c r="L781" i="7" s="1"/>
  <c r="L782" i="7" a="1"/>
  <c r="L782" i="7" s="1"/>
  <c r="L783" i="7" a="1"/>
  <c r="L783" i="7" s="1"/>
  <c r="L784" i="7" a="1"/>
  <c r="L784" i="7" s="1"/>
  <c r="L785" i="7" a="1"/>
  <c r="L785" i="7" s="1"/>
  <c r="L786" i="7" a="1"/>
  <c r="L786" i="7" s="1"/>
  <c r="L787" i="7" a="1"/>
  <c r="L787" i="7" s="1"/>
  <c r="L788" i="7" a="1"/>
  <c r="L788" i="7" s="1"/>
  <c r="L789" i="7" a="1"/>
  <c r="L789" i="7" s="1"/>
  <c r="L790" i="7" a="1"/>
  <c r="L790" i="7"/>
  <c r="L791" i="7" a="1"/>
  <c r="L791" i="7" s="1"/>
  <c r="L792" i="7" a="1"/>
  <c r="L792" i="7" s="1"/>
  <c r="L793" i="7" a="1"/>
  <c r="L793" i="7" s="1"/>
  <c r="L794" i="7" a="1"/>
  <c r="L794" i="7"/>
  <c r="L795" i="7" a="1"/>
  <c r="L795" i="7" s="1"/>
  <c r="L796" i="7" a="1"/>
  <c r="L796" i="7" s="1"/>
  <c r="L797" i="7" a="1"/>
  <c r="L797" i="7" s="1"/>
  <c r="L798" i="7" a="1"/>
  <c r="L798" i="7" s="1"/>
  <c r="L799" i="7" a="1"/>
  <c r="L799" i="7"/>
  <c r="L800" i="7" a="1"/>
  <c r="L800" i="7" s="1"/>
  <c r="L801" i="7" a="1"/>
  <c r="L801" i="7" s="1"/>
  <c r="L802" i="7" a="1"/>
  <c r="L802" i="7"/>
  <c r="L803" i="7" a="1"/>
  <c r="L803" i="7" s="1"/>
  <c r="L804" i="7" a="1"/>
  <c r="L804" i="7" s="1"/>
  <c r="L805" i="7" a="1"/>
  <c r="L805" i="7"/>
  <c r="L806" i="7" a="1"/>
  <c r="L806" i="7"/>
  <c r="L807" i="7" a="1"/>
  <c r="L807" i="7"/>
  <c r="L808" i="7" a="1"/>
  <c r="L808" i="7" s="1"/>
  <c r="L809" i="7" a="1"/>
  <c r="L809" i="7" s="1"/>
  <c r="L810" i="7" a="1"/>
  <c r="L810" i="7" s="1"/>
  <c r="L811" i="7" a="1"/>
  <c r="L811" i="7" s="1"/>
  <c r="L812" i="7" a="1"/>
  <c r="L812" i="7" s="1"/>
  <c r="L813" i="7" a="1"/>
  <c r="L813" i="7" s="1"/>
  <c r="L814" i="7" a="1"/>
  <c r="L814" i="7" s="1"/>
  <c r="L815" i="7" a="1"/>
  <c r="L815" i="7" s="1"/>
  <c r="L816" i="7" a="1"/>
  <c r="L816" i="7" s="1"/>
  <c r="L817" i="7" a="1"/>
  <c r="L817" i="7" s="1"/>
  <c r="L818" i="7" a="1"/>
  <c r="L818" i="7" s="1"/>
  <c r="L819" i="7" a="1"/>
  <c r="L819" i="7"/>
  <c r="L820" i="7" a="1"/>
  <c r="L820" i="7" s="1"/>
  <c r="L821" i="7" a="1"/>
  <c r="L821" i="7" s="1"/>
  <c r="L822" i="7" a="1"/>
  <c r="L822" i="7"/>
  <c r="L823" i="7" a="1"/>
  <c r="L823" i="7" s="1"/>
  <c r="L824" i="7" a="1"/>
  <c r="L824" i="7" s="1"/>
  <c r="L825" i="7" a="1"/>
  <c r="L825" i="7" s="1"/>
  <c r="L826" i="7" a="1"/>
  <c r="L826" i="7" s="1"/>
  <c r="L827" i="7" a="1"/>
  <c r="L827" i="7" s="1"/>
  <c r="L828" i="7" a="1"/>
  <c r="L828" i="7"/>
  <c r="L829" i="7" a="1"/>
  <c r="L829" i="7" s="1"/>
  <c r="L830" i="7" a="1"/>
  <c r="L830" i="7"/>
  <c r="L831" i="7" a="1"/>
  <c r="L831" i="7"/>
  <c r="L832" i="7" a="1"/>
  <c r="L832" i="7" s="1"/>
  <c r="L833" i="7" a="1"/>
  <c r="L833" i="7"/>
  <c r="L834" i="7" a="1"/>
  <c r="L834" i="7" s="1"/>
  <c r="L835" i="7" a="1"/>
  <c r="L835" i="7" s="1"/>
  <c r="L836" i="7" a="1"/>
  <c r="L836" i="7"/>
  <c r="L837" i="7" a="1"/>
  <c r="L837" i="7" s="1"/>
  <c r="L838" i="7" a="1"/>
  <c r="L838" i="7" s="1"/>
  <c r="L839" i="7" a="1"/>
  <c r="L839" i="7" s="1"/>
  <c r="L840" i="7" a="1"/>
  <c r="L840" i="7"/>
  <c r="L841" i="7" a="1"/>
  <c r="L841" i="7" s="1"/>
  <c r="L842" i="7" a="1"/>
  <c r="L842" i="7" s="1"/>
  <c r="L843" i="7" a="1"/>
  <c r="L843" i="7" s="1"/>
  <c r="L844" i="7" a="1"/>
  <c r="L844" i="7"/>
  <c r="L845" i="7" a="1"/>
  <c r="L845" i="7" s="1"/>
  <c r="L846" i="7" a="1"/>
  <c r="L846" i="7" s="1"/>
  <c r="L847" i="7" a="1"/>
  <c r="L847" i="7" s="1"/>
  <c r="L848" i="7" a="1"/>
  <c r="L848" i="7"/>
  <c r="L849" i="7" a="1"/>
  <c r="L849" i="7"/>
  <c r="L850" i="7" a="1"/>
  <c r="L850" i="7"/>
  <c r="L851" i="7" a="1"/>
  <c r="L851" i="7" s="1"/>
  <c r="L852" i="7" a="1"/>
  <c r="L852" i="7" s="1"/>
  <c r="L853" i="7" a="1"/>
  <c r="L853" i="7" s="1"/>
  <c r="L854" i="7" a="1"/>
  <c r="L854" i="7" s="1"/>
  <c r="L855" i="7" a="1"/>
  <c r="L855" i="7" s="1"/>
  <c r="L856" i="7" a="1"/>
  <c r="L856" i="7"/>
  <c r="L857" i="7" a="1"/>
  <c r="L857" i="7"/>
  <c r="L858" i="7" a="1"/>
  <c r="L858" i="7" s="1"/>
  <c r="L859" i="7" a="1"/>
  <c r="L859" i="7" s="1"/>
  <c r="L860" i="7" a="1"/>
  <c r="L860" i="7"/>
  <c r="L861" i="7" a="1"/>
  <c r="L861" i="7" s="1"/>
  <c r="L862" i="7" a="1"/>
  <c r="L862" i="7"/>
  <c r="L863" i="7" a="1"/>
  <c r="L863" i="7" s="1"/>
  <c r="L864" i="7" a="1"/>
  <c r="L864" i="7" s="1"/>
  <c r="L865" i="7" a="1"/>
  <c r="L865" i="7" s="1"/>
  <c r="L866" i="7" a="1"/>
  <c r="L866" i="7" s="1"/>
  <c r="L867" i="7" a="1"/>
  <c r="L867" i="7" s="1"/>
  <c r="L868" i="7" a="1"/>
  <c r="L868" i="7"/>
  <c r="L869" i="7" a="1"/>
  <c r="L869" i="7" s="1"/>
  <c r="L870" i="7" a="1"/>
  <c r="L870" i="7"/>
  <c r="L871" i="7" a="1"/>
  <c r="L871" i="7" s="1"/>
  <c r="L872" i="7" a="1"/>
  <c r="L872" i="7" s="1"/>
  <c r="L873" i="7" a="1"/>
  <c r="L873" i="7" s="1"/>
  <c r="L874" i="7" a="1"/>
  <c r="L874" i="7" s="1"/>
  <c r="L875" i="7" a="1"/>
  <c r="L875" i="7" s="1"/>
  <c r="L876" i="7" a="1"/>
  <c r="L876" i="7"/>
  <c r="L877" i="7" a="1"/>
  <c r="L877" i="7" s="1"/>
  <c r="L878" i="7" a="1"/>
  <c r="L878" i="7" s="1"/>
  <c r="L879" i="7" a="1"/>
  <c r="L879" i="7" s="1"/>
  <c r="L880" i="7" a="1"/>
  <c r="L880" i="7" s="1"/>
  <c r="L881" i="7" a="1"/>
  <c r="L881" i="7" s="1"/>
  <c r="L882" i="7" a="1"/>
  <c r="L882" i="7" s="1"/>
  <c r="L883" i="7" a="1"/>
  <c r="L883" i="7" s="1"/>
  <c r="L884" i="7" a="1"/>
  <c r="L884" i="7" s="1"/>
  <c r="L885" i="7" a="1"/>
  <c r="L885" i="7" s="1"/>
  <c r="L886" i="7" a="1"/>
  <c r="L886" i="7"/>
  <c r="L887" i="7" a="1"/>
  <c r="L887" i="7"/>
  <c r="L888" i="7" a="1"/>
  <c r="L888" i="7" s="1"/>
  <c r="L889" i="7" a="1"/>
  <c r="L889" i="7" s="1"/>
  <c r="L890" i="7" a="1"/>
  <c r="L890" i="7" s="1"/>
  <c r="L891" i="7" a="1"/>
  <c r="L891" i="7" s="1"/>
  <c r="L892" i="7" a="1"/>
  <c r="L892" i="7" s="1"/>
  <c r="L893" i="7" a="1"/>
  <c r="L893" i="7" s="1"/>
  <c r="L894" i="7" a="1"/>
  <c r="L894" i="7"/>
  <c r="L895" i="7" a="1"/>
  <c r="L895" i="7" s="1"/>
  <c r="L896" i="7" a="1"/>
  <c r="L896" i="7"/>
  <c r="L897" i="7" a="1"/>
  <c r="L897" i="7" s="1"/>
  <c r="L898" i="7" a="1"/>
  <c r="L898" i="7" s="1"/>
  <c r="L899" i="7" a="1"/>
  <c r="L899" i="7" s="1"/>
  <c r="L900" i="7" a="1"/>
  <c r="L900" i="7"/>
  <c r="L901" i="7" a="1"/>
  <c r="L901" i="7" s="1"/>
  <c r="L902" i="7" a="1"/>
  <c r="L902" i="7"/>
  <c r="L903" i="7" a="1"/>
  <c r="L903" i="7"/>
  <c r="L904" i="7" a="1"/>
  <c r="L904" i="7" s="1"/>
  <c r="L905" i="7" a="1"/>
  <c r="L905" i="7" s="1"/>
  <c r="L906" i="7" a="1"/>
  <c r="L906" i="7" s="1"/>
  <c r="L907" i="7" a="1"/>
  <c r="L907" i="7" s="1"/>
  <c r="L908" i="7" a="1"/>
  <c r="L908" i="7" s="1"/>
  <c r="L909" i="7" a="1"/>
  <c r="L909" i="7"/>
  <c r="L910" i="7" a="1"/>
  <c r="L910" i="7" s="1"/>
  <c r="L911" i="7" a="1"/>
  <c r="L911" i="7" s="1"/>
  <c r="L912" i="7" a="1"/>
  <c r="L912" i="7"/>
  <c r="L913" i="7" a="1"/>
  <c r="L913" i="7" s="1"/>
  <c r="L914" i="7" a="1"/>
  <c r="L914" i="7" s="1"/>
  <c r="L915" i="7" a="1"/>
  <c r="L915" i="7"/>
  <c r="L916" i="7" a="1"/>
  <c r="L916" i="7" s="1"/>
  <c r="L917" i="7" a="1"/>
  <c r="L917" i="7" s="1"/>
  <c r="L918" i="7" a="1"/>
  <c r="L918" i="7" s="1"/>
  <c r="L919" i="7" a="1"/>
  <c r="L919" i="7" s="1"/>
  <c r="L920" i="7" a="1"/>
  <c r="L920" i="7"/>
  <c r="L921" i="7" a="1"/>
  <c r="L921" i="7"/>
  <c r="L922" i="7" a="1"/>
  <c r="L922" i="7"/>
  <c r="L923" i="7" a="1"/>
  <c r="L923" i="7" s="1"/>
  <c r="L924" i="7" a="1"/>
  <c r="L924" i="7" s="1"/>
  <c r="L925" i="7" a="1"/>
  <c r="L925" i="7" s="1"/>
  <c r="L926" i="7" a="1"/>
  <c r="L926" i="7" s="1"/>
  <c r="L927" i="7" a="1"/>
  <c r="L927" i="7"/>
  <c r="L928" i="7" a="1"/>
  <c r="L928" i="7"/>
  <c r="L929" i="7" a="1"/>
  <c r="L929" i="7"/>
  <c r="L930" i="7" a="1"/>
  <c r="L930" i="7" s="1"/>
  <c r="L931" i="7" a="1"/>
  <c r="L931" i="7" s="1"/>
  <c r="L932" i="7" a="1"/>
  <c r="L932" i="7" s="1"/>
  <c r="L933" i="7" a="1"/>
  <c r="L933" i="7" s="1"/>
  <c r="L934" i="7" a="1"/>
  <c r="L934" i="7"/>
  <c r="L935" i="7" a="1"/>
  <c r="L935" i="7" s="1"/>
  <c r="L936" i="7" a="1"/>
  <c r="L936" i="7" s="1"/>
  <c r="L937" i="7" a="1"/>
  <c r="L937" i="7" s="1"/>
  <c r="L938" i="7" a="1"/>
  <c r="L938" i="7" s="1"/>
  <c r="L939" i="7" a="1"/>
  <c r="L939" i="7" s="1"/>
  <c r="L940" i="7" a="1"/>
  <c r="L940" i="7" s="1"/>
  <c r="L941" i="7" a="1"/>
  <c r="L941" i="7" s="1"/>
  <c r="L942" i="7" a="1"/>
  <c r="L942" i="7"/>
  <c r="L943" i="7" a="1"/>
  <c r="L943" i="7" s="1"/>
  <c r="L944" i="7" a="1"/>
  <c r="L944" i="7" s="1"/>
  <c r="L945" i="7" a="1"/>
  <c r="L945" i="7"/>
  <c r="L946" i="7" a="1"/>
  <c r="L946" i="7"/>
  <c r="L947" i="7" a="1"/>
  <c r="L947" i="7" s="1"/>
  <c r="L948" i="7" a="1"/>
  <c r="L948" i="7"/>
  <c r="L949" i="7" a="1"/>
  <c r="L949" i="7" s="1"/>
  <c r="L950" i="7" a="1"/>
  <c r="L950" i="7" s="1"/>
  <c r="L951" i="7" a="1"/>
  <c r="L951" i="7" s="1"/>
  <c r="L952" i="7" a="1"/>
  <c r="L952" i="7" s="1"/>
  <c r="L953" i="7" a="1"/>
  <c r="L953" i="7" s="1"/>
  <c r="L954" i="7" a="1"/>
  <c r="L954" i="7"/>
  <c r="L955" i="7" a="1"/>
  <c r="L955" i="7" s="1"/>
  <c r="L956" i="7" a="1"/>
  <c r="L956" i="7" s="1"/>
  <c r="L957" i="7" a="1"/>
  <c r="L957" i="7" s="1"/>
  <c r="L958" i="7" a="1"/>
  <c r="L958" i="7"/>
  <c r="L959" i="7" a="1"/>
  <c r="L959" i="7" s="1"/>
  <c r="L960" i="7" a="1"/>
  <c r="L960" i="7" s="1"/>
  <c r="L961" i="7" a="1"/>
  <c r="L961" i="7" s="1"/>
  <c r="L962" i="7" a="1"/>
  <c r="L962" i="7" s="1"/>
  <c r="L963" i="7" a="1"/>
  <c r="L963" i="7" s="1"/>
  <c r="L964" i="7" a="1"/>
  <c r="L964" i="7" s="1"/>
  <c r="L965" i="7" a="1"/>
  <c r="L965" i="7" s="1"/>
  <c r="L966" i="7" a="1"/>
  <c r="L966" i="7"/>
  <c r="L967" i="7" a="1"/>
  <c r="L967" i="7" s="1"/>
  <c r="L968" i="7" a="1"/>
  <c r="L968" i="7" s="1"/>
  <c r="L969" i="7" a="1"/>
  <c r="L969" i="7" s="1"/>
  <c r="L970" i="7" a="1"/>
  <c r="L970" i="7" s="1"/>
  <c r="L971" i="7" a="1"/>
  <c r="L971" i="7" s="1"/>
  <c r="L972" i="7" a="1"/>
  <c r="L972" i="7" s="1"/>
  <c r="L973" i="7" a="1"/>
  <c r="L973" i="7" s="1"/>
  <c r="L974" i="7" a="1"/>
  <c r="L974" i="7"/>
  <c r="L975" i="7" a="1"/>
  <c r="L975" i="7"/>
  <c r="L976" i="7" a="1"/>
  <c r="L976" i="7" s="1"/>
  <c r="L977" i="7" a="1"/>
  <c r="L977" i="7" s="1"/>
  <c r="L978" i="7" a="1"/>
  <c r="L978" i="7" s="1"/>
  <c r="L979" i="7" a="1"/>
  <c r="L979" i="7" s="1"/>
  <c r="L980" i="7" a="1"/>
  <c r="L980" i="7" s="1"/>
  <c r="L981" i="7" a="1"/>
  <c r="L981" i="7"/>
  <c r="L982" i="7" a="1"/>
  <c r="L982" i="7" s="1"/>
  <c r="L983" i="7" a="1"/>
  <c r="L983" i="7" s="1"/>
  <c r="L984" i="7" a="1"/>
  <c r="L984" i="7"/>
  <c r="L985" i="7" a="1"/>
  <c r="L985" i="7" s="1"/>
  <c r="L986" i="7" a="1"/>
  <c r="L986" i="7"/>
  <c r="L987" i="7" a="1"/>
  <c r="L987" i="7"/>
  <c r="L988" i="7" a="1"/>
  <c r="L988" i="7" s="1"/>
  <c r="L989" i="7" a="1"/>
  <c r="L989" i="7" s="1"/>
  <c r="L990" i="7" a="1"/>
  <c r="L990" i="7" s="1"/>
  <c r="L991" i="7" a="1"/>
  <c r="L991" i="7" s="1"/>
  <c r="L992" i="7" a="1"/>
  <c r="L992" i="7"/>
  <c r="L993" i="7" a="1"/>
  <c r="L993" i="7" s="1"/>
  <c r="L994" i="7" a="1"/>
  <c r="L994" i="7" s="1"/>
  <c r="L995" i="7" a="1"/>
  <c r="L995" i="7" s="1"/>
  <c r="L996" i="7" a="1"/>
  <c r="L996" i="7" s="1"/>
  <c r="L997" i="7" a="1"/>
  <c r="L997" i="7" s="1"/>
  <c r="L998" i="7" a="1"/>
  <c r="L998" i="7" s="1"/>
  <c r="L999" i="7" a="1"/>
  <c r="L999" i="7"/>
  <c r="L3" i="7" a="1"/>
  <c r="L3" i="7" s="1"/>
  <c r="L4" i="7" a="1"/>
  <c r="L4" i="7"/>
  <c r="L5" i="7" a="1"/>
  <c r="L5" i="7" s="1"/>
  <c r="L6" i="7" a="1"/>
  <c r="L6" i="7" s="1"/>
  <c r="L7" i="7" a="1"/>
  <c r="L7" i="7" s="1"/>
  <c r="L8" i="7" a="1"/>
  <c r="L8" i="7" s="1"/>
  <c r="L9" i="7" a="1"/>
  <c r="L9" i="7" s="1"/>
  <c r="L2" i="7" a="1"/>
  <c r="L2" i="7" s="1"/>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2" i="7"/>
  <c r="C59" i="2"/>
  <c r="D59" i="2"/>
  <c r="C60" i="2"/>
  <c r="D60" i="2"/>
  <c r="C61" i="2"/>
  <c r="D61" i="2"/>
  <c r="C62" i="2"/>
  <c r="D62" i="2"/>
  <c r="C63" i="2"/>
  <c r="D63" i="2"/>
  <c r="C64" i="2"/>
  <c r="D64" i="2"/>
  <c r="C40" i="2"/>
  <c r="D40" i="2"/>
  <c r="C41" i="2"/>
  <c r="D41" i="2"/>
  <c r="C42" i="2"/>
  <c r="D42" i="2"/>
  <c r="C43" i="2"/>
  <c r="D43" i="2"/>
  <c r="C44" i="2"/>
  <c r="D44" i="2"/>
  <c r="C45" i="2"/>
  <c r="D45" i="2"/>
  <c r="C21" i="2"/>
  <c r="D21" i="2"/>
  <c r="C22" i="2"/>
  <c r="D22" i="2"/>
  <c r="C23" i="2"/>
  <c r="D23" i="2"/>
  <c r="C24" i="2"/>
  <c r="D24" i="2"/>
  <c r="C25" i="2"/>
  <c r="D25" i="2"/>
  <c r="C26" i="2"/>
  <c r="D26" i="2"/>
  <c r="C3" i="2"/>
  <c r="D3" i="2"/>
  <c r="C4" i="2"/>
  <c r="D4" i="2"/>
  <c r="C5" i="2"/>
  <c r="D5" i="2"/>
  <c r="C6" i="2"/>
  <c r="D6" i="2"/>
  <c r="C7" i="2"/>
  <c r="D7" i="2"/>
  <c r="D6" i="1"/>
  <c r="D5" i="1"/>
  <c r="G524" i="7"/>
  <c r="G999" i="9"/>
  <c r="G998" i="9"/>
  <c r="G997" i="9"/>
  <c r="G996" i="9"/>
  <c r="G995" i="9"/>
  <c r="G994" i="9"/>
  <c r="G993" i="9"/>
  <c r="G992" i="9"/>
  <c r="G991" i="9"/>
  <c r="G990" i="9"/>
  <c r="G989" i="9"/>
  <c r="G988" i="9"/>
  <c r="G987" i="9"/>
  <c r="G986" i="9"/>
  <c r="G985" i="9"/>
  <c r="G984" i="9"/>
  <c r="G983" i="9"/>
  <c r="G982" i="9"/>
  <c r="G981" i="9"/>
  <c r="G980" i="9"/>
  <c r="G979" i="9"/>
  <c r="G978" i="9"/>
  <c r="G977" i="9"/>
  <c r="G976" i="9"/>
  <c r="G975" i="9"/>
  <c r="G974" i="9"/>
  <c r="G973" i="9"/>
  <c r="G972" i="9"/>
  <c r="G971" i="9"/>
  <c r="G970" i="9"/>
  <c r="G969" i="9"/>
  <c r="G968" i="9"/>
  <c r="G967" i="9"/>
  <c r="G966" i="9"/>
  <c r="G965" i="9"/>
  <c r="G964" i="9"/>
  <c r="G963" i="9"/>
  <c r="G962" i="9"/>
  <c r="G961" i="9"/>
  <c r="G960" i="9"/>
  <c r="G959" i="9"/>
  <c r="G958" i="9"/>
  <c r="G957" i="9"/>
  <c r="G956" i="9"/>
  <c r="G955" i="9"/>
  <c r="G954" i="9"/>
  <c r="G953" i="9"/>
  <c r="G952" i="9"/>
  <c r="G951" i="9"/>
  <c r="G950" i="9"/>
  <c r="G949" i="9"/>
  <c r="G948" i="9"/>
  <c r="G947" i="9"/>
  <c r="G946" i="9"/>
  <c r="G945" i="9"/>
  <c r="G944" i="9"/>
  <c r="G943" i="9"/>
  <c r="G942" i="9"/>
  <c r="G941" i="9"/>
  <c r="G940" i="9"/>
  <c r="G939" i="9"/>
  <c r="G938" i="9"/>
  <c r="G937" i="9"/>
  <c r="G936" i="9"/>
  <c r="G935" i="9"/>
  <c r="G934" i="9"/>
  <c r="G933" i="9"/>
  <c r="G932" i="9"/>
  <c r="G931" i="9"/>
  <c r="G930" i="9"/>
  <c r="G929" i="9"/>
  <c r="G928" i="9"/>
  <c r="G927" i="9"/>
  <c r="G926" i="9"/>
  <c r="G925" i="9"/>
  <c r="G924" i="9"/>
  <c r="G923" i="9"/>
  <c r="G922" i="9"/>
  <c r="G921" i="9"/>
  <c r="G920" i="9"/>
  <c r="G919" i="9"/>
  <c r="G918" i="9"/>
  <c r="G917" i="9"/>
  <c r="G916" i="9"/>
  <c r="G915" i="9"/>
  <c r="G914" i="9"/>
  <c r="G913" i="9"/>
  <c r="G912" i="9"/>
  <c r="G911" i="9"/>
  <c r="G910" i="9"/>
  <c r="G909" i="9"/>
  <c r="G908" i="9"/>
  <c r="G907" i="9"/>
  <c r="G906" i="9"/>
  <c r="G905" i="9"/>
  <c r="G904" i="9"/>
  <c r="G903" i="9"/>
  <c r="G902" i="9"/>
  <c r="G901" i="9"/>
  <c r="G900" i="9"/>
  <c r="G899" i="9"/>
  <c r="G898" i="9"/>
  <c r="G897" i="9"/>
  <c r="G896" i="9"/>
  <c r="G895" i="9"/>
  <c r="G894" i="9"/>
  <c r="G893" i="9"/>
  <c r="G892" i="9"/>
  <c r="G891" i="9"/>
  <c r="G890" i="9"/>
  <c r="G889" i="9"/>
  <c r="G888" i="9"/>
  <c r="G887" i="9"/>
  <c r="G886" i="9"/>
  <c r="G885" i="9"/>
  <c r="G884" i="9"/>
  <c r="G883" i="9"/>
  <c r="G882" i="9"/>
  <c r="G881" i="9"/>
  <c r="G880" i="9"/>
  <c r="G879" i="9"/>
  <c r="G878" i="9"/>
  <c r="G877" i="9"/>
  <c r="G876" i="9"/>
  <c r="G875" i="9"/>
  <c r="G874" i="9"/>
  <c r="G873" i="9"/>
  <c r="G872" i="9"/>
  <c r="G871" i="9"/>
  <c r="G870" i="9"/>
  <c r="G869" i="9"/>
  <c r="G868" i="9"/>
  <c r="G867" i="9"/>
  <c r="G866" i="9"/>
  <c r="G865" i="9"/>
  <c r="G864" i="9"/>
  <c r="G863" i="9"/>
  <c r="G862" i="9"/>
  <c r="G861" i="9"/>
  <c r="G860" i="9"/>
  <c r="G859" i="9"/>
  <c r="G858" i="9"/>
  <c r="G857" i="9"/>
  <c r="G856" i="9"/>
  <c r="G855" i="9"/>
  <c r="G854" i="9"/>
  <c r="G853" i="9"/>
  <c r="G852" i="9"/>
  <c r="G851" i="9"/>
  <c r="G850" i="9"/>
  <c r="G849" i="9"/>
  <c r="G848" i="9"/>
  <c r="G847" i="9"/>
  <c r="G846" i="9"/>
  <c r="G845" i="9"/>
  <c r="G844" i="9"/>
  <c r="G843" i="9"/>
  <c r="G842" i="9"/>
  <c r="G841" i="9"/>
  <c r="G840" i="9"/>
  <c r="G839" i="9"/>
  <c r="G838" i="9"/>
  <c r="G837" i="9"/>
  <c r="G836" i="9"/>
  <c r="G835" i="9"/>
  <c r="G834" i="9"/>
  <c r="G833" i="9"/>
  <c r="G832" i="9"/>
  <c r="G831" i="9"/>
  <c r="G830" i="9"/>
  <c r="G829" i="9"/>
  <c r="G828" i="9"/>
  <c r="G827" i="9"/>
  <c r="G826" i="9"/>
  <c r="G825" i="9"/>
  <c r="G824" i="9"/>
  <c r="G823" i="9"/>
  <c r="G822" i="9"/>
  <c r="G821" i="9"/>
  <c r="G820" i="9"/>
  <c r="G819" i="9"/>
  <c r="G818" i="9"/>
  <c r="G817" i="9"/>
  <c r="G816" i="9"/>
  <c r="G815" i="9"/>
  <c r="G814" i="9"/>
  <c r="G813" i="9"/>
  <c r="G812" i="9"/>
  <c r="G811" i="9"/>
  <c r="G810" i="9"/>
  <c r="G809" i="9"/>
  <c r="G808" i="9"/>
  <c r="G807" i="9"/>
  <c r="G806" i="9"/>
  <c r="G805" i="9"/>
  <c r="G804" i="9"/>
  <c r="G803" i="9"/>
  <c r="G802" i="9"/>
  <c r="G801" i="9"/>
  <c r="G800" i="9"/>
  <c r="G799" i="9"/>
  <c r="G798" i="9"/>
  <c r="G797" i="9"/>
  <c r="G796" i="9"/>
  <c r="G795" i="9"/>
  <c r="G794" i="9"/>
  <c r="G793" i="9"/>
  <c r="G792" i="9"/>
  <c r="G791" i="9"/>
  <c r="G790" i="9"/>
  <c r="G789" i="9"/>
  <c r="G788" i="9"/>
  <c r="G787" i="9"/>
  <c r="G786" i="9"/>
  <c r="G785" i="9"/>
  <c r="G784" i="9"/>
  <c r="G783" i="9"/>
  <c r="G782" i="9"/>
  <c r="G781" i="9"/>
  <c r="G780" i="9"/>
  <c r="G779" i="9"/>
  <c r="G778" i="9"/>
  <c r="G777" i="9"/>
  <c r="G776" i="9"/>
  <c r="G775" i="9"/>
  <c r="G774" i="9"/>
  <c r="G773" i="9"/>
  <c r="G772" i="9"/>
  <c r="G771" i="9"/>
  <c r="G770" i="9"/>
  <c r="G769" i="9"/>
  <c r="G768" i="9"/>
  <c r="G767" i="9"/>
  <c r="G766" i="9"/>
  <c r="G765" i="9"/>
  <c r="G764" i="9"/>
  <c r="G763" i="9"/>
  <c r="G762" i="9"/>
  <c r="G761" i="9"/>
  <c r="G760" i="9"/>
  <c r="G759" i="9"/>
  <c r="G758" i="9"/>
  <c r="G757" i="9"/>
  <c r="G756" i="9"/>
  <c r="G755" i="9"/>
  <c r="G754" i="9"/>
  <c r="G753" i="9"/>
  <c r="G752" i="9"/>
  <c r="G751" i="9"/>
  <c r="G750" i="9"/>
  <c r="G749" i="9"/>
  <c r="G748" i="9"/>
  <c r="G747" i="9"/>
  <c r="G746" i="9"/>
  <c r="G745" i="9"/>
  <c r="G744" i="9"/>
  <c r="G743" i="9"/>
  <c r="G742" i="9"/>
  <c r="G741" i="9"/>
  <c r="G740" i="9"/>
  <c r="G739" i="9"/>
  <c r="G738" i="9"/>
  <c r="G737" i="9"/>
  <c r="G736" i="9"/>
  <c r="G735" i="9"/>
  <c r="G734" i="9"/>
  <c r="G733" i="9"/>
  <c r="G732" i="9"/>
  <c r="G731" i="9"/>
  <c r="G730" i="9"/>
  <c r="G729" i="9"/>
  <c r="G728" i="9"/>
  <c r="G727" i="9"/>
  <c r="G726" i="9"/>
  <c r="G725" i="9"/>
  <c r="G724" i="9"/>
  <c r="G723" i="9"/>
  <c r="G722" i="9"/>
  <c r="G721" i="9"/>
  <c r="G720" i="9"/>
  <c r="G719" i="9"/>
  <c r="G718" i="9"/>
  <c r="G717" i="9"/>
  <c r="G716" i="9"/>
  <c r="G715" i="9"/>
  <c r="G714" i="9"/>
  <c r="G713" i="9"/>
  <c r="G712" i="9"/>
  <c r="G711" i="9"/>
  <c r="G710" i="9"/>
  <c r="G709" i="9"/>
  <c r="G708" i="9"/>
  <c r="G707" i="9"/>
  <c r="G706" i="9"/>
  <c r="G705" i="9"/>
  <c r="G704" i="9"/>
  <c r="G703" i="9"/>
  <c r="G702" i="9"/>
  <c r="G701" i="9"/>
  <c r="G700" i="9"/>
  <c r="G699" i="9"/>
  <c r="G698" i="9"/>
  <c r="G697" i="9"/>
  <c r="G696" i="9"/>
  <c r="G695" i="9"/>
  <c r="G694" i="9"/>
  <c r="G693" i="9"/>
  <c r="G692" i="9"/>
  <c r="G691" i="9"/>
  <c r="G690" i="9"/>
  <c r="G689" i="9"/>
  <c r="G688" i="9"/>
  <c r="G687" i="9"/>
  <c r="G686" i="9"/>
  <c r="G685" i="9"/>
  <c r="G684" i="9"/>
  <c r="G683" i="9"/>
  <c r="G682" i="9"/>
  <c r="G681" i="9"/>
  <c r="G680" i="9"/>
  <c r="G679" i="9"/>
  <c r="G678" i="9"/>
  <c r="G677" i="9"/>
  <c r="G676" i="9"/>
  <c r="G675" i="9"/>
  <c r="G674" i="9"/>
  <c r="G673" i="9"/>
  <c r="G672" i="9"/>
  <c r="G671" i="9"/>
  <c r="G670" i="9"/>
  <c r="G669" i="9"/>
  <c r="G668" i="9"/>
  <c r="G667" i="9"/>
  <c r="G666" i="9"/>
  <c r="G665" i="9"/>
  <c r="G664" i="9"/>
  <c r="G663" i="9"/>
  <c r="G662" i="9"/>
  <c r="G661" i="9"/>
  <c r="G660" i="9"/>
  <c r="G659" i="9"/>
  <c r="G658" i="9"/>
  <c r="G657" i="9"/>
  <c r="G656" i="9"/>
  <c r="G655" i="9"/>
  <c r="G654" i="9"/>
  <c r="G653" i="9"/>
  <c r="G652" i="9"/>
  <c r="G651" i="9"/>
  <c r="G650" i="9"/>
  <c r="G649" i="9"/>
  <c r="G648" i="9"/>
  <c r="G647" i="9"/>
  <c r="G646" i="9"/>
  <c r="G645" i="9"/>
  <c r="G644" i="9"/>
  <c r="G643" i="9"/>
  <c r="G642" i="9"/>
  <c r="G641" i="9"/>
  <c r="G640" i="9"/>
  <c r="G639" i="9"/>
  <c r="G638" i="9"/>
  <c r="G637" i="9"/>
  <c r="G636" i="9"/>
  <c r="G635" i="9"/>
  <c r="G634" i="9"/>
  <c r="G633" i="9"/>
  <c r="G632" i="9"/>
  <c r="G631" i="9"/>
  <c r="G630" i="9"/>
  <c r="G629" i="9"/>
  <c r="G628" i="9"/>
  <c r="G627" i="9"/>
  <c r="G626" i="9"/>
  <c r="G625" i="9"/>
  <c r="G624" i="9"/>
  <c r="G623" i="9"/>
  <c r="G622" i="9"/>
  <c r="G621" i="9"/>
  <c r="G620" i="9"/>
  <c r="G619" i="9"/>
  <c r="G618" i="9"/>
  <c r="G617" i="9"/>
  <c r="G616" i="9"/>
  <c r="G615" i="9"/>
  <c r="G614" i="9"/>
  <c r="G613" i="9"/>
  <c r="G612" i="9"/>
  <c r="G611" i="9"/>
  <c r="G610" i="9"/>
  <c r="G609" i="9"/>
  <c r="G608" i="9"/>
  <c r="G607" i="9"/>
  <c r="G606" i="9"/>
  <c r="G605" i="9"/>
  <c r="G604" i="9"/>
  <c r="G603" i="9"/>
  <c r="G602" i="9"/>
  <c r="G601" i="9"/>
  <c r="G600" i="9"/>
  <c r="G599" i="9"/>
  <c r="G598" i="9"/>
  <c r="G597" i="9"/>
  <c r="G596" i="9"/>
  <c r="G595" i="9"/>
  <c r="G594" i="9"/>
  <c r="G593" i="9"/>
  <c r="G592" i="9"/>
  <c r="G591" i="9"/>
  <c r="G590" i="9"/>
  <c r="G589" i="9"/>
  <c r="G588" i="9"/>
  <c r="G587" i="9"/>
  <c r="G586" i="9"/>
  <c r="G585" i="9"/>
  <c r="G584" i="9"/>
  <c r="G583" i="9"/>
  <c r="G582" i="9"/>
  <c r="G581" i="9"/>
  <c r="G580" i="9"/>
  <c r="G579" i="9"/>
  <c r="G578" i="9"/>
  <c r="G577" i="9"/>
  <c r="G576" i="9"/>
  <c r="G575" i="9"/>
  <c r="G574" i="9"/>
  <c r="G573" i="9"/>
  <c r="G572" i="9"/>
  <c r="G571" i="9"/>
  <c r="G570" i="9"/>
  <c r="G569" i="9"/>
  <c r="G568" i="9"/>
  <c r="G567" i="9"/>
  <c r="G566" i="9"/>
  <c r="G565" i="9"/>
  <c r="G564" i="9"/>
  <c r="G563" i="9"/>
  <c r="G562" i="9"/>
  <c r="G561" i="9"/>
  <c r="G560" i="9"/>
  <c r="G559" i="9"/>
  <c r="G558" i="9"/>
  <c r="G557" i="9"/>
  <c r="G556" i="9"/>
  <c r="G555" i="9"/>
  <c r="G554" i="9"/>
  <c r="G553" i="9"/>
  <c r="G552" i="9"/>
  <c r="G551" i="9"/>
  <c r="G550" i="9"/>
  <c r="G549" i="9"/>
  <c r="G548" i="9"/>
  <c r="G547" i="9"/>
  <c r="G546" i="9"/>
  <c r="G545" i="9"/>
  <c r="G544" i="9"/>
  <c r="G543" i="9"/>
  <c r="G542" i="9"/>
  <c r="G541" i="9"/>
  <c r="G540" i="9"/>
  <c r="G539" i="9"/>
  <c r="G538" i="9"/>
  <c r="G537" i="9"/>
  <c r="G536" i="9"/>
  <c r="G535" i="9"/>
  <c r="G534" i="9"/>
  <c r="G533" i="9"/>
  <c r="G532" i="9"/>
  <c r="G531" i="9"/>
  <c r="G530" i="9"/>
  <c r="G529" i="9"/>
  <c r="G528" i="9"/>
  <c r="G527" i="9"/>
  <c r="G526" i="9"/>
  <c r="G525" i="9"/>
  <c r="G524" i="9"/>
  <c r="G523" i="9"/>
  <c r="G522" i="9"/>
  <c r="G521" i="9"/>
  <c r="G520" i="9"/>
  <c r="G519" i="9"/>
  <c r="G518" i="9"/>
  <c r="G517" i="9"/>
  <c r="G516" i="9"/>
  <c r="G515" i="9"/>
  <c r="G514" i="9"/>
  <c r="G513" i="9"/>
  <c r="G512" i="9"/>
  <c r="G511" i="9"/>
  <c r="G510" i="9"/>
  <c r="G509" i="9"/>
  <c r="G508" i="9"/>
  <c r="G507" i="9"/>
  <c r="G506" i="9"/>
  <c r="G505" i="9"/>
  <c r="G504" i="9"/>
  <c r="G503" i="9"/>
  <c r="G502" i="9"/>
  <c r="G501" i="9"/>
  <c r="G500" i="9"/>
  <c r="G499" i="9"/>
  <c r="G498" i="9"/>
  <c r="G497" i="9"/>
  <c r="G496" i="9"/>
  <c r="G495" i="9"/>
  <c r="G494" i="9"/>
  <c r="G493" i="9"/>
  <c r="G492" i="9"/>
  <c r="G491" i="9"/>
  <c r="G490" i="9"/>
  <c r="G489" i="9"/>
  <c r="G488" i="9"/>
  <c r="G487" i="9"/>
  <c r="G486" i="9"/>
  <c r="G485" i="9"/>
  <c r="G484" i="9"/>
  <c r="G483" i="9"/>
  <c r="G482" i="9"/>
  <c r="G481" i="9"/>
  <c r="G480" i="9"/>
  <c r="G479" i="9"/>
  <c r="G478" i="9"/>
  <c r="G477" i="9"/>
  <c r="G476" i="9"/>
  <c r="G475" i="9"/>
  <c r="G474" i="9"/>
  <c r="G473" i="9"/>
  <c r="G472" i="9"/>
  <c r="G471" i="9"/>
  <c r="G470" i="9"/>
  <c r="G469" i="9"/>
  <c r="G468" i="9"/>
  <c r="G467" i="9"/>
  <c r="G466" i="9"/>
  <c r="G465" i="9"/>
  <c r="G464" i="9"/>
  <c r="G463" i="9"/>
  <c r="G462" i="9"/>
  <c r="G461" i="9"/>
  <c r="G460" i="9"/>
  <c r="G459" i="9"/>
  <c r="G458" i="9"/>
  <c r="G457" i="9"/>
  <c r="G456" i="9"/>
  <c r="G455" i="9"/>
  <c r="G454" i="9"/>
  <c r="G453" i="9"/>
  <c r="G452" i="9"/>
  <c r="G451" i="9"/>
  <c r="G450" i="9"/>
  <c r="G449" i="9"/>
  <c r="G448" i="9"/>
  <c r="G447" i="9"/>
  <c r="G446" i="9"/>
  <c r="G445" i="9"/>
  <c r="G444" i="9"/>
  <c r="G443" i="9"/>
  <c r="G442" i="9"/>
  <c r="G441" i="9"/>
  <c r="G440" i="9"/>
  <c r="G439" i="9"/>
  <c r="G438" i="9"/>
  <c r="G437" i="9"/>
  <c r="G436" i="9"/>
  <c r="G435" i="9"/>
  <c r="G434" i="9"/>
  <c r="G433" i="9"/>
  <c r="G432" i="9"/>
  <c r="G431" i="9"/>
  <c r="G430" i="9"/>
  <c r="G429" i="9"/>
  <c r="G428" i="9"/>
  <c r="G427" i="9"/>
  <c r="G426" i="9"/>
  <c r="G425" i="9"/>
  <c r="G424" i="9"/>
  <c r="G423" i="9"/>
  <c r="G422" i="9"/>
  <c r="G421" i="9"/>
  <c r="G420" i="9"/>
  <c r="G419" i="9"/>
  <c r="G418" i="9"/>
  <c r="G417" i="9"/>
  <c r="G416" i="9"/>
  <c r="G415" i="9"/>
  <c r="G414" i="9"/>
  <c r="G413" i="9"/>
  <c r="G412" i="9"/>
  <c r="G411" i="9"/>
  <c r="G410" i="9"/>
  <c r="G409" i="9"/>
  <c r="G408" i="9"/>
  <c r="G407" i="9"/>
  <c r="G406" i="9"/>
  <c r="G405" i="9"/>
  <c r="G404" i="9"/>
  <c r="G403" i="9"/>
  <c r="G402" i="9"/>
  <c r="G401" i="9"/>
  <c r="G400" i="9"/>
  <c r="G399" i="9"/>
  <c r="G398" i="9"/>
  <c r="G397" i="9"/>
  <c r="G396" i="9"/>
  <c r="G395" i="9"/>
  <c r="G394" i="9"/>
  <c r="G393" i="9"/>
  <c r="G392" i="9"/>
  <c r="G391" i="9"/>
  <c r="G390" i="9"/>
  <c r="G389" i="9"/>
  <c r="G388" i="9"/>
  <c r="G387" i="9"/>
  <c r="G386" i="9"/>
  <c r="G385" i="9"/>
  <c r="G384" i="9"/>
  <c r="G383" i="9"/>
  <c r="G382" i="9"/>
  <c r="G381" i="9"/>
  <c r="G380" i="9"/>
  <c r="G379" i="9"/>
  <c r="G378" i="9"/>
  <c r="G377" i="9"/>
  <c r="G376" i="9"/>
  <c r="G375" i="9"/>
  <c r="G374" i="9"/>
  <c r="G373" i="9"/>
  <c r="G372" i="9"/>
  <c r="G371" i="9"/>
  <c r="G370" i="9"/>
  <c r="G369" i="9"/>
  <c r="G368" i="9"/>
  <c r="G367" i="9"/>
  <c r="G366" i="9"/>
  <c r="G365" i="9"/>
  <c r="G364" i="9"/>
  <c r="G363" i="9"/>
  <c r="G362" i="9"/>
  <c r="G361" i="9"/>
  <c r="G360" i="9"/>
  <c r="G359" i="9"/>
  <c r="G358" i="9"/>
  <c r="G357" i="9"/>
  <c r="G356" i="9"/>
  <c r="G355" i="9"/>
  <c r="G354" i="9"/>
  <c r="G353" i="9"/>
  <c r="G352" i="9"/>
  <c r="G351" i="9"/>
  <c r="G350" i="9"/>
  <c r="G349" i="9"/>
  <c r="G348" i="9"/>
  <c r="G347" i="9"/>
  <c r="G346" i="9"/>
  <c r="G345" i="9"/>
  <c r="G344" i="9"/>
  <c r="G343" i="9"/>
  <c r="G342" i="9"/>
  <c r="G341" i="9"/>
  <c r="G340" i="9"/>
  <c r="G339" i="9"/>
  <c r="G338" i="9"/>
  <c r="G337" i="9"/>
  <c r="G336" i="9"/>
  <c r="G335" i="9"/>
  <c r="G334" i="9"/>
  <c r="G333" i="9"/>
  <c r="G332" i="9"/>
  <c r="G331" i="9"/>
  <c r="G330" i="9"/>
  <c r="G329" i="9"/>
  <c r="G328" i="9"/>
  <c r="G327" i="9"/>
  <c r="G326" i="9"/>
  <c r="G325" i="9"/>
  <c r="G324" i="9"/>
  <c r="G323" i="9"/>
  <c r="G322" i="9"/>
  <c r="G321" i="9"/>
  <c r="G320" i="9"/>
  <c r="G319" i="9"/>
  <c r="G318" i="9"/>
  <c r="G317" i="9"/>
  <c r="G316" i="9"/>
  <c r="G315" i="9"/>
  <c r="G314" i="9"/>
  <c r="G313" i="9"/>
  <c r="G312" i="9"/>
  <c r="G311" i="9"/>
  <c r="G310" i="9"/>
  <c r="G309" i="9"/>
  <c r="G308" i="9"/>
  <c r="G307" i="9"/>
  <c r="G306" i="9"/>
  <c r="G305" i="9"/>
  <c r="G304" i="9"/>
  <c r="G303" i="9"/>
  <c r="G302" i="9"/>
  <c r="G301" i="9"/>
  <c r="G300" i="9"/>
  <c r="G299" i="9"/>
  <c r="G298" i="9"/>
  <c r="G297" i="9"/>
  <c r="G296" i="9"/>
  <c r="G295" i="9"/>
  <c r="G294" i="9"/>
  <c r="G293" i="9"/>
  <c r="G292" i="9"/>
  <c r="G291" i="9"/>
  <c r="G290" i="9"/>
  <c r="G289" i="9"/>
  <c r="G288" i="9"/>
  <c r="G287" i="9"/>
  <c r="G286" i="9"/>
  <c r="G285" i="9"/>
  <c r="G284" i="9"/>
  <c r="G283" i="9"/>
  <c r="G282" i="9"/>
  <c r="G281" i="9"/>
  <c r="G280" i="9"/>
  <c r="G279" i="9"/>
  <c r="G278" i="9"/>
  <c r="G277" i="9"/>
  <c r="G276" i="9"/>
  <c r="G275" i="9"/>
  <c r="G274" i="9"/>
  <c r="G273" i="9"/>
  <c r="G272" i="9"/>
  <c r="G271" i="9"/>
  <c r="G270" i="9"/>
  <c r="G269" i="9"/>
  <c r="G268" i="9"/>
  <c r="G267" i="9"/>
  <c r="G266" i="9"/>
  <c r="G265" i="9"/>
  <c r="G264" i="9"/>
  <c r="G263" i="9"/>
  <c r="G262" i="9"/>
  <c r="G261" i="9"/>
  <c r="G260" i="9"/>
  <c r="G259" i="9"/>
  <c r="G258" i="9"/>
  <c r="G257" i="9"/>
  <c r="G256" i="9"/>
  <c r="G255" i="9"/>
  <c r="G254" i="9"/>
  <c r="G253" i="9"/>
  <c r="G252" i="9"/>
  <c r="G251" i="9"/>
  <c r="G250" i="9"/>
  <c r="G249" i="9"/>
  <c r="G248" i="9"/>
  <c r="G247" i="9"/>
  <c r="G246" i="9"/>
  <c r="G245" i="9"/>
  <c r="G244" i="9"/>
  <c r="G243" i="9"/>
  <c r="G242" i="9"/>
  <c r="G241" i="9"/>
  <c r="G240" i="9"/>
  <c r="G239" i="9"/>
  <c r="G238" i="9"/>
  <c r="G237" i="9"/>
  <c r="G236" i="9"/>
  <c r="G235" i="9"/>
  <c r="G234" i="9"/>
  <c r="G233" i="9"/>
  <c r="G232" i="9"/>
  <c r="G231" i="9"/>
  <c r="G230" i="9"/>
  <c r="G229" i="9"/>
  <c r="G228" i="9"/>
  <c r="G227" i="9"/>
  <c r="G226" i="9"/>
  <c r="G225" i="9"/>
  <c r="G224" i="9"/>
  <c r="G223" i="9"/>
  <c r="G222" i="9"/>
  <c r="G221" i="9"/>
  <c r="G220" i="9"/>
  <c r="G219" i="9"/>
  <c r="G218" i="9"/>
  <c r="G217" i="9"/>
  <c r="G216" i="9"/>
  <c r="G215" i="9"/>
  <c r="G214" i="9"/>
  <c r="G213" i="9"/>
  <c r="G212" i="9"/>
  <c r="G211" i="9"/>
  <c r="G210" i="9"/>
  <c r="G209" i="9"/>
  <c r="G208" i="9"/>
  <c r="G207" i="9"/>
  <c r="G206" i="9"/>
  <c r="G205" i="9"/>
  <c r="G204" i="9"/>
  <c r="G203" i="9"/>
  <c r="G202" i="9"/>
  <c r="G201" i="9"/>
  <c r="G200" i="9"/>
  <c r="G199" i="9"/>
  <c r="G198" i="9"/>
  <c r="G197" i="9"/>
  <c r="G196" i="9"/>
  <c r="G195" i="9"/>
  <c r="G194" i="9"/>
  <c r="G193" i="9"/>
  <c r="G192" i="9"/>
  <c r="G191" i="9"/>
  <c r="G190" i="9"/>
  <c r="G189" i="9"/>
  <c r="G188" i="9"/>
  <c r="G187" i="9"/>
  <c r="G186" i="9"/>
  <c r="G185" i="9"/>
  <c r="G184" i="9"/>
  <c r="G183" i="9"/>
  <c r="G182" i="9"/>
  <c r="G181" i="9"/>
  <c r="G180" i="9"/>
  <c r="G179" i="9"/>
  <c r="G178" i="9"/>
  <c r="G177" i="9"/>
  <c r="G176" i="9"/>
  <c r="G175" i="9"/>
  <c r="G174" i="9"/>
  <c r="G173" i="9"/>
  <c r="G172" i="9"/>
  <c r="G171" i="9"/>
  <c r="G170" i="9"/>
  <c r="G169" i="9"/>
  <c r="G168" i="9"/>
  <c r="G167" i="9"/>
  <c r="G166" i="9"/>
  <c r="G165" i="9"/>
  <c r="G164" i="9"/>
  <c r="G163" i="9"/>
  <c r="G162" i="9"/>
  <c r="G161" i="9"/>
  <c r="G160" i="9"/>
  <c r="G159" i="9"/>
  <c r="G158" i="9"/>
  <c r="G157" i="9"/>
  <c r="G156" i="9"/>
  <c r="G155" i="9"/>
  <c r="G154" i="9"/>
  <c r="G153" i="9"/>
  <c r="G152" i="9"/>
  <c r="G151" i="9"/>
  <c r="G150" i="9"/>
  <c r="G149" i="9"/>
  <c r="G148" i="9"/>
  <c r="G147" i="9"/>
  <c r="G146" i="9"/>
  <c r="G145" i="9"/>
  <c r="G144" i="9"/>
  <c r="G143" i="9"/>
  <c r="G142" i="9"/>
  <c r="G141" i="9"/>
  <c r="G140" i="9"/>
  <c r="G139" i="9"/>
  <c r="G138" i="9"/>
  <c r="G137" i="9"/>
  <c r="G136" i="9"/>
  <c r="G135" i="9"/>
  <c r="G134" i="9"/>
  <c r="G133" i="9"/>
  <c r="G132" i="9"/>
  <c r="G131" i="9"/>
  <c r="G130" i="9"/>
  <c r="G129" i="9"/>
  <c r="G128" i="9"/>
  <c r="G127" i="9"/>
  <c r="G126" i="9"/>
  <c r="G125" i="9"/>
  <c r="G124" i="9"/>
  <c r="G123" i="9"/>
  <c r="G122" i="9"/>
  <c r="G121" i="9"/>
  <c r="G120" i="9"/>
  <c r="G119" i="9"/>
  <c r="G118" i="9"/>
  <c r="G117" i="9"/>
  <c r="G116" i="9"/>
  <c r="G115" i="9"/>
  <c r="G114" i="9"/>
  <c r="G113" i="9"/>
  <c r="G112" i="9"/>
  <c r="G111" i="9"/>
  <c r="G110" i="9"/>
  <c r="G109" i="9"/>
  <c r="G108" i="9"/>
  <c r="G107" i="9"/>
  <c r="G106" i="9"/>
  <c r="G105" i="9"/>
  <c r="G104" i="9"/>
  <c r="G103" i="9"/>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G3" i="9"/>
  <c r="G2" i="9"/>
  <c r="G230" i="7"/>
  <c r="G925" i="7"/>
  <c r="G398" i="7"/>
  <c r="G397" i="7"/>
  <c r="G396" i="7"/>
  <c r="G208" i="7"/>
  <c r="G772" i="7"/>
  <c r="G270" i="7"/>
  <c r="G62" i="7"/>
  <c r="G61" i="7"/>
  <c r="G60" i="7"/>
  <c r="G337" i="7"/>
  <c r="G336" i="7"/>
  <c r="G335" i="7"/>
  <c r="G334" i="7"/>
  <c r="G190" i="7"/>
  <c r="G189" i="7"/>
  <c r="G665" i="7"/>
  <c r="G539" i="7"/>
  <c r="G188" i="7"/>
  <c r="G187" i="7"/>
  <c r="G995" i="7"/>
  <c r="G994" i="7"/>
  <c r="G431" i="7"/>
  <c r="G430" i="7"/>
  <c r="G907" i="7"/>
  <c r="G993" i="7"/>
  <c r="G455" i="7"/>
  <c r="G454" i="7"/>
  <c r="G670" i="7"/>
  <c r="G992" i="7"/>
  <c r="G991" i="7"/>
  <c r="G990" i="7"/>
  <c r="G989" i="7"/>
  <c r="G988" i="7"/>
  <c r="G987" i="7"/>
  <c r="G429" i="7"/>
  <c r="G391" i="7"/>
  <c r="G866" i="7"/>
  <c r="G73" i="7"/>
  <c r="G850" i="7"/>
  <c r="G849" i="7"/>
  <c r="G917" i="7"/>
  <c r="G407" i="7"/>
  <c r="G406" i="7"/>
  <c r="G664" i="7"/>
  <c r="G351" i="7"/>
  <c r="G135" i="7"/>
  <c r="G134" i="7"/>
  <c r="G133" i="7"/>
  <c r="G132" i="7"/>
  <c r="G209" i="7"/>
  <c r="G22" i="7"/>
  <c r="G949" i="7"/>
  <c r="G59" i="7"/>
  <c r="G395" i="7"/>
  <c r="G870" i="7"/>
  <c r="G869" i="7"/>
  <c r="G581" i="7"/>
  <c r="G170" i="7"/>
  <c r="G453" i="7"/>
  <c r="G452" i="7"/>
  <c r="G874" i="7"/>
  <c r="G126" i="7"/>
  <c r="G48" i="7"/>
  <c r="G47" i="7"/>
  <c r="G46" i="7"/>
  <c r="G45" i="7"/>
  <c r="G712" i="7"/>
  <c r="G711" i="7"/>
  <c r="G470" i="7"/>
  <c r="G469" i="7"/>
  <c r="G125" i="7"/>
  <c r="G248" i="7"/>
  <c r="G247" i="7"/>
  <c r="G246" i="7"/>
  <c r="G245" i="7"/>
  <c r="G244" i="7"/>
  <c r="G129" i="7"/>
  <c r="G128" i="7"/>
  <c r="G663" i="7"/>
  <c r="G662" i="7"/>
  <c r="G531" i="7"/>
  <c r="G604" i="7"/>
  <c r="G616" i="7"/>
  <c r="G831" i="7"/>
  <c r="G830" i="7"/>
  <c r="G829" i="7"/>
  <c r="G828" i="7"/>
  <c r="G931" i="7"/>
  <c r="G746" i="7"/>
  <c r="G745" i="7"/>
  <c r="G529" i="7"/>
  <c r="G528" i="7"/>
  <c r="G527" i="7"/>
  <c r="G52" i="7"/>
  <c r="G51" i="7"/>
  <c r="G50" i="7"/>
  <c r="G100" i="7"/>
  <c r="G99" i="7"/>
  <c r="G333" i="7"/>
  <c r="G332" i="7"/>
  <c r="G331" i="7"/>
  <c r="G330" i="7"/>
  <c r="G458" i="7"/>
  <c r="G457" i="7"/>
  <c r="G456" i="7"/>
  <c r="G628" i="7"/>
  <c r="G627" i="7"/>
  <c r="G626" i="7"/>
  <c r="G580" i="7"/>
  <c r="G644" i="7"/>
  <c r="G640" i="7"/>
  <c r="G68" i="7"/>
  <c r="G152" i="7"/>
  <c r="G151" i="7"/>
  <c r="G150" i="7"/>
  <c r="G57" i="7"/>
  <c r="G679" i="7"/>
  <c r="G678" i="7"/>
  <c r="G501" i="7"/>
  <c r="G945" i="7"/>
  <c r="G193" i="7"/>
  <c r="G380" i="7"/>
  <c r="G379" i="7"/>
  <c r="G77" i="7"/>
  <c r="G76" i="7"/>
  <c r="G726" i="7"/>
  <c r="G725" i="7"/>
  <c r="G724" i="7"/>
  <c r="G723" i="7"/>
  <c r="G719" i="7"/>
  <c r="G718" i="7"/>
  <c r="G717" i="7"/>
  <c r="G716" i="7"/>
  <c r="G715" i="7"/>
  <c r="G714" i="7"/>
  <c r="G713" i="7"/>
  <c r="G163" i="7"/>
  <c r="G162" i="7"/>
  <c r="G161" i="7"/>
  <c r="G160" i="7"/>
  <c r="G159" i="7"/>
  <c r="G158" i="7"/>
  <c r="G443" i="7"/>
  <c r="G442" i="7"/>
  <c r="G441" i="7"/>
  <c r="G986" i="7"/>
  <c r="G299" i="7"/>
  <c r="G814" i="7"/>
  <c r="G953" i="7"/>
  <c r="G952" i="7"/>
  <c r="G451" i="7"/>
  <c r="G661" i="7"/>
  <c r="G483" i="7"/>
  <c r="G482" i="7"/>
  <c r="G481" i="7"/>
  <c r="G480" i="7"/>
  <c r="G479" i="7"/>
  <c r="G815" i="7"/>
  <c r="G593" i="7"/>
  <c r="G217" i="7"/>
  <c r="G827" i="7"/>
  <c r="G546" i="7"/>
  <c r="G545" i="7"/>
  <c r="G812" i="7"/>
  <c r="G475" i="7"/>
  <c r="G922" i="7"/>
  <c r="G757" i="7"/>
  <c r="G756" i="7"/>
  <c r="G755" i="7"/>
  <c r="G754" i="7"/>
  <c r="G753" i="7"/>
  <c r="G12" i="7"/>
  <c r="G11" i="7"/>
  <c r="G10" i="7"/>
  <c r="G517" i="7"/>
  <c r="G516" i="7"/>
  <c r="G515" i="7"/>
  <c r="G432" i="7"/>
  <c r="G985" i="7"/>
  <c r="G930" i="7"/>
  <c r="G929" i="7"/>
  <c r="G928" i="7"/>
  <c r="G927" i="7"/>
  <c r="G44" i="7"/>
  <c r="G43" i="7"/>
  <c r="G42" i="7"/>
  <c r="G41" i="7"/>
  <c r="G40" i="7"/>
  <c r="G437" i="7"/>
  <c r="G89" i="7"/>
  <c r="G272" i="7"/>
  <c r="G682" i="7"/>
  <c r="G681" i="7"/>
  <c r="G680" i="7"/>
  <c r="G157" i="7"/>
  <c r="G169" i="7"/>
  <c r="G168" i="7"/>
  <c r="G544" i="7"/>
  <c r="G984" i="7"/>
  <c r="G983" i="7"/>
  <c r="G926" i="7"/>
  <c r="G434" i="7"/>
  <c r="G433" i="7"/>
  <c r="G624" i="7"/>
  <c r="G623" i="7"/>
  <c r="G622" i="7"/>
  <c r="G612" i="7"/>
  <c r="G212" i="7"/>
  <c r="G550" i="7"/>
  <c r="G532" i="7"/>
  <c r="G75" i="7"/>
  <c r="G74" i="7"/>
  <c r="G732" i="7"/>
  <c r="G744" i="7"/>
  <c r="G250" i="7"/>
  <c r="G249" i="7"/>
  <c r="G982" i="7"/>
  <c r="G981" i="7"/>
  <c r="G980" i="7"/>
  <c r="G979" i="7"/>
  <c r="G978" i="7"/>
  <c r="G977" i="7"/>
  <c r="G976" i="7"/>
  <c r="G684" i="7"/>
  <c r="G683" i="7"/>
  <c r="G450" i="7"/>
  <c r="G374" i="7"/>
  <c r="G131" i="7"/>
  <c r="G811" i="7"/>
  <c r="G810" i="7"/>
  <c r="G809" i="7"/>
  <c r="G257" i="7"/>
  <c r="G611" i="7"/>
  <c r="G610" i="7"/>
  <c r="G167" i="7"/>
  <c r="G166" i="7"/>
  <c r="G165" i="7"/>
  <c r="G164" i="7"/>
  <c r="G722" i="7"/>
  <c r="G721" i="7"/>
  <c r="G781" i="7"/>
  <c r="G780" i="7"/>
  <c r="G779" i="7"/>
  <c r="G778" i="7"/>
  <c r="G808" i="7"/>
  <c r="G807" i="7"/>
  <c r="G806" i="7"/>
  <c r="G805" i="7"/>
  <c r="G373" i="7"/>
  <c r="G344" i="7"/>
  <c r="G653" i="7"/>
  <c r="G652" i="7"/>
  <c r="G651" i="7"/>
  <c r="G650" i="7"/>
  <c r="G649" i="7"/>
  <c r="G648" i="7"/>
  <c r="G647" i="7"/>
  <c r="G932" i="7"/>
  <c r="G669" i="7"/>
  <c r="G148" i="7"/>
  <c r="G130" i="7"/>
  <c r="G291" i="7"/>
  <c r="G290" i="7"/>
  <c r="G603" i="7"/>
  <c r="G156" i="7"/>
  <c r="G155" i="7"/>
  <c r="G154" i="7"/>
  <c r="G525" i="7"/>
  <c r="G461" i="7"/>
  <c r="G186" i="7"/>
  <c r="G242" i="7"/>
  <c r="G239" i="7"/>
  <c r="G175" i="7"/>
  <c r="G174" i="7"/>
  <c r="G449" i="7"/>
  <c r="G764" i="7"/>
  <c r="G23" i="7"/>
  <c r="G572" i="7"/>
  <c r="G571" i="7"/>
  <c r="G570" i="7"/>
  <c r="G266" i="7"/>
  <c r="G265" i="7"/>
  <c r="G264" i="7"/>
  <c r="G583" i="7"/>
  <c r="G67" i="7"/>
  <c r="G66" i="7"/>
  <c r="G65" i="7"/>
  <c r="G64" i="7"/>
  <c r="G63" i="7"/>
  <c r="G582" i="7"/>
  <c r="G609" i="7"/>
  <c r="G813" i="7"/>
  <c r="G886" i="7"/>
  <c r="G916" i="7"/>
  <c r="G643" i="7"/>
  <c r="G39" i="7"/>
  <c r="G506" i="7"/>
  <c r="G505" i="7"/>
  <c r="G504" i="7"/>
  <c r="G503" i="7"/>
  <c r="G502" i="7"/>
  <c r="G975" i="7"/>
  <c r="G20" i="7"/>
  <c r="G19" i="7"/>
  <c r="G192" i="7"/>
  <c r="G771" i="7"/>
  <c r="G770" i="7"/>
  <c r="G769" i="7"/>
  <c r="G231" i="7"/>
  <c r="G974" i="7"/>
  <c r="G973" i="7"/>
  <c r="G951" i="7"/>
  <c r="G185" i="7"/>
  <c r="G184" i="7"/>
  <c r="G383" i="7"/>
  <c r="G382" i="7"/>
  <c r="G763" i="7"/>
  <c r="G762" i="7"/>
  <c r="G350" i="7"/>
  <c r="G349" i="7"/>
  <c r="G348" i="7"/>
  <c r="G372" i="7"/>
  <c r="G915" i="7"/>
  <c r="G914" i="7"/>
  <c r="G428" i="7"/>
  <c r="G427" i="7"/>
  <c r="G55" i="7"/>
  <c r="G54" i="7"/>
  <c r="G124" i="7"/>
  <c r="G474" i="7"/>
  <c r="G473" i="7"/>
  <c r="G287" i="7"/>
  <c r="G286" i="7"/>
  <c r="G285" i="7"/>
  <c r="G284" i="7"/>
  <c r="G283" i="7"/>
  <c r="G282" i="7"/>
  <c r="G281" i="7"/>
  <c r="G280" i="7"/>
  <c r="G279" i="7"/>
  <c r="G390" i="7"/>
  <c r="G389" i="7"/>
  <c r="G403" i="7"/>
  <c r="G743" i="7"/>
  <c r="G742" i="7"/>
  <c r="G741" i="7"/>
  <c r="G740" i="7"/>
  <c r="G868" i="7"/>
  <c r="G867" i="7"/>
  <c r="G608" i="7"/>
  <c r="G607" i="7"/>
  <c r="G606" i="7"/>
  <c r="G873" i="7"/>
  <c r="G872" i="7"/>
  <c r="G997" i="7"/>
  <c r="G996" i="7"/>
  <c r="G885" i="7"/>
  <c r="G884" i="7"/>
  <c r="G883" i="7"/>
  <c r="G8" i="7"/>
  <c r="G273" i="7"/>
  <c r="G500" i="7"/>
  <c r="G499" i="7"/>
  <c r="G256" i="7"/>
  <c r="G538" i="7"/>
  <c r="G312" i="7"/>
  <c r="G311" i="7"/>
  <c r="G310" i="7"/>
  <c r="G360" i="7"/>
  <c r="G359" i="7"/>
  <c r="G358" i="7"/>
  <c r="G357" i="7"/>
  <c r="G356" i="7"/>
  <c r="G897" i="7"/>
  <c r="G896" i="7"/>
  <c r="G895" i="7"/>
  <c r="G794" i="7"/>
  <c r="G793" i="7"/>
  <c r="G792" i="7"/>
  <c r="G791" i="7"/>
  <c r="G388" i="7"/>
  <c r="G918" i="7"/>
  <c r="G660" i="7"/>
  <c r="G659" i="7"/>
  <c r="G658" i="7"/>
  <c r="G657" i="7"/>
  <c r="G554" i="7"/>
  <c r="G553" i="7"/>
  <c r="G552" i="7"/>
  <c r="G551" i="7"/>
  <c r="G298" i="7"/>
  <c r="G297" i="7"/>
  <c r="G646" i="7"/>
  <c r="G645" i="7"/>
  <c r="G31" i="7"/>
  <c r="G30" i="7"/>
  <c r="G882" i="7"/>
  <c r="G881" i="7"/>
  <c r="G704" i="7"/>
  <c r="G703" i="7"/>
  <c r="G702" i="7"/>
  <c r="G701" i="7"/>
  <c r="G7" i="7"/>
  <c r="G6" i="7"/>
  <c r="G5" i="7"/>
  <c r="G4" i="7"/>
  <c r="G3" i="7"/>
  <c r="G2" i="7"/>
  <c r="G913" i="7"/>
  <c r="G851" i="7"/>
  <c r="G639" i="7"/>
  <c r="G638" i="7"/>
  <c r="G940" i="7"/>
  <c r="G939" i="7"/>
  <c r="G938" i="7"/>
  <c r="G937" i="7"/>
  <c r="G936" i="7"/>
  <c r="G935" i="7"/>
  <c r="G934" i="7"/>
  <c r="G579" i="7"/>
  <c r="G776" i="7"/>
  <c r="G775" i="7"/>
  <c r="G774" i="7"/>
  <c r="G773" i="7"/>
  <c r="G263" i="7"/>
  <c r="G215" i="7"/>
  <c r="G214" i="7"/>
  <c r="G213" i="7"/>
  <c r="G278" i="7"/>
  <c r="G277" i="7"/>
  <c r="G276" i="7"/>
  <c r="G275" i="7"/>
  <c r="G853" i="7"/>
  <c r="G852" i="7"/>
  <c r="G912" i="7"/>
  <c r="G848" i="7"/>
  <c r="G498" i="7"/>
  <c r="G497" i="7"/>
  <c r="G387" i="7"/>
  <c r="G146" i="7"/>
  <c r="G466" i="7"/>
  <c r="G465" i="7"/>
  <c r="G464" i="7"/>
  <c r="G804" i="7"/>
  <c r="G255" i="7"/>
  <c r="G17" i="7"/>
  <c r="G16" i="7"/>
  <c r="G15" i="7"/>
  <c r="G72" i="7"/>
  <c r="G71" i="7"/>
  <c r="G386" i="7"/>
  <c r="G385" i="7"/>
  <c r="G384" i="7"/>
  <c r="G496" i="7"/>
  <c r="G495" i="7"/>
  <c r="G426" i="7"/>
  <c r="G425" i="7"/>
  <c r="G424" i="7"/>
  <c r="G423" i="7"/>
  <c r="G422" i="7"/>
  <c r="G253" i="7"/>
  <c r="G252" i="7"/>
  <c r="G251" i="7"/>
  <c r="G472" i="7"/>
  <c r="G471" i="7"/>
  <c r="G729" i="7"/>
  <c r="G728" i="7"/>
  <c r="G56" i="7"/>
  <c r="G448" i="7"/>
  <c r="G447" i="7"/>
  <c r="G446" i="7"/>
  <c r="G463" i="7"/>
  <c r="G954" i="7"/>
  <c r="G288" i="7"/>
  <c r="G752" i="7"/>
  <c r="G697" i="7"/>
  <c r="G484" i="7"/>
  <c r="G677" i="7"/>
  <c r="G355" i="7"/>
  <c r="G354" i="7"/>
  <c r="G944" i="7"/>
  <c r="G943" i="7"/>
  <c r="G942" i="7"/>
  <c r="G941" i="7"/>
  <c r="G440" i="7"/>
  <c r="G710" i="7"/>
  <c r="G709" i="7"/>
  <c r="G53" i="7"/>
  <c r="G739" i="7"/>
  <c r="G708" i="7"/>
  <c r="G394" i="7"/>
  <c r="G197" i="7"/>
  <c r="G123" i="7"/>
  <c r="G122" i="7"/>
  <c r="G207" i="7"/>
  <c r="G206" i="7"/>
  <c r="G205" i="7"/>
  <c r="G204" i="7"/>
  <c r="G203" i="7"/>
  <c r="G202" i="7"/>
  <c r="G201" i="7"/>
  <c r="G329" i="7"/>
  <c r="G328" i="7"/>
  <c r="G327" i="7"/>
  <c r="G326" i="7"/>
  <c r="G304" i="7"/>
  <c r="G303" i="7"/>
  <c r="G302" i="7"/>
  <c r="G301" i="7"/>
  <c r="G300" i="7"/>
  <c r="G948" i="7"/>
  <c r="G947" i="7"/>
  <c r="G766" i="7"/>
  <c r="G765" i="7"/>
  <c r="G795" i="7"/>
  <c r="G308" i="7"/>
  <c r="G363" i="7"/>
  <c r="G173" i="7"/>
  <c r="G325" i="7"/>
  <c r="G324" i="7"/>
  <c r="G323" i="7"/>
  <c r="G322" i="7"/>
  <c r="G342" i="7"/>
  <c r="G172" i="7"/>
  <c r="G171" i="7"/>
  <c r="G142" i="7"/>
  <c r="G141" i="7"/>
  <c r="G378" i="7"/>
  <c r="G377" i="7"/>
  <c r="G376" i="7"/>
  <c r="G375" i="7"/>
  <c r="G731" i="7"/>
  <c r="G730" i="7"/>
  <c r="G196" i="7"/>
  <c r="G748" i="7"/>
  <c r="G747" i="7"/>
  <c r="G88" i="7"/>
  <c r="G87" i="7"/>
  <c r="G127" i="7"/>
  <c r="G865" i="7"/>
  <c r="G864" i="7"/>
  <c r="G972" i="7"/>
  <c r="G971" i="7"/>
  <c r="G970" i="7"/>
  <c r="G969" i="7"/>
  <c r="G758" i="7"/>
  <c r="G751" i="7"/>
  <c r="G578" i="7"/>
  <c r="G590" i="7"/>
  <c r="G589" i="7"/>
  <c r="G588" i="7"/>
  <c r="G587" i="7"/>
  <c r="G586" i="7"/>
  <c r="G585" i="7"/>
  <c r="G584" i="7"/>
  <c r="G696" i="7"/>
  <c r="G695" i="7"/>
  <c r="G694" i="7"/>
  <c r="G693" i="7"/>
  <c r="G692" i="7"/>
  <c r="G691" i="7"/>
  <c r="G750" i="7"/>
  <c r="G749" i="7"/>
  <c r="G238" i="7"/>
  <c r="G237" i="7"/>
  <c r="G236" i="7"/>
  <c r="G832" i="7"/>
  <c r="G602" i="7"/>
  <c r="G468" i="7"/>
  <c r="G467" i="7"/>
  <c r="G543" i="7"/>
  <c r="G542" i="7"/>
  <c r="G541" i="7"/>
  <c r="G494" i="7"/>
  <c r="G826" i="7"/>
  <c r="G229" i="7"/>
  <c r="G228" i="7"/>
  <c r="G227" i="7"/>
  <c r="G226" i="7"/>
  <c r="G225" i="7"/>
  <c r="G18" i="7"/>
  <c r="G183" i="7"/>
  <c r="G636" i="7"/>
  <c r="G635" i="7"/>
  <c r="G634" i="7"/>
  <c r="G633" i="7"/>
  <c r="G632" i="7"/>
  <c r="G631" i="7"/>
  <c r="G96" i="7"/>
  <c r="G95" i="7"/>
  <c r="G94" i="7"/>
  <c r="G93" i="7"/>
  <c r="G92" i="7"/>
  <c r="G91" i="7"/>
  <c r="G90" i="7"/>
  <c r="G921" i="7"/>
  <c r="G920" i="7"/>
  <c r="G919" i="7"/>
  <c r="G537" i="7"/>
  <c r="G824" i="7"/>
  <c r="G478" i="7"/>
  <c r="G477" i="7"/>
  <c r="G621" i="7"/>
  <c r="G620" i="7"/>
  <c r="G637" i="7"/>
  <c r="G98" i="7"/>
  <c r="G97" i="7"/>
  <c r="G103" i="7"/>
  <c r="G102" i="7"/>
  <c r="G101" i="7"/>
  <c r="G790" i="7"/>
  <c r="G789" i="7"/>
  <c r="G788" i="7"/>
  <c r="G787" i="7"/>
  <c r="G786" i="7"/>
  <c r="G785" i="7"/>
  <c r="G784" i="7"/>
  <c r="G493" i="7"/>
  <c r="G838" i="7"/>
  <c r="G837" i="7"/>
  <c r="G530" i="7"/>
  <c r="G668" i="7"/>
  <c r="G667" i="7"/>
  <c r="G666" i="7"/>
  <c r="G492" i="7"/>
  <c r="G491" i="7"/>
  <c r="G421" i="7"/>
  <c r="G420" i="7"/>
  <c r="G419" i="7"/>
  <c r="G418" i="7"/>
  <c r="G863" i="7"/>
  <c r="G836" i="7"/>
  <c r="G835" i="7"/>
  <c r="G439" i="7"/>
  <c r="G438" i="7"/>
  <c r="G32" i="7"/>
  <c r="G371" i="7"/>
  <c r="G370" i="7"/>
  <c r="G369" i="7"/>
  <c r="G368" i="7"/>
  <c r="G367" i="7"/>
  <c r="G366" i="7"/>
  <c r="G436" i="7"/>
  <c r="G615" i="7"/>
  <c r="G614" i="7"/>
  <c r="G613" i="7"/>
  <c r="G894" i="7"/>
  <c r="G893" i="7"/>
  <c r="G899" i="7"/>
  <c r="G898" i="7"/>
  <c r="G341" i="7"/>
  <c r="G340" i="7"/>
  <c r="G339" i="7"/>
  <c r="G777" i="7"/>
  <c r="G569" i="7"/>
  <c r="G568" i="7"/>
  <c r="G567" i="7"/>
  <c r="G566" i="7"/>
  <c r="G565" i="7"/>
  <c r="G536" i="7"/>
  <c r="G535" i="7"/>
  <c r="G700" i="7"/>
  <c r="G699" i="7"/>
  <c r="G271" i="7"/>
  <c r="G687" i="7"/>
  <c r="G686" i="7"/>
  <c r="G685" i="7"/>
  <c r="G738" i="7"/>
  <c r="G267" i="7"/>
  <c r="G698" i="7"/>
  <c r="G880" i="7"/>
  <c r="G343" i="7"/>
  <c r="G274" i="7"/>
  <c r="G140" i="7"/>
  <c r="G139" i="7"/>
  <c r="G138" i="7"/>
  <c r="G137" i="7"/>
  <c r="G136" i="7"/>
  <c r="G761" i="7"/>
  <c r="G760" i="7"/>
  <c r="G759" i="7"/>
  <c r="G145" i="7"/>
  <c r="G144" i="7"/>
  <c r="G143" i="7"/>
  <c r="G13" i="7"/>
  <c r="G803" i="7"/>
  <c r="G802" i="7"/>
  <c r="G417" i="7"/>
  <c r="G592" i="7"/>
  <c r="G591" i="7"/>
  <c r="G823" i="7"/>
  <c r="G822" i="7"/>
  <c r="G821" i="7"/>
  <c r="G820" i="7"/>
  <c r="G819" i="7"/>
  <c r="G818" i="7"/>
  <c r="G862" i="7"/>
  <c r="G861" i="7"/>
  <c r="G690" i="7"/>
  <c r="G460" i="7"/>
  <c r="G534" i="7"/>
  <c r="G533" i="7"/>
  <c r="G619" i="7"/>
  <c r="G847" i="7"/>
  <c r="G846" i="7"/>
  <c r="G845" i="7"/>
  <c r="G844" i="7"/>
  <c r="G843" i="7"/>
  <c r="G842" i="7"/>
  <c r="G841" i="7"/>
  <c r="G840" i="7"/>
  <c r="G111" i="7"/>
  <c r="G110" i="7"/>
  <c r="G109" i="7"/>
  <c r="G108" i="7"/>
  <c r="G107" i="7"/>
  <c r="G906" i="7"/>
  <c r="G905" i="7"/>
  <c r="G689" i="7"/>
  <c r="G688" i="7"/>
  <c r="G121" i="7"/>
  <c r="G120" i="7"/>
  <c r="G968" i="7"/>
  <c r="G967" i="7"/>
  <c r="G879" i="7"/>
  <c r="G878" i="7"/>
  <c r="G540" i="7"/>
  <c r="G235" i="7"/>
  <c r="G574" i="7"/>
  <c r="G577" i="7"/>
  <c r="G402" i="7"/>
  <c r="G401" i="7"/>
  <c r="G221" i="7"/>
  <c r="G220" i="7"/>
  <c r="G219" i="7"/>
  <c r="G218" i="7"/>
  <c r="G400" i="7"/>
  <c r="G399" i="7"/>
  <c r="G393" i="7"/>
  <c r="G392" i="7"/>
  <c r="G289" i="7"/>
  <c r="G801" i="7"/>
  <c r="G800" i="7"/>
  <c r="G860" i="7"/>
  <c r="G859" i="7"/>
  <c r="G182" i="7"/>
  <c r="G106" i="7"/>
  <c r="G105" i="7"/>
  <c r="G104" i="7"/>
  <c r="G618" i="7"/>
  <c r="G617" i="7"/>
  <c r="G211" i="7"/>
  <c r="G210" i="7"/>
  <c r="G601" i="7"/>
  <c r="G306" i="7"/>
  <c r="G305" i="7"/>
  <c r="G933" i="7"/>
  <c r="G946" i="7"/>
  <c r="G549" i="7"/>
  <c r="G269" i="7"/>
  <c r="G241" i="7"/>
  <c r="G149" i="7"/>
  <c r="G119" i="7"/>
  <c r="G118" i="7"/>
  <c r="G117" i="7"/>
  <c r="G817" i="7"/>
  <c r="G816" i="7"/>
  <c r="G642" i="7"/>
  <c r="G641" i="7"/>
  <c r="G514" i="7"/>
  <c r="G513" i="7"/>
  <c r="G512" i="7"/>
  <c r="G511" i="7"/>
  <c r="G510" i="7"/>
  <c r="G509" i="7"/>
  <c r="G508" i="7"/>
  <c r="G507" i="7"/>
  <c r="G411" i="7"/>
  <c r="G410" i="7"/>
  <c r="G409" i="7"/>
  <c r="G408" i="7"/>
  <c r="G296" i="7"/>
  <c r="G295" i="7"/>
  <c r="G294" i="7"/>
  <c r="G293" i="7"/>
  <c r="G292" i="7"/>
  <c r="G234" i="7"/>
  <c r="G233" i="7"/>
  <c r="G486" i="7"/>
  <c r="G485" i="7"/>
  <c r="G365" i="7"/>
  <c r="G364" i="7"/>
  <c r="G966" i="7"/>
  <c r="G625" i="7"/>
  <c r="G576" i="7"/>
  <c r="G575" i="7"/>
  <c r="G216" i="7"/>
  <c r="G445" i="7"/>
  <c r="G799" i="7"/>
  <c r="G798" i="7"/>
  <c r="G892" i="7"/>
  <c r="G891" i="7"/>
  <c r="G890" i="7"/>
  <c r="G889" i="7"/>
  <c r="G888" i="7"/>
  <c r="G887" i="7"/>
  <c r="G254" i="7"/>
  <c r="G630" i="7"/>
  <c r="G629" i="7"/>
  <c r="G911" i="7"/>
  <c r="G910" i="7"/>
  <c r="G909" i="7"/>
  <c r="G321" i="7"/>
  <c r="G29" i="7"/>
  <c r="G28" i="7"/>
  <c r="G858" i="7"/>
  <c r="G490" i="7"/>
  <c r="G353" i="7"/>
  <c r="G352" i="7"/>
  <c r="G153" i="7"/>
  <c r="G596" i="7"/>
  <c r="G595" i="7"/>
  <c r="G594" i="7"/>
  <c r="G181" i="7"/>
  <c r="G381" i="7"/>
  <c r="G564" i="7"/>
  <c r="G563" i="7"/>
  <c r="G562" i="7"/>
  <c r="G561" i="7"/>
  <c r="G560" i="7"/>
  <c r="G559" i="7"/>
  <c r="G558" i="7"/>
  <c r="G557" i="7"/>
  <c r="G556" i="7"/>
  <c r="G555" i="7"/>
  <c r="G21" i="7"/>
  <c r="G707" i="7"/>
  <c r="G706" i="7"/>
  <c r="G705" i="7"/>
  <c r="G768" i="7"/>
  <c r="G767" i="7"/>
  <c r="G313" i="7"/>
  <c r="G737" i="7"/>
  <c r="G14" i="7"/>
  <c r="G195" i="7"/>
  <c r="G194" i="7"/>
  <c r="G224" i="7"/>
  <c r="G347" i="7"/>
  <c r="G346" i="7"/>
  <c r="G345" i="7"/>
  <c r="G223" i="7"/>
  <c r="G950" i="7"/>
  <c r="G673" i="7"/>
  <c r="G672" i="7"/>
  <c r="G671" i="7"/>
  <c r="G526" i="7"/>
  <c r="G70" i="7"/>
  <c r="G69" i="7"/>
  <c r="G605" i="7"/>
  <c r="G656" i="7"/>
  <c r="G655" i="7"/>
  <c r="G654" i="7"/>
  <c r="G232" i="7"/>
  <c r="G116" i="7"/>
  <c r="G115" i="7"/>
  <c r="G268" i="7"/>
  <c r="G416" i="7"/>
  <c r="G415" i="7"/>
  <c r="G243" i="7"/>
  <c r="I129" i="7" s="1"/>
  <c r="G489" i="7"/>
  <c r="G488" i="7"/>
  <c r="G86" i="7"/>
  <c r="G85" i="7"/>
  <c r="G84" i="7"/>
  <c r="G83" i="7"/>
  <c r="G82" i="7"/>
  <c r="G81" i="7"/>
  <c r="G80" i="7"/>
  <c r="G79" i="7"/>
  <c r="G924" i="7"/>
  <c r="G923" i="7"/>
  <c r="G548" i="7"/>
  <c r="G547" i="7"/>
  <c r="G49" i="7"/>
  <c r="G476" i="7"/>
  <c r="G877" i="7"/>
  <c r="G573" i="7"/>
  <c r="G600" i="7"/>
  <c r="G599" i="7"/>
  <c r="G999" i="7"/>
  <c r="G998" i="7"/>
  <c r="G736" i="7"/>
  <c r="G735" i="7"/>
  <c r="G734" i="7"/>
  <c r="G733" i="7"/>
  <c r="G405" i="7"/>
  <c r="G404" i="7"/>
  <c r="G871" i="7"/>
  <c r="G262" i="7"/>
  <c r="G261" i="7"/>
  <c r="G260" i="7"/>
  <c r="G259" i="7"/>
  <c r="G258" i="7"/>
  <c r="G27" i="7"/>
  <c r="G26" i="7"/>
  <c r="G25" i="7"/>
  <c r="G24" i="7"/>
  <c r="G444" i="7"/>
  <c r="G240" i="7"/>
  <c r="G191" i="7"/>
  <c r="G965" i="7"/>
  <c r="G964" i="7"/>
  <c r="G834" i="7"/>
  <c r="G833" i="7"/>
  <c r="G180" i="7"/>
  <c r="G857" i="7"/>
  <c r="G856" i="7"/>
  <c r="G179" i="7"/>
  <c r="G178" i="7"/>
  <c r="G177" i="7"/>
  <c r="G462" i="7"/>
  <c r="G114" i="7"/>
  <c r="G113" i="7"/>
  <c r="G112" i="7"/>
  <c r="G876" i="7"/>
  <c r="G875" i="7"/>
  <c r="G307" i="7"/>
  <c r="G797" i="7"/>
  <c r="G362" i="7"/>
  <c r="G361" i="7"/>
  <c r="G727" i="7"/>
  <c r="G309" i="7"/>
  <c r="G519" i="7"/>
  <c r="G518" i="7"/>
  <c r="G147" i="7"/>
  <c r="G58" i="7"/>
  <c r="G176" i="7"/>
  <c r="G9" i="7"/>
  <c r="G414" i="7"/>
  <c r="G413" i="7"/>
  <c r="G412" i="7"/>
  <c r="G38" i="7"/>
  <c r="G37" i="7"/>
  <c r="G36" i="7"/>
  <c r="G200" i="7"/>
  <c r="G199" i="7"/>
  <c r="G198" i="7"/>
  <c r="G904" i="7"/>
  <c r="I50" i="7" s="1"/>
  <c r="G903" i="7"/>
  <c r="G902" i="7"/>
  <c r="G825" i="7"/>
  <c r="G855" i="7"/>
  <c r="G854" i="7"/>
  <c r="G222" i="7"/>
  <c r="G338" i="7"/>
  <c r="G908" i="7"/>
  <c r="G676" i="7"/>
  <c r="G675" i="7"/>
  <c r="G674" i="7"/>
  <c r="G839" i="7"/>
  <c r="G963" i="7"/>
  <c r="G720" i="7"/>
  <c r="G783" i="7"/>
  <c r="G782" i="7"/>
  <c r="G962" i="7"/>
  <c r="G320" i="7"/>
  <c r="G319" i="7"/>
  <c r="G318" i="7"/>
  <c r="G317" i="7"/>
  <c r="G316" i="7"/>
  <c r="G315" i="7"/>
  <c r="G314" i="7"/>
  <c r="G961" i="7"/>
  <c r="G960" i="7"/>
  <c r="G959" i="7"/>
  <c r="G958" i="7"/>
  <c r="G957" i="7"/>
  <c r="G956" i="7"/>
  <c r="G955" i="7"/>
  <c r="G598" i="7"/>
  <c r="G597" i="7"/>
  <c r="G35" i="7"/>
  <c r="G34" i="7"/>
  <c r="G33" i="7"/>
  <c r="G796" i="7"/>
  <c r="G459" i="7"/>
  <c r="G523" i="7"/>
  <c r="G522" i="7"/>
  <c r="G521" i="7"/>
  <c r="G520" i="7"/>
  <c r="G435" i="7"/>
  <c r="G78" i="7"/>
  <c r="G901" i="7"/>
  <c r="G900" i="7"/>
  <c r="G487" i="7"/>
  <c r="D69" i="2"/>
  <c r="C69" i="2"/>
  <c r="D68" i="2"/>
  <c r="C68" i="2"/>
  <c r="D67" i="2"/>
  <c r="C67" i="2"/>
  <c r="D66" i="2"/>
  <c r="C66" i="2"/>
  <c r="D65" i="2"/>
  <c r="C65" i="2"/>
  <c r="D58" i="2"/>
  <c r="C58" i="2"/>
  <c r="D57" i="2"/>
  <c r="C57" i="2"/>
  <c r="D56" i="2"/>
  <c r="C56" i="2"/>
  <c r="D55" i="2"/>
  <c r="C55" i="2"/>
  <c r="D54" i="2"/>
  <c r="C54" i="2"/>
  <c r="D53" i="2"/>
  <c r="C53" i="2"/>
  <c r="D52" i="2"/>
  <c r="C52" i="2"/>
  <c r="D51" i="2"/>
  <c r="C51" i="2"/>
  <c r="D50" i="2"/>
  <c r="C50" i="2"/>
  <c r="D49" i="2"/>
  <c r="C49" i="2"/>
  <c r="D48" i="2"/>
  <c r="C48" i="2"/>
  <c r="D47" i="2"/>
  <c r="C47" i="2"/>
  <c r="D46" i="2"/>
  <c r="C46" i="2"/>
  <c r="D39" i="2"/>
  <c r="C39" i="2"/>
  <c r="D38" i="2"/>
  <c r="C38" i="2"/>
  <c r="D37" i="2"/>
  <c r="C37" i="2"/>
  <c r="D36" i="2"/>
  <c r="C36" i="2"/>
  <c r="D35" i="2"/>
  <c r="C35" i="2"/>
  <c r="D34" i="2"/>
  <c r="C34" i="2"/>
  <c r="D33" i="2"/>
  <c r="C33" i="2"/>
  <c r="D32" i="2"/>
  <c r="C32" i="2"/>
  <c r="D31" i="2"/>
  <c r="C31" i="2"/>
  <c r="D30" i="2"/>
  <c r="C30" i="2"/>
  <c r="D29" i="2"/>
  <c r="C29" i="2"/>
  <c r="D28" i="2"/>
  <c r="C28" i="2"/>
  <c r="D27" i="2"/>
  <c r="C27" i="2"/>
  <c r="D20" i="2"/>
  <c r="C20" i="2"/>
  <c r="D19" i="2"/>
  <c r="C19" i="2"/>
  <c r="D18" i="2"/>
  <c r="C18" i="2"/>
  <c r="D17" i="2"/>
  <c r="C17" i="2"/>
  <c r="D16" i="2"/>
  <c r="C16" i="2"/>
  <c r="D15" i="2"/>
  <c r="C15" i="2"/>
  <c r="D14" i="2"/>
  <c r="C14" i="2"/>
  <c r="D13" i="2"/>
  <c r="C13" i="2"/>
  <c r="D12" i="2"/>
  <c r="C12" i="2"/>
  <c r="D11" i="2"/>
  <c r="C11" i="2"/>
  <c r="D10" i="2"/>
  <c r="C10" i="2"/>
  <c r="D9" i="2"/>
  <c r="C9" i="2"/>
  <c r="D8" i="2"/>
  <c r="C8" i="2"/>
  <c r="D2" i="2"/>
  <c r="C2" i="2"/>
  <c r="N36" i="11" l="1"/>
  <c r="N35" i="11"/>
  <c r="N34" i="11"/>
  <c r="N33" i="11"/>
  <c r="N32" i="11"/>
  <c r="N31" i="11"/>
  <c r="N30" i="11"/>
  <c r="N29" i="11"/>
  <c r="N28" i="11"/>
  <c r="N27" i="11"/>
  <c r="N26" i="11"/>
  <c r="N25" i="11"/>
  <c r="O20" i="11"/>
  <c r="O18" i="11"/>
  <c r="O19" i="11"/>
  <c r="O16" i="11"/>
  <c r="O21" i="11"/>
  <c r="O17" i="11"/>
  <c r="O9" i="11"/>
  <c r="I128" i="7"/>
  <c r="M19" i="11"/>
  <c r="N21" i="11"/>
  <c r="N20" i="11"/>
  <c r="N19" i="11"/>
  <c r="N18" i="11"/>
  <c r="N17" i="11"/>
  <c r="M18" i="11"/>
  <c r="N16" i="11"/>
  <c r="M21" i="11"/>
  <c r="M20" i="11"/>
  <c r="M17" i="11"/>
  <c r="M16" i="11"/>
  <c r="O5" i="11"/>
  <c r="N4" i="11"/>
  <c r="O10" i="11"/>
  <c r="O4" i="11"/>
  <c r="O3" i="11"/>
  <c r="N5" i="11"/>
  <c r="N3" i="11"/>
  <c r="M4" i="11"/>
  <c r="M3" i="11"/>
  <c r="M5" i="11"/>
  <c r="I342" i="7"/>
  <c r="I474" i="7"/>
  <c r="I10" i="7"/>
  <c r="I395" i="7"/>
  <c r="I484" i="7"/>
  <c r="I555" i="7"/>
  <c r="I711" i="7"/>
  <c r="I568" i="7"/>
  <c r="I712" i="7"/>
  <c r="I100" i="7"/>
  <c r="I473" i="7"/>
  <c r="I8" i="7"/>
  <c r="I9" i="7"/>
  <c r="I398" i="7"/>
  <c r="I110" i="7"/>
  <c r="I111" i="7"/>
  <c r="I123" i="7"/>
  <c r="I171" i="7"/>
  <c r="I375" i="7"/>
  <c r="I124" i="7"/>
  <c r="I376" i="7"/>
  <c r="I940" i="7"/>
  <c r="I92" i="7"/>
  <c r="I101" i="7"/>
  <c r="I200" i="7"/>
  <c r="I872" i="7"/>
  <c r="I125" i="7"/>
  <c r="I317" i="7"/>
  <c r="I198" i="7"/>
  <c r="I199" i="7"/>
  <c r="I475" i="7"/>
  <c r="I655" i="7"/>
  <c r="I93" i="7"/>
  <c r="I201" i="7"/>
  <c r="I873" i="7"/>
  <c r="I318" i="7"/>
  <c r="I360" i="7"/>
  <c r="I396" i="7"/>
  <c r="I792" i="7"/>
  <c r="I145" i="7"/>
  <c r="I653" i="7"/>
  <c r="I654" i="7"/>
  <c r="I394" i="7"/>
  <c r="I146" i="7"/>
  <c r="I242" i="7"/>
  <c r="I374" i="7"/>
  <c r="I554" i="7"/>
  <c r="I40" i="7"/>
  <c r="I64" i="7"/>
  <c r="I388" i="7"/>
  <c r="I460" i="7"/>
  <c r="I544" i="7"/>
  <c r="I400" i="7"/>
  <c r="I652" i="7"/>
  <c r="I664" i="7"/>
  <c r="I880" i="7"/>
  <c r="I244" i="7"/>
  <c r="I280" i="7"/>
  <c r="I748" i="7"/>
  <c r="I41" i="7"/>
  <c r="I65" i="7"/>
  <c r="I545" i="7"/>
  <c r="I232" i="7"/>
  <c r="I292" i="7"/>
  <c r="I760" i="7"/>
  <c r="I796" i="7"/>
  <c r="I5" i="7"/>
  <c r="I54" i="7"/>
  <c r="I486" i="7"/>
  <c r="I822" i="7"/>
  <c r="I942" i="7"/>
  <c r="I7" i="7"/>
  <c r="I220" i="7"/>
  <c r="I604" i="7"/>
  <c r="I736" i="7"/>
  <c r="I42" i="7"/>
  <c r="I66" i="7"/>
  <c r="I390" i="7"/>
  <c r="I510" i="7"/>
  <c r="I28" i="7"/>
  <c r="I59" i="7"/>
  <c r="I131" i="7"/>
  <c r="I143" i="7"/>
  <c r="I12" i="7"/>
  <c r="I72" i="7"/>
  <c r="I204" i="7"/>
  <c r="I228" i="7"/>
  <c r="I756" i="7"/>
  <c r="I364" i="7"/>
  <c r="I520" i="7"/>
  <c r="I820" i="7"/>
  <c r="I4" i="7"/>
  <c r="I17" i="7"/>
  <c r="I53" i="7"/>
  <c r="I89" i="7"/>
  <c r="I113" i="7"/>
  <c r="I149" i="7"/>
  <c r="I173" i="7"/>
  <c r="I233" i="7"/>
  <c r="I245" i="7"/>
  <c r="I281" i="7"/>
  <c r="I293" i="7"/>
  <c r="I389" i="7"/>
  <c r="I413" i="7"/>
  <c r="I425" i="7"/>
  <c r="I485" i="7"/>
  <c r="I521" i="7"/>
  <c r="I605" i="7"/>
  <c r="I677" i="7"/>
  <c r="I809" i="7"/>
  <c r="I941" i="7"/>
  <c r="I3" i="7"/>
  <c r="I556" i="7"/>
  <c r="I688" i="7"/>
  <c r="I103" i="7"/>
  <c r="I175" i="7"/>
  <c r="I247" i="7"/>
  <c r="I607" i="7"/>
  <c r="I823" i="7"/>
  <c r="I148" i="7"/>
  <c r="I640" i="7"/>
  <c r="I700" i="7"/>
  <c r="I68" i="7"/>
  <c r="I88" i="7"/>
  <c r="I196" i="7"/>
  <c r="I352" i="7"/>
  <c r="I412" i="7"/>
  <c r="I904" i="7"/>
  <c r="I988" i="7"/>
  <c r="I44" i="7"/>
  <c r="I140" i="7"/>
  <c r="I224" i="7"/>
  <c r="I380" i="7"/>
  <c r="I33" i="7"/>
  <c r="I105" i="7"/>
  <c r="I189" i="7"/>
  <c r="I213" i="7"/>
  <c r="I285" i="7"/>
  <c r="I357" i="7"/>
  <c r="I561" i="7"/>
  <c r="I669" i="7"/>
  <c r="I717" i="7"/>
  <c r="I676" i="7"/>
  <c r="I772" i="7"/>
  <c r="I162" i="7"/>
  <c r="I320" i="7"/>
  <c r="I130" i="7"/>
  <c r="I154" i="7"/>
  <c r="I550" i="7"/>
  <c r="I586" i="7"/>
  <c r="I634" i="7"/>
  <c r="I886" i="7"/>
  <c r="I934" i="7"/>
  <c r="I567" i="7"/>
  <c r="I14" i="7"/>
  <c r="I98" i="7"/>
  <c r="I122" i="7"/>
  <c r="I147" i="7"/>
  <c r="I339" i="7"/>
  <c r="I495" i="7"/>
  <c r="I867" i="7"/>
  <c r="I206" i="7"/>
  <c r="I22" i="7"/>
  <c r="I58" i="7"/>
  <c r="I70" i="7"/>
  <c r="I142" i="7"/>
  <c r="I202" i="7"/>
  <c r="I226" i="7"/>
  <c r="I430" i="7"/>
  <c r="I574" i="7"/>
  <c r="I622" i="7"/>
  <c r="I646" i="7"/>
  <c r="I706" i="7"/>
  <c r="I754" i="7"/>
  <c r="I766" i="7"/>
  <c r="I838" i="7"/>
  <c r="I862" i="7"/>
  <c r="I910" i="7"/>
  <c r="I982" i="7"/>
  <c r="I21" i="7"/>
  <c r="I57" i="7"/>
  <c r="I153" i="7"/>
  <c r="I225" i="7"/>
  <c r="I429" i="7"/>
  <c r="I513" i="7"/>
  <c r="I549" i="7"/>
  <c r="I573" i="7"/>
  <c r="I585" i="7"/>
  <c r="I621" i="7"/>
  <c r="I633" i="7"/>
  <c r="I693" i="7"/>
  <c r="I705" i="7"/>
  <c r="I729" i="7"/>
  <c r="I753" i="7"/>
  <c r="I825" i="7"/>
  <c r="I861" i="7"/>
  <c r="I885" i="7"/>
  <c r="I897" i="7"/>
  <c r="I909" i="7"/>
  <c r="I933" i="7"/>
  <c r="I981" i="7"/>
  <c r="I164" i="7"/>
  <c r="I260" i="7"/>
  <c r="I596" i="7"/>
  <c r="I6" i="7"/>
  <c r="I343" i="7"/>
  <c r="I308" i="7"/>
  <c r="I344" i="7"/>
  <c r="I45" i="7"/>
  <c r="I69" i="7"/>
  <c r="I81" i="7"/>
  <c r="I117" i="7"/>
  <c r="I165" i="7"/>
  <c r="I525" i="7"/>
  <c r="I789" i="7"/>
  <c r="I921" i="7"/>
  <c r="I345" i="7"/>
  <c r="I405" i="7"/>
  <c r="I453" i="7"/>
  <c r="I489" i="7"/>
  <c r="I597" i="7"/>
  <c r="I765" i="7"/>
  <c r="I813" i="7"/>
  <c r="I957" i="7"/>
  <c r="I34" i="7"/>
  <c r="I166" i="7"/>
  <c r="I238" i="7"/>
  <c r="I310" i="7"/>
  <c r="I370" i="7"/>
  <c r="I598" i="7"/>
  <c r="I850" i="7"/>
  <c r="I216" i="7"/>
  <c r="I240" i="7"/>
  <c r="I85" i="7"/>
  <c r="I133" i="7"/>
  <c r="I205" i="7"/>
  <c r="I217" i="7"/>
  <c r="I253" i="7"/>
  <c r="I265" i="7"/>
  <c r="I289" i="7"/>
  <c r="I313" i="7"/>
  <c r="I337" i="7"/>
  <c r="I457" i="7"/>
  <c r="I469" i="7"/>
  <c r="I481" i="7"/>
  <c r="I553" i="7"/>
  <c r="I673" i="7"/>
  <c r="I733" i="7"/>
  <c r="I261" i="7"/>
  <c r="I309" i="7"/>
  <c r="I393" i="7"/>
  <c r="I441" i="7"/>
  <c r="I609" i="7"/>
  <c r="I657" i="7"/>
  <c r="I837" i="7"/>
  <c r="I46" i="7"/>
  <c r="I346" i="7"/>
  <c r="I382" i="7"/>
  <c r="I526" i="7"/>
  <c r="I790" i="7"/>
  <c r="I826" i="7"/>
  <c r="I922" i="7"/>
  <c r="I946" i="7"/>
  <c r="I35" i="7"/>
  <c r="I191" i="7"/>
  <c r="I239" i="7"/>
  <c r="I335" i="7"/>
  <c r="I359" i="7"/>
  <c r="I455" i="7"/>
  <c r="I527" i="7"/>
  <c r="I851" i="7"/>
  <c r="I48" i="7"/>
  <c r="I144" i="7"/>
  <c r="I192" i="7"/>
  <c r="I264" i="7"/>
  <c r="I300" i="7"/>
  <c r="I528" i="7"/>
  <c r="I840" i="7"/>
  <c r="I26" i="7"/>
  <c r="I38" i="7"/>
  <c r="I62" i="7"/>
  <c r="I86" i="7"/>
  <c r="I134" i="7"/>
  <c r="I158" i="7"/>
  <c r="I182" i="7"/>
  <c r="I194" i="7"/>
  <c r="I218" i="7"/>
  <c r="I254" i="7"/>
  <c r="I266" i="7"/>
  <c r="I278" i="7"/>
  <c r="I290" i="7"/>
  <c r="I302" i="7"/>
  <c r="I314" i="7"/>
  <c r="I326" i="7"/>
  <c r="I338" i="7"/>
  <c r="I350" i="7"/>
  <c r="I386" i="7"/>
  <c r="I422" i="7"/>
  <c r="I446" i="7"/>
  <c r="I458" i="7"/>
  <c r="I470" i="7"/>
  <c r="I482" i="7"/>
  <c r="I494" i="7"/>
  <c r="I506" i="7"/>
  <c r="I518" i="7"/>
  <c r="I530" i="7"/>
  <c r="I566" i="7"/>
  <c r="I590" i="7"/>
  <c r="I602" i="7"/>
  <c r="I614" i="7"/>
  <c r="I626" i="7"/>
  <c r="I650" i="7"/>
  <c r="I686" i="7"/>
  <c r="I710" i="7"/>
  <c r="I722" i="7"/>
  <c r="I734" i="7"/>
  <c r="I770" i="7"/>
  <c r="I782" i="7"/>
  <c r="I794" i="7"/>
  <c r="I818" i="7"/>
  <c r="I830" i="7"/>
  <c r="I842" i="7"/>
  <c r="I878" i="7"/>
  <c r="I890" i="7"/>
  <c r="I902" i="7"/>
  <c r="I914" i="7"/>
  <c r="I926" i="7"/>
  <c r="I938" i="7"/>
  <c r="I962" i="7"/>
  <c r="I974" i="7"/>
  <c r="I986" i="7"/>
  <c r="I998" i="7"/>
  <c r="I237" i="7"/>
  <c r="I297" i="7"/>
  <c r="I369" i="7"/>
  <c r="I417" i="7"/>
  <c r="I501" i="7"/>
  <c r="I537" i="7"/>
  <c r="I645" i="7"/>
  <c r="I418" i="7"/>
  <c r="I538" i="7"/>
  <c r="I610" i="7"/>
  <c r="I252" i="7"/>
  <c r="I408" i="7"/>
  <c r="I456" i="7"/>
  <c r="I636" i="7"/>
  <c r="I27" i="7"/>
  <c r="I39" i="7"/>
  <c r="I63" i="7"/>
  <c r="I75" i="7"/>
  <c r="I159" i="7"/>
  <c r="I183" i="7"/>
  <c r="I195" i="7"/>
  <c r="I231" i="7"/>
  <c r="I243" i="7"/>
  <c r="I255" i="7"/>
  <c r="I267" i="7"/>
  <c r="I279" i="7"/>
  <c r="I291" i="7"/>
  <c r="I303" i="7"/>
  <c r="I315" i="7"/>
  <c r="I327" i="7"/>
  <c r="I351" i="7"/>
  <c r="I363" i="7"/>
  <c r="I387" i="7"/>
  <c r="I399" i="7"/>
  <c r="I411" i="7"/>
  <c r="I423" i="7"/>
  <c r="I447" i="7"/>
  <c r="I459" i="7"/>
  <c r="I471" i="7"/>
  <c r="I483" i="7"/>
  <c r="I507" i="7"/>
  <c r="I519" i="7"/>
  <c r="I531" i="7"/>
  <c r="I543" i="7"/>
  <c r="I579" i="7"/>
  <c r="I615" i="7"/>
  <c r="I651" i="7"/>
  <c r="I663" i="7"/>
  <c r="I723" i="7"/>
  <c r="I735" i="7"/>
  <c r="I747" i="7"/>
  <c r="I783" i="7"/>
  <c r="I795" i="7"/>
  <c r="I819" i="7"/>
  <c r="I831" i="7"/>
  <c r="I843" i="7"/>
  <c r="I891" i="7"/>
  <c r="I903" i="7"/>
  <c r="I915" i="7"/>
  <c r="I927" i="7"/>
  <c r="I999" i="7"/>
  <c r="I174" i="7"/>
  <c r="I186" i="7"/>
  <c r="I222" i="7"/>
  <c r="I246" i="7"/>
  <c r="I306" i="7"/>
  <c r="I378" i="7"/>
  <c r="I426" i="7"/>
  <c r="I450" i="7"/>
  <c r="I534" i="7"/>
  <c r="I606" i="7"/>
  <c r="I114" i="7"/>
  <c r="I150" i="7"/>
  <c r="I19" i="7"/>
  <c r="I31" i="7"/>
  <c r="I55" i="7"/>
  <c r="I163" i="7"/>
  <c r="I211" i="7"/>
  <c r="I223" i="7"/>
  <c r="I271" i="7"/>
  <c r="I283" i="7"/>
  <c r="I307" i="7"/>
  <c r="I319" i="7"/>
  <c r="I379" i="7"/>
  <c r="I499" i="7"/>
  <c r="I619" i="7"/>
  <c r="I557" i="7"/>
  <c r="I102" i="7"/>
  <c r="I20" i="7"/>
  <c r="I32" i="7"/>
  <c r="I56" i="7"/>
  <c r="I80" i="7"/>
  <c r="I104" i="7"/>
  <c r="I116" i="7"/>
  <c r="I152" i="7"/>
  <c r="I176" i="7"/>
  <c r="I188" i="7"/>
  <c r="I212" i="7"/>
  <c r="I236" i="7"/>
  <c r="I248" i="7"/>
  <c r="I272" i="7"/>
  <c r="I284" i="7"/>
  <c r="I356" i="7"/>
  <c r="I368" i="7"/>
  <c r="I392" i="7"/>
  <c r="I512" i="7"/>
  <c r="I656" i="7"/>
  <c r="I824" i="7"/>
  <c r="I932" i="7"/>
  <c r="I177" i="7"/>
  <c r="I273" i="7"/>
  <c r="I321" i="7"/>
  <c r="I801" i="7"/>
  <c r="I82" i="7"/>
  <c r="I106" i="7"/>
  <c r="I250" i="7"/>
  <c r="I274" i="7"/>
  <c r="I334" i="7"/>
  <c r="I358" i="7"/>
  <c r="I442" i="7"/>
  <c r="I514" i="7"/>
  <c r="I658" i="7"/>
  <c r="I670" i="7"/>
  <c r="I682" i="7"/>
  <c r="I694" i="7"/>
  <c r="I730" i="7"/>
  <c r="I742" i="7"/>
  <c r="I778" i="7"/>
  <c r="I802" i="7"/>
  <c r="I874" i="7"/>
  <c r="I898" i="7"/>
  <c r="I970" i="7"/>
  <c r="I994" i="7"/>
  <c r="I23" i="7"/>
  <c r="I71" i="7"/>
  <c r="I83" i="7"/>
  <c r="I95" i="7"/>
  <c r="I107" i="7"/>
  <c r="I155" i="7"/>
  <c r="I167" i="7"/>
  <c r="I179" i="7"/>
  <c r="I203" i="7"/>
  <c r="I215" i="7"/>
  <c r="I227" i="7"/>
  <c r="I251" i="7"/>
  <c r="I419" i="7"/>
  <c r="I431" i="7"/>
  <c r="I755" i="7"/>
  <c r="I141" i="7"/>
  <c r="I249" i="7"/>
  <c r="I333" i="7"/>
  <c r="I381" i="7"/>
  <c r="I465" i="7"/>
  <c r="I681" i="7"/>
  <c r="I741" i="7"/>
  <c r="I945" i="7"/>
  <c r="I969" i="7"/>
  <c r="I993" i="7"/>
  <c r="I94" i="7"/>
  <c r="I178" i="7"/>
  <c r="I214" i="7"/>
  <c r="I262" i="7"/>
  <c r="I286" i="7"/>
  <c r="I322" i="7"/>
  <c r="I466" i="7"/>
  <c r="I562" i="7"/>
  <c r="I718" i="7"/>
  <c r="I37" i="7"/>
  <c r="I109" i="7"/>
  <c r="I121" i="7"/>
  <c r="I169" i="7"/>
  <c r="I181" i="7"/>
  <c r="I517" i="7"/>
  <c r="I529" i="7"/>
  <c r="I625" i="7"/>
  <c r="I709" i="7"/>
  <c r="I841" i="7"/>
  <c r="I889" i="7"/>
  <c r="I47" i="7"/>
  <c r="I24" i="7"/>
  <c r="I36" i="7"/>
  <c r="I60" i="7"/>
  <c r="I84" i="7"/>
  <c r="I96" i="7"/>
  <c r="I108" i="7"/>
  <c r="I120" i="7"/>
  <c r="I132" i="7"/>
  <c r="I156" i="7"/>
  <c r="I168" i="7"/>
  <c r="I180" i="7"/>
  <c r="I406" i="7"/>
  <c r="I119" i="7"/>
  <c r="I13" i="7"/>
  <c r="I25" i="7"/>
  <c r="I49" i="7"/>
  <c r="I61" i="7"/>
  <c r="I73" i="7"/>
  <c r="I97" i="7"/>
  <c r="I157" i="7"/>
  <c r="I193" i="7"/>
  <c r="I229" i="7"/>
  <c r="I241" i="7"/>
  <c r="I478" i="7"/>
  <c r="I814" i="7"/>
  <c r="I74" i="7"/>
  <c r="I410" i="7"/>
  <c r="I638" i="7"/>
  <c r="I662" i="7"/>
  <c r="I746" i="7"/>
  <c r="I758" i="7"/>
  <c r="I806" i="7"/>
  <c r="I854" i="7"/>
  <c r="I866" i="7"/>
  <c r="I950" i="7"/>
  <c r="I298" i="7"/>
  <c r="I958" i="7"/>
  <c r="I170" i="7"/>
  <c r="I542" i="7"/>
  <c r="I51" i="7"/>
  <c r="I627" i="7"/>
  <c r="I963" i="7"/>
  <c r="I477" i="7"/>
  <c r="I849" i="7"/>
  <c r="I118" i="7"/>
  <c r="I502" i="7"/>
  <c r="I87" i="7"/>
  <c r="I135" i="7"/>
  <c r="I603" i="7"/>
  <c r="I699" i="7"/>
  <c r="I759" i="7"/>
  <c r="I807" i="7"/>
  <c r="I855" i="7"/>
  <c r="I939" i="7"/>
  <c r="I987" i="7"/>
  <c r="I160" i="7"/>
  <c r="I256" i="7"/>
  <c r="I340" i="7"/>
  <c r="I436" i="7"/>
  <c r="I472" i="7"/>
  <c r="I532" i="7"/>
  <c r="I616" i="7"/>
  <c r="I784" i="7"/>
  <c r="I808" i="7"/>
  <c r="I952" i="7"/>
  <c r="I190" i="7"/>
  <c r="I454" i="7"/>
  <c r="I434" i="7"/>
  <c r="I674" i="7"/>
  <c r="I2" i="7"/>
  <c r="I219" i="7"/>
  <c r="I675" i="7"/>
  <c r="I771" i="7"/>
  <c r="I879" i="7"/>
  <c r="I975" i="7"/>
  <c r="I16" i="7"/>
  <c r="I52" i="7"/>
  <c r="I136" i="7"/>
  <c r="I172" i="7"/>
  <c r="I268" i="7"/>
  <c r="I328" i="7"/>
  <c r="I448" i="7"/>
  <c r="I592" i="7"/>
  <c r="I628" i="7"/>
  <c r="I724" i="7"/>
  <c r="I832" i="7"/>
  <c r="I868" i="7"/>
  <c r="I976" i="7"/>
  <c r="I29" i="7"/>
  <c r="I77" i="7"/>
  <c r="I137" i="7"/>
  <c r="I161" i="7"/>
  <c r="I185" i="7"/>
  <c r="I197" i="7"/>
  <c r="I209" i="7"/>
  <c r="I221" i="7"/>
  <c r="I257" i="7"/>
  <c r="I777" i="7"/>
  <c r="I490" i="7"/>
  <c r="I230" i="7"/>
  <c r="I362" i="7"/>
  <c r="I99" i="7"/>
  <c r="I435" i="7"/>
  <c r="I639" i="7"/>
  <c r="I687" i="7"/>
  <c r="I112" i="7"/>
  <c r="I208" i="7"/>
  <c r="I304" i="7"/>
  <c r="I424" i="7"/>
  <c r="I508" i="7"/>
  <c r="I580" i="7"/>
  <c r="I844" i="7"/>
  <c r="I892" i="7"/>
  <c r="I916" i="7"/>
  <c r="I964" i="7"/>
  <c r="I18" i="7"/>
  <c r="I30" i="7"/>
  <c r="I78" i="7"/>
  <c r="I90" i="7"/>
  <c r="I126" i="7"/>
  <c r="I138" i="7"/>
  <c r="I210" i="7"/>
  <c r="I234" i="7"/>
  <c r="I258" i="7"/>
  <c r="I578" i="7"/>
  <c r="I698" i="7"/>
  <c r="I15" i="7"/>
  <c r="I207" i="7"/>
  <c r="I591" i="7"/>
  <c r="I951" i="7"/>
  <c r="I76" i="7"/>
  <c r="I184" i="7"/>
  <c r="I316" i="7"/>
  <c r="I496" i="7"/>
  <c r="I856" i="7"/>
  <c r="I928" i="7"/>
  <c r="I43" i="7"/>
  <c r="I67" i="7"/>
  <c r="I79" i="7"/>
  <c r="I91" i="7"/>
  <c r="I115" i="7"/>
  <c r="I127" i="7"/>
  <c r="I139" i="7"/>
  <c r="I151" i="7"/>
  <c r="I187" i="7"/>
  <c r="I235" i="7"/>
  <c r="I259" i="7"/>
  <c r="I269" i="7"/>
  <c r="I305" i="7"/>
  <c r="I329" i="7"/>
  <c r="I341" i="7"/>
  <c r="I353" i="7"/>
  <c r="I365" i="7"/>
  <c r="I377" i="7"/>
  <c r="I401" i="7"/>
  <c r="I437" i="7"/>
  <c r="I449" i="7"/>
  <c r="I461" i="7"/>
  <c r="I497" i="7"/>
  <c r="I509" i="7"/>
  <c r="I533" i="7"/>
  <c r="I569" i="7"/>
  <c r="I581" i="7"/>
  <c r="I593" i="7"/>
  <c r="I617" i="7"/>
  <c r="I629" i="7"/>
  <c r="I641" i="7"/>
  <c r="I665" i="7"/>
  <c r="I689" i="7"/>
  <c r="I701" i="7"/>
  <c r="I713" i="7"/>
  <c r="I725" i="7"/>
  <c r="I737" i="7"/>
  <c r="I749" i="7"/>
  <c r="I761" i="7"/>
  <c r="I773" i="7"/>
  <c r="I785" i="7"/>
  <c r="I797" i="7"/>
  <c r="I821" i="7"/>
  <c r="I833" i="7"/>
  <c r="I845" i="7"/>
  <c r="I857" i="7"/>
  <c r="I869" i="7"/>
  <c r="I881" i="7"/>
  <c r="I893" i="7"/>
  <c r="I905" i="7"/>
  <c r="I917" i="7"/>
  <c r="I929" i="7"/>
  <c r="I953" i="7"/>
  <c r="I965" i="7"/>
  <c r="I977" i="7"/>
  <c r="I989" i="7"/>
  <c r="I270" i="7"/>
  <c r="I282" i="7"/>
  <c r="I294" i="7"/>
  <c r="I330" i="7"/>
  <c r="I354" i="7"/>
  <c r="I366" i="7"/>
  <c r="I402" i="7"/>
  <c r="I414" i="7"/>
  <c r="I438" i="7"/>
  <c r="I462" i="7"/>
  <c r="I498" i="7"/>
  <c r="I522" i="7"/>
  <c r="I546" i="7"/>
  <c r="I558" i="7"/>
  <c r="I570" i="7"/>
  <c r="I582" i="7"/>
  <c r="I594" i="7"/>
  <c r="I618" i="7"/>
  <c r="I630" i="7"/>
  <c r="I642" i="7"/>
  <c r="I666" i="7"/>
  <c r="I678" i="7"/>
  <c r="I690" i="7"/>
  <c r="I702" i="7"/>
  <c r="I714" i="7"/>
  <c r="I726" i="7"/>
  <c r="I738" i="7"/>
  <c r="I750" i="7"/>
  <c r="I762" i="7"/>
  <c r="I774" i="7"/>
  <c r="I786" i="7"/>
  <c r="I798" i="7"/>
  <c r="I810" i="7"/>
  <c r="I834" i="7"/>
  <c r="I846" i="7"/>
  <c r="I858" i="7"/>
  <c r="I870" i="7"/>
  <c r="I882" i="7"/>
  <c r="I894" i="7"/>
  <c r="I906" i="7"/>
  <c r="I918" i="7"/>
  <c r="I930" i="7"/>
  <c r="I954" i="7"/>
  <c r="I966" i="7"/>
  <c r="I978" i="7"/>
  <c r="I990" i="7"/>
  <c r="I295" i="7"/>
  <c r="I331" i="7"/>
  <c r="I355" i="7"/>
  <c r="I367" i="7"/>
  <c r="I391" i="7"/>
  <c r="I403" i="7"/>
  <c r="I415" i="7"/>
  <c r="I427" i="7"/>
  <c r="I439" i="7"/>
  <c r="I451" i="7"/>
  <c r="I463" i="7"/>
  <c r="I487" i="7"/>
  <c r="I511" i="7"/>
  <c r="I523" i="7"/>
  <c r="I535" i="7"/>
  <c r="I547" i="7"/>
  <c r="I559" i="7"/>
  <c r="I571" i="7"/>
  <c r="I583" i="7"/>
  <c r="I595" i="7"/>
  <c r="I631" i="7"/>
  <c r="I643" i="7"/>
  <c r="I667" i="7"/>
  <c r="I679" i="7"/>
  <c r="I691" i="7"/>
  <c r="I703" i="7"/>
  <c r="I715" i="7"/>
  <c r="I727" i="7"/>
  <c r="I739" i="7"/>
  <c r="I751" i="7"/>
  <c r="I763" i="7"/>
  <c r="I775" i="7"/>
  <c r="I787" i="7"/>
  <c r="I799" i="7"/>
  <c r="I811" i="7"/>
  <c r="I835" i="7"/>
  <c r="I847" i="7"/>
  <c r="I859" i="7"/>
  <c r="I871" i="7"/>
  <c r="I883" i="7"/>
  <c r="I895" i="7"/>
  <c r="I907" i="7"/>
  <c r="I919" i="7"/>
  <c r="I931" i="7"/>
  <c r="I943" i="7"/>
  <c r="I955" i="7"/>
  <c r="I967" i="7"/>
  <c r="I979" i="7"/>
  <c r="I991" i="7"/>
  <c r="I296" i="7"/>
  <c r="I332" i="7"/>
  <c r="I404" i="7"/>
  <c r="I416" i="7"/>
  <c r="I428" i="7"/>
  <c r="I440" i="7"/>
  <c r="I452" i="7"/>
  <c r="I464" i="7"/>
  <c r="I476" i="7"/>
  <c r="I488" i="7"/>
  <c r="I500" i="7"/>
  <c r="I524" i="7"/>
  <c r="I536" i="7"/>
  <c r="I548" i="7"/>
  <c r="I560" i="7"/>
  <c r="I572" i="7"/>
  <c r="I584" i="7"/>
  <c r="I608" i="7"/>
  <c r="I620" i="7"/>
  <c r="I632" i="7"/>
  <c r="I644" i="7"/>
  <c r="I668" i="7"/>
  <c r="I680" i="7"/>
  <c r="I692" i="7"/>
  <c r="I704" i="7"/>
  <c r="I716" i="7"/>
  <c r="I728" i="7"/>
  <c r="I740" i="7"/>
  <c r="I752" i="7"/>
  <c r="I764" i="7"/>
  <c r="I776" i="7"/>
  <c r="I788" i="7"/>
  <c r="I800" i="7"/>
  <c r="I812" i="7"/>
  <c r="I836" i="7"/>
  <c r="I848" i="7"/>
  <c r="I860" i="7"/>
  <c r="I884" i="7"/>
  <c r="I896" i="7"/>
  <c r="I908" i="7"/>
  <c r="I920" i="7"/>
  <c r="I944" i="7"/>
  <c r="I956" i="7"/>
  <c r="I968" i="7"/>
  <c r="I980" i="7"/>
  <c r="I992" i="7"/>
  <c r="I11" i="7"/>
  <c r="I263" i="7"/>
  <c r="I275" i="7"/>
  <c r="I287" i="7"/>
  <c r="I299" i="7"/>
  <c r="I311" i="7"/>
  <c r="I323" i="7"/>
  <c r="I347" i="7"/>
  <c r="I371" i="7"/>
  <c r="I383" i="7"/>
  <c r="I407" i="7"/>
  <c r="I443" i="7"/>
  <c r="I467" i="7"/>
  <c r="I479" i="7"/>
  <c r="I491" i="7"/>
  <c r="I503" i="7"/>
  <c r="I515" i="7"/>
  <c r="I539" i="7"/>
  <c r="I551" i="7"/>
  <c r="I563" i="7"/>
  <c r="I575" i="7"/>
  <c r="I587" i="7"/>
  <c r="I599" i="7"/>
  <c r="I611" i="7"/>
  <c r="I623" i="7"/>
  <c r="I635" i="7"/>
  <c r="I647" i="7"/>
  <c r="I659" i="7"/>
  <c r="I671" i="7"/>
  <c r="I683" i="7"/>
  <c r="I695" i="7"/>
  <c r="I707" i="7"/>
  <c r="I719" i="7"/>
  <c r="I731" i="7"/>
  <c r="I743" i="7"/>
  <c r="I767" i="7"/>
  <c r="I779" i="7"/>
  <c r="I791" i="7"/>
  <c r="I803" i="7"/>
  <c r="I815" i="7"/>
  <c r="I827" i="7"/>
  <c r="I839" i="7"/>
  <c r="I863" i="7"/>
  <c r="I875" i="7"/>
  <c r="I887" i="7"/>
  <c r="I899" i="7"/>
  <c r="I911" i="7"/>
  <c r="I923" i="7"/>
  <c r="I935" i="7"/>
  <c r="I947" i="7"/>
  <c r="I959" i="7"/>
  <c r="I971" i="7"/>
  <c r="I983" i="7"/>
  <c r="I995" i="7"/>
  <c r="I276" i="7"/>
  <c r="I288" i="7"/>
  <c r="I312" i="7"/>
  <c r="I324" i="7"/>
  <c r="I336" i="7"/>
  <c r="I348" i="7"/>
  <c r="I372" i="7"/>
  <c r="I384" i="7"/>
  <c r="I420" i="7"/>
  <c r="I432" i="7"/>
  <c r="I444" i="7"/>
  <c r="I468" i="7"/>
  <c r="I480" i="7"/>
  <c r="I492" i="7"/>
  <c r="I504" i="7"/>
  <c r="I516" i="7"/>
  <c r="I540" i="7"/>
  <c r="I552" i="7"/>
  <c r="I564" i="7"/>
  <c r="I576" i="7"/>
  <c r="I588" i="7"/>
  <c r="I600" i="7"/>
  <c r="I612" i="7"/>
  <c r="I624" i="7"/>
  <c r="I648" i="7"/>
  <c r="I660" i="7"/>
  <c r="I672" i="7"/>
  <c r="I684" i="7"/>
  <c r="I696" i="7"/>
  <c r="I708" i="7"/>
  <c r="I720" i="7"/>
  <c r="I732" i="7"/>
  <c r="I744" i="7"/>
  <c r="I768" i="7"/>
  <c r="I780" i="7"/>
  <c r="I804" i="7"/>
  <c r="I816" i="7"/>
  <c r="I828" i="7"/>
  <c r="I852" i="7"/>
  <c r="I864" i="7"/>
  <c r="I876" i="7"/>
  <c r="I888" i="7"/>
  <c r="I900" i="7"/>
  <c r="I912" i="7"/>
  <c r="I924" i="7"/>
  <c r="I936" i="7"/>
  <c r="I948" i="7"/>
  <c r="I960" i="7"/>
  <c r="I972" i="7"/>
  <c r="I984" i="7"/>
  <c r="I996" i="7"/>
  <c r="I277" i="7"/>
  <c r="I301" i="7"/>
  <c r="I325" i="7"/>
  <c r="I349" i="7"/>
  <c r="I361" i="7"/>
  <c r="I373" i="7"/>
  <c r="I385" i="7"/>
  <c r="I397" i="7"/>
  <c r="I409" i="7"/>
  <c r="I421" i="7"/>
  <c r="I433" i="7"/>
  <c r="I445" i="7"/>
  <c r="I493" i="7"/>
  <c r="I505" i="7"/>
  <c r="I541" i="7"/>
  <c r="I565" i="7"/>
  <c r="I577" i="7"/>
  <c r="I589" i="7"/>
  <c r="I601" i="7"/>
  <c r="I613" i="7"/>
  <c r="I637" i="7"/>
  <c r="I649" i="7"/>
  <c r="I661" i="7"/>
  <c r="I685" i="7"/>
  <c r="I697" i="7"/>
  <c r="I721" i="7"/>
  <c r="I745" i="7"/>
  <c r="I757" i="7"/>
  <c r="I769" i="7"/>
  <c r="I781" i="7"/>
  <c r="I793" i="7"/>
  <c r="I805" i="7"/>
  <c r="I817" i="7"/>
  <c r="I829" i="7"/>
  <c r="I853" i="7"/>
  <c r="I865" i="7"/>
  <c r="I877" i="7"/>
  <c r="I901" i="7"/>
  <c r="I913" i="7"/>
  <c r="I925" i="7"/>
  <c r="I937" i="7"/>
  <c r="I949" i="7"/>
  <c r="I961" i="7"/>
  <c r="I973" i="7"/>
  <c r="I985" i="7"/>
  <c r="I997" i="7"/>
  <c r="H9" i="2"/>
  <c r="H15" i="2"/>
  <c r="H27" i="2"/>
  <c r="H33" i="2"/>
  <c r="H39" i="2"/>
  <c r="H6" i="2"/>
  <c r="H43" i="2"/>
  <c r="F23" i="2"/>
  <c r="F4" i="2"/>
  <c r="F60" i="2"/>
  <c r="H59" i="2"/>
  <c r="F5" i="2"/>
  <c r="F42" i="2"/>
  <c r="H21" i="2"/>
  <c r="F40" i="2"/>
  <c r="G60" i="2"/>
  <c r="H60" i="2"/>
  <c r="G59" i="2"/>
  <c r="F24" i="2"/>
  <c r="F3" i="2"/>
  <c r="G5" i="2"/>
  <c r="F41" i="2"/>
  <c r="F21" i="2"/>
  <c r="H45" i="2"/>
  <c r="G22" i="2"/>
  <c r="G3" i="2"/>
  <c r="F59" i="2"/>
  <c r="H3" i="2"/>
  <c r="H63" i="2"/>
  <c r="F22" i="2"/>
  <c r="F62" i="2"/>
  <c r="G40" i="2"/>
  <c r="G21" i="2"/>
  <c r="G42" i="2"/>
  <c r="F25" i="2"/>
  <c r="G45" i="2"/>
  <c r="G41" i="2"/>
  <c r="H51" i="2"/>
  <c r="H57" i="2"/>
  <c r="H22" i="2"/>
  <c r="F45" i="2"/>
  <c r="G24" i="2"/>
  <c r="H42" i="2"/>
  <c r="F43" i="2"/>
  <c r="H4" i="2"/>
  <c r="G23" i="2"/>
  <c r="G61" i="2"/>
  <c r="F7" i="2"/>
  <c r="F63" i="2"/>
  <c r="H5" i="2"/>
  <c r="H25" i="2"/>
  <c r="H40" i="2"/>
  <c r="G62" i="2"/>
  <c r="G64" i="2"/>
  <c r="F6" i="2"/>
  <c r="G26" i="2"/>
  <c r="H41" i="2"/>
  <c r="G4" i="2"/>
  <c r="F44" i="2"/>
  <c r="F61" i="2"/>
  <c r="G25" i="2"/>
  <c r="G63" i="2"/>
  <c r="G6" i="2"/>
  <c r="H23" i="2"/>
  <c r="G43" i="2"/>
  <c r="H61" i="2"/>
  <c r="G7" i="2"/>
  <c r="F26" i="2"/>
  <c r="H24" i="2"/>
  <c r="G44" i="2"/>
  <c r="F64" i="2"/>
  <c r="H62" i="2"/>
  <c r="H26" i="2"/>
  <c r="H64" i="2"/>
  <c r="H7" i="2"/>
  <c r="H44" i="2"/>
  <c r="H10" i="2"/>
  <c r="H16" i="2"/>
  <c r="H28" i="2"/>
  <c r="H34" i="2"/>
  <c r="H46" i="2"/>
  <c r="H52" i="2"/>
  <c r="H58" i="2"/>
  <c r="H66" i="2"/>
  <c r="H13" i="2"/>
  <c r="H19" i="2"/>
  <c r="H31" i="2"/>
  <c r="H37" i="2"/>
  <c r="H49" i="2"/>
  <c r="H55" i="2"/>
  <c r="H67" i="2"/>
  <c r="H68" i="2"/>
  <c r="H69" i="2"/>
  <c r="G2" i="2"/>
  <c r="H8" i="2"/>
  <c r="G14" i="2"/>
  <c r="H20" i="2"/>
  <c r="H32" i="2"/>
  <c r="H38" i="2"/>
  <c r="G50" i="2"/>
  <c r="H56" i="2"/>
  <c r="H50" i="2"/>
  <c r="H11" i="2"/>
  <c r="H47" i="2"/>
  <c r="H14" i="2"/>
  <c r="H35" i="2"/>
  <c r="H65" i="2"/>
  <c r="H17" i="2"/>
  <c r="H29" i="2"/>
  <c r="H53" i="2"/>
  <c r="H12" i="2"/>
  <c r="H18" i="2"/>
  <c r="G30" i="2"/>
  <c r="H36" i="2"/>
  <c r="G48" i="2"/>
  <c r="G54" i="2"/>
  <c r="H48" i="2"/>
  <c r="H54" i="2"/>
  <c r="H30" i="2"/>
  <c r="G11" i="2"/>
  <c r="G17" i="2"/>
  <c r="G29" i="2"/>
  <c r="G35" i="2"/>
  <c r="G47" i="2"/>
  <c r="G53" i="2"/>
  <c r="G65" i="2"/>
  <c r="H2" i="2"/>
  <c r="G38" i="2"/>
  <c r="F10" i="2"/>
  <c r="F16" i="2"/>
  <c r="F28" i="2"/>
  <c r="F34" i="2"/>
  <c r="F46" i="2"/>
  <c r="F52" i="2"/>
  <c r="F58" i="2"/>
  <c r="F12" i="2"/>
  <c r="F18" i="2"/>
  <c r="F30" i="2"/>
  <c r="F36" i="2"/>
  <c r="F48" i="2"/>
  <c r="F54" i="2"/>
  <c r="F66" i="2"/>
  <c r="G12" i="2"/>
  <c r="G58" i="2"/>
  <c r="G18" i="2"/>
  <c r="G46" i="2"/>
  <c r="G13" i="2"/>
  <c r="G19" i="2"/>
  <c r="G31" i="2"/>
  <c r="G55" i="2"/>
  <c r="G8" i="2"/>
  <c r="F14" i="2"/>
  <c r="G20" i="2"/>
  <c r="G32" i="2"/>
  <c r="F38" i="2"/>
  <c r="F50" i="2"/>
  <c r="G56" i="2"/>
  <c r="G68" i="2"/>
  <c r="G66" i="2"/>
  <c r="G36" i="2"/>
  <c r="G10" i="2"/>
  <c r="G37" i="2"/>
  <c r="F49" i="2"/>
  <c r="G67" i="2"/>
  <c r="F9" i="2"/>
  <c r="F15" i="2"/>
  <c r="F27" i="2"/>
  <c r="F33" i="2"/>
  <c r="F39" i="2"/>
  <c r="F51" i="2"/>
  <c r="F57" i="2"/>
  <c r="F69" i="2"/>
  <c r="G34" i="2"/>
  <c r="G69" i="2"/>
  <c r="G49" i="2"/>
  <c r="G9" i="2"/>
  <c r="F11" i="2"/>
  <c r="F47" i="2"/>
  <c r="G52" i="2"/>
  <c r="G28" i="2"/>
  <c r="G16" i="2"/>
  <c r="F19" i="2"/>
  <c r="G57" i="2"/>
  <c r="G33" i="2"/>
  <c r="F35" i="2"/>
  <c r="F13" i="2"/>
  <c r="F37" i="2"/>
  <c r="G51" i="2"/>
  <c r="G39" i="2"/>
  <c r="G27" i="2"/>
  <c r="G15" i="2"/>
  <c r="F8" i="2"/>
  <c r="F56" i="2"/>
  <c r="F32" i="2"/>
  <c r="F17" i="2"/>
  <c r="F29" i="2"/>
  <c r="F53" i="2"/>
  <c r="F65" i="2"/>
  <c r="F31" i="2"/>
  <c r="F55" i="2"/>
  <c r="F67" i="2"/>
  <c r="F20" i="2"/>
  <c r="F68" i="2"/>
  <c r="F2" i="2"/>
  <c r="J11" i="2" l="1" a="1"/>
  <c r="J11" i="2" s="1"/>
  <c r="J2" i="2" a="1"/>
  <c r="J2" i="2" s="1"/>
  <c r="J3" i="2" a="1"/>
  <c r="J3" i="2" s="1"/>
  <c r="J9" i="2" a="1"/>
  <c r="J9" i="2" s="1"/>
  <c r="J15" i="2" a="1"/>
  <c r="J15" i="2" s="1"/>
  <c r="J21" i="2" a="1"/>
  <c r="J21" i="2" s="1"/>
  <c r="J27" i="2" a="1"/>
  <c r="J27" i="2" s="1"/>
  <c r="J33" i="2" a="1"/>
  <c r="J33" i="2" s="1"/>
  <c r="J39" i="2" a="1"/>
  <c r="J39" i="2" s="1"/>
  <c r="J45" i="2" a="1"/>
  <c r="J45" i="2" s="1"/>
  <c r="J51" i="2" a="1"/>
  <c r="J51" i="2" s="1"/>
  <c r="J57" i="2" a="1"/>
  <c r="J57" i="2" s="1"/>
  <c r="J63" i="2" a="1"/>
  <c r="J63" i="2" s="1"/>
  <c r="J69" i="2" a="1"/>
  <c r="J69" i="2" s="1"/>
  <c r="J23" i="2" a="1"/>
  <c r="J23" i="2" s="1"/>
  <c r="J41" i="2" a="1"/>
  <c r="J41" i="2" s="1"/>
  <c r="J59" i="2" a="1"/>
  <c r="J59" i="2" s="1"/>
  <c r="J19" i="2" a="1"/>
  <c r="J19" i="2" s="1"/>
  <c r="J37" i="2" a="1"/>
  <c r="J37" i="2" s="1"/>
  <c r="J61" i="2" a="1"/>
  <c r="J61" i="2" s="1"/>
  <c r="J26" i="2" a="1"/>
  <c r="J26" i="2" s="1"/>
  <c r="J44" i="2" a="1"/>
  <c r="J44" i="2" s="1"/>
  <c r="J4" i="2" a="1"/>
  <c r="J4" i="2" s="1"/>
  <c r="J10" i="2" a="1"/>
  <c r="J10" i="2" s="1"/>
  <c r="J16" i="2" a="1"/>
  <c r="J16" i="2" s="1"/>
  <c r="J22" i="2" a="1"/>
  <c r="J22" i="2" s="1"/>
  <c r="J28" i="2" a="1"/>
  <c r="J28" i="2" s="1"/>
  <c r="J34" i="2" a="1"/>
  <c r="J34" i="2" s="1"/>
  <c r="J40" i="2" a="1"/>
  <c r="J40" i="2" s="1"/>
  <c r="J46" i="2" a="1"/>
  <c r="J46" i="2" s="1"/>
  <c r="J52" i="2" a="1"/>
  <c r="J52" i="2" s="1"/>
  <c r="J58" i="2" a="1"/>
  <c r="J58" i="2" s="1"/>
  <c r="J64" i="2" a="1"/>
  <c r="J64" i="2" s="1"/>
  <c r="J5" i="2" a="1"/>
  <c r="J5" i="2" s="1"/>
  <c r="J17" i="2" a="1"/>
  <c r="J17" i="2" s="1"/>
  <c r="J29" i="2" a="1"/>
  <c r="J29" i="2" s="1"/>
  <c r="J35" i="2" a="1"/>
  <c r="J35" i="2" s="1"/>
  <c r="J47" i="2" a="1"/>
  <c r="J47" i="2" s="1"/>
  <c r="J53" i="2" a="1"/>
  <c r="J53" i="2" s="1"/>
  <c r="J65" i="2" a="1"/>
  <c r="J65" i="2" s="1"/>
  <c r="J13" i="2" a="1"/>
  <c r="J13" i="2" s="1"/>
  <c r="J25" i="2" a="1"/>
  <c r="J25" i="2" s="1"/>
  <c r="J43" i="2" a="1"/>
  <c r="J43" i="2" s="1"/>
  <c r="J49" i="2" a="1"/>
  <c r="J49" i="2" s="1"/>
  <c r="J67" i="2" a="1"/>
  <c r="J67" i="2" s="1"/>
  <c r="J20" i="2" a="1"/>
  <c r="J20" i="2" s="1"/>
  <c r="J32" i="2" a="1"/>
  <c r="J32" i="2" s="1"/>
  <c r="J50" i="2" a="1"/>
  <c r="J50" i="2" s="1"/>
  <c r="J62" i="2" a="1"/>
  <c r="J62" i="2" s="1"/>
  <c r="J14" i="2" a="1"/>
  <c r="J14" i="2" s="1"/>
  <c r="J56" i="2" a="1"/>
  <c r="J56" i="2" s="1"/>
  <c r="J6" i="2" a="1"/>
  <c r="J6" i="2" s="1"/>
  <c r="J12" i="2" a="1"/>
  <c r="J12" i="2" s="1"/>
  <c r="J18" i="2" a="1"/>
  <c r="J18" i="2" s="1"/>
  <c r="J24" i="2" a="1"/>
  <c r="J24" i="2" s="1"/>
  <c r="J30" i="2" a="1"/>
  <c r="J30" i="2" s="1"/>
  <c r="J36" i="2" a="1"/>
  <c r="J36" i="2" s="1"/>
  <c r="J42" i="2" a="1"/>
  <c r="J42" i="2" s="1"/>
  <c r="J48" i="2" a="1"/>
  <c r="J48" i="2" s="1"/>
  <c r="J54" i="2" a="1"/>
  <c r="J54" i="2" s="1"/>
  <c r="J60" i="2" a="1"/>
  <c r="J60" i="2" s="1"/>
  <c r="J66" i="2" a="1"/>
  <c r="J66" i="2" s="1"/>
  <c r="J7" i="2" a="1"/>
  <c r="J7" i="2" s="1"/>
  <c r="J31" i="2" a="1"/>
  <c r="J31" i="2" s="1"/>
  <c r="J55" i="2" a="1"/>
  <c r="J55" i="2" s="1"/>
  <c r="J8" i="2" a="1"/>
  <c r="J8" i="2" s="1"/>
  <c r="J38" i="2" a="1"/>
  <c r="J38" i="2" s="1"/>
  <c r="J68" i="2" a="1"/>
  <c r="J68" i="2" s="1"/>
  <c r="I5" i="2"/>
  <c r="I59" i="2"/>
  <c r="I25" i="2"/>
  <c r="I4" i="2"/>
  <c r="I43" i="2"/>
  <c r="I6" i="2"/>
  <c r="I64" i="2"/>
  <c r="I44" i="2"/>
  <c r="I45" i="2"/>
  <c r="I40" i="2"/>
  <c r="I3" i="2"/>
  <c r="I41" i="2"/>
  <c r="I42" i="2"/>
  <c r="I60" i="2"/>
  <c r="I23" i="2"/>
  <c r="I61" i="2"/>
  <c r="I21" i="2"/>
  <c r="I24" i="2"/>
  <c r="I62" i="2"/>
  <c r="I63" i="2"/>
  <c r="I22" i="2"/>
  <c r="I26" i="2"/>
  <c r="I7" i="2"/>
  <c r="I2" i="2"/>
  <c r="I20" i="2"/>
  <c r="I67" i="2"/>
  <c r="I57" i="2"/>
  <c r="I16" i="2"/>
  <c r="I31" i="2"/>
  <c r="I33" i="2"/>
  <c r="I14" i="2"/>
  <c r="I27" i="2"/>
  <c r="I47" i="2"/>
  <c r="I35" i="2"/>
  <c r="I55" i="2"/>
  <c r="I51" i="2"/>
  <c r="I65" i="2"/>
  <c r="I58" i="2"/>
  <c r="I15" i="2"/>
  <c r="I9" i="2"/>
  <c r="I54" i="2"/>
  <c r="I46" i="2"/>
  <c r="I28" i="2"/>
  <c r="I38" i="2"/>
  <c r="I30" i="2"/>
  <c r="I56" i="2"/>
  <c r="I11" i="2"/>
  <c r="I49" i="2"/>
  <c r="I8" i="2"/>
  <c r="I10" i="2"/>
  <c r="I19" i="2"/>
  <c r="I39" i="2"/>
  <c r="I12" i="2"/>
  <c r="I66" i="2"/>
  <c r="I53" i="2"/>
  <c r="I52" i="2"/>
  <c r="I29" i="2"/>
  <c r="I37" i="2"/>
  <c r="I48" i="2"/>
  <c r="I36" i="2"/>
  <c r="I32" i="2"/>
  <c r="I18" i="2"/>
  <c r="I68" i="2"/>
  <c r="I17" i="2"/>
  <c r="I13" i="2"/>
  <c r="I69" i="2"/>
  <c r="I50" i="2"/>
  <c r="I3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<sst xmlns="http://schemas.openxmlformats.org/spreadsheetml/2006/main" count="13087" uniqueCount="941">
  <si>
    <t>现有客户要求制作如下送货单格式，客户需要A4打印出来，请制作</t>
  </si>
  <si>
    <t>学号</t>
  </si>
  <si>
    <t>班级</t>
  </si>
  <si>
    <t>语文成绩</t>
  </si>
  <si>
    <t>数学成绩</t>
  </si>
  <si>
    <t>英文成绩（需要英语成绩表匹配过来）</t>
  </si>
  <si>
    <t>加权总成绩(三科权重分别为0.5,0.3,0.2)</t>
  </si>
  <si>
    <t>是否有高分科目（任意一门大于85）</t>
  </si>
  <si>
    <t>是否优秀学生（三科目都大于80分）</t>
  </si>
  <si>
    <t>总体排名</t>
  </si>
  <si>
    <t>班级排名</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</si>
  <si>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</si>
  <si>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</si>
  <si>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</si>
  <si>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</si>
  <si>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</si>
  <si>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</si>
  <si>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</si>
  <si>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</si>
  <si>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</si>
  <si>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</si>
  <si>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</si>
  <si>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</si>
  <si>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</si>
  <si>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</si>
  <si>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</si>
  <si>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</si>
  <si>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</si>
  <si>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</si>
  <si>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</si>
  <si>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</si>
  <si>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</si>
  <si>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</si>
  <si>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</si>
  <si>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</si>
  <si>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</si>
  <si>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</si>
  <si>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</si>
  <si>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</si>
  <si>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</si>
  <si>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</si>
  <si>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</si>
  <si>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</si>
  <si>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</si>
  <si>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</si>
  <si>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</si>
  <si>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</si>
  <si>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</si>
  <si>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</si>
  <si>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</si>
  <si>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</si>
  <si>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</si>
  <si>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</si>
  <si>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</si>
  <si>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</si>
  <si>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</si>
  <si>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</si>
  <si>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</si>
  <si>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</si>
  <si>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</si>
  <si>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</si>
  <si>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</si>
  <si>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</si>
  <si>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</si>
  <si>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</si>
  <si>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</si>
  <si>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</si>
  <si>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</si>
  <si>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</si>
  <si>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</si>
  <si>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</si>
  <si>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</si>
  <si>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</si>
  <si>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</si>
  <si>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</si>
  <si>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</si>
  <si>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</si>
  <si>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</si>
  <si>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</si>
  <si>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订单ID</t>
  </si>
  <si>
    <t>订单日期</t>
  </si>
  <si>
    <t>发货日期</t>
  </si>
  <si>
    <t>细分</t>
  </si>
  <si>
    <t>城市</t>
  </si>
  <si>
    <t>子类别</t>
  </si>
  <si>
    <t>单价</t>
  </si>
  <si>
    <t>数量</t>
  </si>
  <si>
    <t>金额</t>
  </si>
  <si>
    <t>月份</t>
  </si>
  <si>
    <t>地区</t>
  </si>
  <si>
    <t>订单区域（订单ID前面字母）</t>
  </si>
  <si>
    <t>产品编码（订单ID中间部分）</t>
  </si>
  <si>
    <t>型号编码（订单ID最后面数字）</t>
  </si>
  <si>
    <t>US-2982-1357144</t>
  </si>
  <si>
    <t>公司</t>
  </si>
  <si>
    <t>杭州</t>
  </si>
  <si>
    <t>用品</t>
  </si>
  <si>
    <t>CN-3031-1973789</t>
  </si>
  <si>
    <t>消费者</t>
  </si>
  <si>
    <t>内江</t>
  </si>
  <si>
    <t>信封</t>
  </si>
  <si>
    <t>装订机</t>
  </si>
  <si>
    <t>US-3208-3017568</t>
  </si>
  <si>
    <t>镇江</t>
  </si>
  <si>
    <t>CN-2650-2975416</t>
  </si>
  <si>
    <t>汕头</t>
  </si>
  <si>
    <t>器具</t>
  </si>
  <si>
    <t>CN-2434-4497736</t>
  </si>
  <si>
    <t>景德镇</t>
  </si>
  <si>
    <t>设备</t>
  </si>
  <si>
    <t>椅子</t>
  </si>
  <si>
    <t>纸张</t>
  </si>
  <si>
    <t>系固件</t>
  </si>
  <si>
    <t>CN-2124-4195213</t>
  </si>
  <si>
    <t>小型企业</t>
  </si>
  <si>
    <t>榆林</t>
  </si>
  <si>
    <t>CN-3017-5801711</t>
  </si>
  <si>
    <t>哈尔滨</t>
  </si>
  <si>
    <t>复印机</t>
  </si>
  <si>
    <t>CN-2290-2752724</t>
  </si>
  <si>
    <t>青岛</t>
  </si>
  <si>
    <t>配件</t>
  </si>
  <si>
    <t>电话</t>
  </si>
  <si>
    <t>US-2825-2511714</t>
  </si>
  <si>
    <t>徐州</t>
  </si>
  <si>
    <t>标签</t>
  </si>
  <si>
    <t>CN-3140-5631342</t>
  </si>
  <si>
    <t>上海</t>
  </si>
  <si>
    <t>US-2657-4150614</t>
  </si>
  <si>
    <t>温岭</t>
  </si>
  <si>
    <t>书架</t>
  </si>
  <si>
    <t>用具</t>
  </si>
  <si>
    <t>CN-3211-4364300</t>
  </si>
  <si>
    <t>CN-3136-3230180</t>
  </si>
  <si>
    <t>唐山</t>
  </si>
  <si>
    <t>收纳具</t>
  </si>
  <si>
    <t>US-2822-1966627</t>
  </si>
  <si>
    <t>宁波</t>
  </si>
  <si>
    <t>CN-2558-1190387</t>
  </si>
  <si>
    <t>CN-2745-3216455</t>
  </si>
  <si>
    <t>厦门</t>
  </si>
  <si>
    <t>美术</t>
  </si>
  <si>
    <t>CN-2759-4690757</t>
  </si>
  <si>
    <t>宿州</t>
  </si>
  <si>
    <t>桌子</t>
  </si>
  <si>
    <t>CN-2682-4674220</t>
  </si>
  <si>
    <t>兰州</t>
  </si>
  <si>
    <t>US-2706-3857264</t>
  </si>
  <si>
    <t>淮阴</t>
  </si>
  <si>
    <t>CN-2857-4054371</t>
  </si>
  <si>
    <t>肇源</t>
  </si>
  <si>
    <t>CN-1905-2932548</t>
  </si>
  <si>
    <t>南昌</t>
  </si>
  <si>
    <t>CN-2696-3476344</t>
  </si>
  <si>
    <t>合肥</t>
  </si>
  <si>
    <t>US-2666-5956361</t>
  </si>
  <si>
    <t>CN-3035-2396895</t>
  </si>
  <si>
    <t>蛟河</t>
  </si>
  <si>
    <t>CN-2641-2828982</t>
  </si>
  <si>
    <t>US-2864-4297166</t>
  </si>
  <si>
    <t>沈阳</t>
  </si>
  <si>
    <t>US-2773-4292548</t>
  </si>
  <si>
    <t>黄石</t>
  </si>
  <si>
    <t>CN-3185-4838467</t>
  </si>
  <si>
    <t>西安</t>
  </si>
  <si>
    <t>CN-2004-3232413</t>
  </si>
  <si>
    <t>阳江</t>
  </si>
  <si>
    <t>CN-2657-4162714</t>
  </si>
  <si>
    <t>邓州</t>
  </si>
  <si>
    <t>CN-1790-4497265</t>
  </si>
  <si>
    <t>曲阜</t>
  </si>
  <si>
    <t>CN-3123-5922906</t>
  </si>
  <si>
    <t>湛江</t>
  </si>
  <si>
    <t>US-2121-3767771</t>
  </si>
  <si>
    <t>孝感</t>
  </si>
  <si>
    <t>US-2072-1166331</t>
  </si>
  <si>
    <t>浏阳</t>
  </si>
  <si>
    <t>CN-2569-3064620</t>
  </si>
  <si>
    <t>CN-2404-3188191</t>
  </si>
  <si>
    <t>滕州</t>
  </si>
  <si>
    <t>CN-2392-5717181</t>
  </si>
  <si>
    <t>北京</t>
  </si>
  <si>
    <t>CN-3164-2187292</t>
  </si>
  <si>
    <t>重庆</t>
  </si>
  <si>
    <t>US-1802-3275681</t>
  </si>
  <si>
    <t>椒江</t>
  </si>
  <si>
    <t>CN-2125-5821791</t>
  </si>
  <si>
    <t>CN-2569-4126497</t>
  </si>
  <si>
    <t>CN-2719-1751343</t>
  </si>
  <si>
    <t>US-2368-1803838</t>
  </si>
  <si>
    <t>叶柏寿</t>
  </si>
  <si>
    <t>CN-1920-4861225</t>
  </si>
  <si>
    <t>CN-3013-3172853</t>
  </si>
  <si>
    <t>西宁</t>
  </si>
  <si>
    <t>CN-2706-5552260</t>
  </si>
  <si>
    <t>绵阳</t>
  </si>
  <si>
    <t>US-2116-1357144</t>
  </si>
  <si>
    <t>武汉</t>
  </si>
  <si>
    <t>CN-2089-5926511</t>
  </si>
  <si>
    <t>韩城</t>
  </si>
  <si>
    <t>US-3006-4733722</t>
  </si>
  <si>
    <t>盐城</t>
  </si>
  <si>
    <t>CN-3179-5834341</t>
  </si>
  <si>
    <t>南宁</t>
  </si>
  <si>
    <t>CN-2158-1973789</t>
  </si>
  <si>
    <t>泉州</t>
  </si>
  <si>
    <t>CN-3183-3766882</t>
  </si>
  <si>
    <t>天津</t>
  </si>
  <si>
    <t>CN-3161-3665640</t>
  </si>
  <si>
    <t>CN-2417-5378913</t>
  </si>
  <si>
    <t>七台河</t>
  </si>
  <si>
    <t>CN-2789-2045726</t>
  </si>
  <si>
    <t>CN-3120-2328434</t>
  </si>
  <si>
    <t>扬州</t>
  </si>
  <si>
    <t>CN-2716-3984376</t>
  </si>
  <si>
    <t>CN-2892-5057492</t>
  </si>
  <si>
    <t>株洲</t>
  </si>
  <si>
    <t>CN-3005-1118317</t>
  </si>
  <si>
    <t>青冈</t>
  </si>
  <si>
    <t>CN-2672-1498643</t>
  </si>
  <si>
    <t>新泰</t>
  </si>
  <si>
    <t>US-2916-4595101</t>
  </si>
  <si>
    <t>仪征</t>
  </si>
  <si>
    <t>CN-2415-3269021</t>
  </si>
  <si>
    <t>CN-2179-2594036</t>
  </si>
  <si>
    <t>US-2126-3737485</t>
  </si>
  <si>
    <t>CN-2557-3815654</t>
  </si>
  <si>
    <t>禹州</t>
  </si>
  <si>
    <t>US-3119-2352370</t>
  </si>
  <si>
    <t>CN-2332-2554132</t>
  </si>
  <si>
    <t>珠海</t>
  </si>
  <si>
    <t>CN-2815-4214287</t>
  </si>
  <si>
    <t>US-2881-4736051</t>
  </si>
  <si>
    <t>肃州</t>
  </si>
  <si>
    <t>CN-2412-2084652</t>
  </si>
  <si>
    <t>常州</t>
  </si>
  <si>
    <t>US-2180-1904299</t>
  </si>
  <si>
    <t>张家港</t>
  </si>
  <si>
    <t>CN-2964-3211633</t>
  </si>
  <si>
    <t>长沙</t>
  </si>
  <si>
    <t>CN-2605-3988119</t>
  </si>
  <si>
    <t>昭通</t>
  </si>
  <si>
    <t>CN-3203-3232413</t>
  </si>
  <si>
    <t>密山</t>
  </si>
  <si>
    <t>CN-3070-4680780</t>
  </si>
  <si>
    <t>临朐</t>
  </si>
  <si>
    <t>CN-2807-1190387</t>
  </si>
  <si>
    <t>CN-2794-3230180</t>
  </si>
  <si>
    <t>海口</t>
  </si>
  <si>
    <t>CN-2422-5873075</t>
  </si>
  <si>
    <t>CN-2760-4544243</t>
  </si>
  <si>
    <t>襄城</t>
  </si>
  <si>
    <t>CN-2473-5173564</t>
  </si>
  <si>
    <t>鹤岗</t>
  </si>
  <si>
    <t>CN-2991-4862116</t>
  </si>
  <si>
    <t>US-2621-2560726</t>
  </si>
  <si>
    <t>温州</t>
  </si>
  <si>
    <t>CN-3167-4950934</t>
  </si>
  <si>
    <t>四平</t>
  </si>
  <si>
    <t>CN-2999-2866628</t>
  </si>
  <si>
    <t>安顺</t>
  </si>
  <si>
    <t>CN-2274-2810282</t>
  </si>
  <si>
    <t>高密</t>
  </si>
  <si>
    <t>CN-2996-3381572</t>
  </si>
  <si>
    <t>抚顺</t>
  </si>
  <si>
    <t>CN-2802-2491194</t>
  </si>
  <si>
    <t>洮南</t>
  </si>
  <si>
    <t>CN-2215-5591357</t>
  </si>
  <si>
    <t>CN-2906-5816959</t>
  </si>
  <si>
    <t>德阳</t>
  </si>
  <si>
    <t>CN-2557-1122727</t>
  </si>
  <si>
    <t>运城</t>
  </si>
  <si>
    <t>CN-2993-3122639</t>
  </si>
  <si>
    <t>浯溪</t>
  </si>
  <si>
    <t>CN-2729-2866628</t>
  </si>
  <si>
    <t>CN-2641-2062805</t>
  </si>
  <si>
    <t>US-3119-5448418</t>
  </si>
  <si>
    <t>鞍山</t>
  </si>
  <si>
    <t>CN-3035-3022026</t>
  </si>
  <si>
    <t>深圳</t>
  </si>
  <si>
    <t>CN-2024-1928578</t>
  </si>
  <si>
    <t>CN-2079-2648094</t>
  </si>
  <si>
    <t>廉洲</t>
  </si>
  <si>
    <t>CN-2266-5172330</t>
  </si>
  <si>
    <t>石家庄</t>
  </si>
  <si>
    <t>US-2128-1900777</t>
  </si>
  <si>
    <t>包头</t>
  </si>
  <si>
    <t>CN-2200-2831197</t>
  </si>
  <si>
    <t>US-2998-3405401</t>
  </si>
  <si>
    <t>US-2669-3065733</t>
  </si>
  <si>
    <t>苏州</t>
  </si>
  <si>
    <t>US-1801-3069391</t>
  </si>
  <si>
    <t>成都</t>
  </si>
  <si>
    <t>CN-2136-3065733</t>
  </si>
  <si>
    <t>廊坊</t>
  </si>
  <si>
    <t>CN-2984-1628412</t>
  </si>
  <si>
    <t>CN-3007-2828219</t>
  </si>
  <si>
    <t>济宁</t>
  </si>
  <si>
    <t>US-2832-4870971</t>
  </si>
  <si>
    <t>枝江</t>
  </si>
  <si>
    <t>US-2219-5033587</t>
  </si>
  <si>
    <t>CN-2599-5339863</t>
  </si>
  <si>
    <t>潍坊</t>
  </si>
  <si>
    <t>CN-2716-2995973</t>
  </si>
  <si>
    <t>CN-2798-3266914</t>
  </si>
  <si>
    <t>河源</t>
  </si>
  <si>
    <t>US-1799-1255631</t>
  </si>
  <si>
    <t>朗乡</t>
  </si>
  <si>
    <t>CN-2812-3253076</t>
  </si>
  <si>
    <t>平顶山</t>
  </si>
  <si>
    <t>US-2030-5555490</t>
  </si>
  <si>
    <t>呼和浩特</t>
  </si>
  <si>
    <t>CN-3067-4159546</t>
  </si>
  <si>
    <t>CN-1849-3174894</t>
  </si>
  <si>
    <t>遂宁</t>
  </si>
  <si>
    <t>CN-2119-5340374</t>
  </si>
  <si>
    <t>秦皇岛</t>
  </si>
  <si>
    <t>CN-2818-2862015</t>
  </si>
  <si>
    <t>CN-2531-2045726</t>
  </si>
  <si>
    <t>新民</t>
  </si>
  <si>
    <t>CN-2814-2662386</t>
  </si>
  <si>
    <t>临汾</t>
  </si>
  <si>
    <t>US-3082-3189070</t>
  </si>
  <si>
    <t>丹东</t>
  </si>
  <si>
    <t>US-2683-3585437</t>
  </si>
  <si>
    <t>满洲里</t>
  </si>
  <si>
    <t>CN-2842-4347413</t>
  </si>
  <si>
    <t>CN-2334-1255631</t>
  </si>
  <si>
    <t>莱州</t>
  </si>
  <si>
    <t>CN-2044-4590873</t>
  </si>
  <si>
    <t>开原</t>
  </si>
  <si>
    <t>US-2776-1815663</t>
  </si>
  <si>
    <t>钟祥</t>
  </si>
  <si>
    <t>CN-2149-3694355</t>
  </si>
  <si>
    <t>CN-3143-2577941</t>
  </si>
  <si>
    <t>CN-2562-2662386</t>
  </si>
  <si>
    <t>US-2264-1388500</t>
  </si>
  <si>
    <t>潼川</t>
  </si>
  <si>
    <t>CN-2975-2203847</t>
  </si>
  <si>
    <t>泰康</t>
  </si>
  <si>
    <t>CN-2221-3103245</t>
  </si>
  <si>
    <t>泰兴</t>
  </si>
  <si>
    <t>CN-2863-4725073</t>
  </si>
  <si>
    <t>芜湖</t>
  </si>
  <si>
    <t>CN-2755-4015472</t>
  </si>
  <si>
    <t>US-1990-4650370</t>
  </si>
  <si>
    <t>US-2949-2998954</t>
  </si>
  <si>
    <t>CN-2282-4251154</t>
  </si>
  <si>
    <t>CN-2702-4992845</t>
  </si>
  <si>
    <t>无锡</t>
  </si>
  <si>
    <t>CN-3152-1267778</t>
  </si>
  <si>
    <t>CN-3200-4571372</t>
  </si>
  <si>
    <t>CN-2790-1776641</t>
  </si>
  <si>
    <t>CN-2097-2686699</t>
  </si>
  <si>
    <t>宜春</t>
  </si>
  <si>
    <t>CN-2620-1424056</t>
  </si>
  <si>
    <t>CN-3125-1574908</t>
  </si>
  <si>
    <t>金华</t>
  </si>
  <si>
    <t>CN-2036-5171199</t>
  </si>
  <si>
    <t>CN-2521-2505404</t>
  </si>
  <si>
    <t>CN-2356-3028018</t>
  </si>
  <si>
    <t>昆明</t>
  </si>
  <si>
    <t>CN-3123-3361827</t>
  </si>
  <si>
    <t>CN-3116-2693856</t>
  </si>
  <si>
    <t>CN-2619-1108121</t>
  </si>
  <si>
    <t>CN-2832-4733722</t>
  </si>
  <si>
    <t>周口</t>
  </si>
  <si>
    <t>CN-2585-1391849</t>
  </si>
  <si>
    <t>怀化</t>
  </si>
  <si>
    <t>US-3173-1947265</t>
  </si>
  <si>
    <t>CN-2951-2883758</t>
  </si>
  <si>
    <t>CN-2970-2075002</t>
  </si>
  <si>
    <t>黄山</t>
  </si>
  <si>
    <t>CN-3200-3184596</t>
  </si>
  <si>
    <t>邢台</t>
  </si>
  <si>
    <t>CN-2803-2000071</t>
  </si>
  <si>
    <t>塘沽</t>
  </si>
  <si>
    <t>CN-3077-1501002</t>
  </si>
  <si>
    <t>邯郸</t>
  </si>
  <si>
    <t>CN-2577-1608087</t>
  </si>
  <si>
    <t>焦作</t>
  </si>
  <si>
    <t>CN-1811-3095328</t>
  </si>
  <si>
    <t>海门</t>
  </si>
  <si>
    <t>CN-3010-4833083</t>
  </si>
  <si>
    <t>CN-2884-1108121</t>
  </si>
  <si>
    <t>宜昌</t>
  </si>
  <si>
    <t>CN-2957-3184596</t>
  </si>
  <si>
    <t>白城</t>
  </si>
  <si>
    <t>CN-2395-2556865</t>
  </si>
  <si>
    <t>CN-1901-1182921</t>
  </si>
  <si>
    <t>宣化</t>
  </si>
  <si>
    <t>CN-2396-3819209</t>
  </si>
  <si>
    <t>牡丹江</t>
  </si>
  <si>
    <t>CN-2776-2966078</t>
  </si>
  <si>
    <t>CN-2724-4619981</t>
  </si>
  <si>
    <t>CN-2864-3074981</t>
  </si>
  <si>
    <t>US-2585-2756371</t>
  </si>
  <si>
    <t>嘉兴</t>
  </si>
  <si>
    <t>US-2692-5364655</t>
  </si>
  <si>
    <t>US-3188-5835982</t>
  </si>
  <si>
    <t>凤城</t>
  </si>
  <si>
    <t>US-2514-3381572</t>
  </si>
  <si>
    <t>CN-2741-3476099</t>
  </si>
  <si>
    <t>开远</t>
  </si>
  <si>
    <t>CN-2600-1197917</t>
  </si>
  <si>
    <t>US-2079-4719760</t>
  </si>
  <si>
    <t>CN-3152-2102819</t>
  </si>
  <si>
    <t>青州</t>
  </si>
  <si>
    <t>US-2399-1964482</t>
  </si>
  <si>
    <t>永川</t>
  </si>
  <si>
    <t>CN-2384-1966706</t>
  </si>
  <si>
    <t>双阳</t>
  </si>
  <si>
    <t>CN-2998-4800042</t>
  </si>
  <si>
    <t>US-3146-2513055</t>
  </si>
  <si>
    <t>CN-2543-4347413</t>
  </si>
  <si>
    <t>US-2842-3777715</t>
  </si>
  <si>
    <t>富阳</t>
  </si>
  <si>
    <t>CN-2713-1715632</t>
  </si>
  <si>
    <t>明水</t>
  </si>
  <si>
    <t>CN-2002-2491194</t>
  </si>
  <si>
    <t>US-3068-5444149</t>
  </si>
  <si>
    <t>CN-2744-1399832</t>
  </si>
  <si>
    <t>CN-3119-3132230</t>
  </si>
  <si>
    <t>钦州</t>
  </si>
  <si>
    <t>CN-3220-1516102</t>
  </si>
  <si>
    <t>铁力</t>
  </si>
  <si>
    <t>CN-1919-5929986</t>
  </si>
  <si>
    <t>广州</t>
  </si>
  <si>
    <t>CN-2405-3381572</t>
  </si>
  <si>
    <t>开化</t>
  </si>
  <si>
    <t>CN-2816-5648514</t>
  </si>
  <si>
    <t>US-2096-4525677</t>
  </si>
  <si>
    <t>启东</t>
  </si>
  <si>
    <t>CN-2846-2698139</t>
  </si>
  <si>
    <t>CN-3083-2098822</t>
  </si>
  <si>
    <t>佳木斯</t>
  </si>
  <si>
    <t>US-2464-1498643</t>
  </si>
  <si>
    <t>铁岭</t>
  </si>
  <si>
    <t>US-2789-1399108</t>
  </si>
  <si>
    <t>庄河</t>
  </si>
  <si>
    <t>CN-2886-3694355</t>
  </si>
  <si>
    <t>CN-2776-2075782</t>
  </si>
  <si>
    <t>鸡西</t>
  </si>
  <si>
    <t>CN-2011-2829745</t>
  </si>
  <si>
    <t>肇庆</t>
  </si>
  <si>
    <t>CN-2083-2477297</t>
  </si>
  <si>
    <t>US-2085-5552260</t>
  </si>
  <si>
    <t>US-3151-4764837</t>
  </si>
  <si>
    <t>CN-2444-4725073</t>
  </si>
  <si>
    <t>梧州</t>
  </si>
  <si>
    <t>US-2653-3694355</t>
  </si>
  <si>
    <t>CN-3029-2805987</t>
  </si>
  <si>
    <t>合川</t>
  </si>
  <si>
    <t>US-2060-2531621</t>
  </si>
  <si>
    <t>CN-2644-3769666</t>
  </si>
  <si>
    <t>大庆</t>
  </si>
  <si>
    <t>CN-2188-3656854</t>
  </si>
  <si>
    <t>CN-2829-3010037</t>
  </si>
  <si>
    <t>恒山</t>
  </si>
  <si>
    <t>US-3145-1184235</t>
  </si>
  <si>
    <t>CN-2538-5731370</t>
  </si>
  <si>
    <t>US-2746-5082514</t>
  </si>
  <si>
    <t>大冶</t>
  </si>
  <si>
    <t>CN-2159-5740094</t>
  </si>
  <si>
    <t>CN-2097-3883671</t>
  </si>
  <si>
    <t>CN-2471-4214931</t>
  </si>
  <si>
    <t>醴陵</t>
  </si>
  <si>
    <t>CN-2912-3585437</t>
  </si>
  <si>
    <t>铜川</t>
  </si>
  <si>
    <t>US-2032-5434393</t>
  </si>
  <si>
    <t>大连</t>
  </si>
  <si>
    <t>US-3186-4420382</t>
  </si>
  <si>
    <t>衢州</t>
  </si>
  <si>
    <t>CN-3155-4719760</t>
  </si>
  <si>
    <t>太原</t>
  </si>
  <si>
    <t>CN-3179-5036114</t>
  </si>
  <si>
    <t>济南</t>
  </si>
  <si>
    <t>CN-2989-5816959</t>
  </si>
  <si>
    <t>CN-2075-2146974</t>
  </si>
  <si>
    <t>规阳</t>
  </si>
  <si>
    <t>CN-2839-2166981</t>
  </si>
  <si>
    <t>淮南</t>
  </si>
  <si>
    <t>CN-3117-4936120</t>
  </si>
  <si>
    <t>CN-2536-3174894</t>
  </si>
  <si>
    <t>CN-2795-4288435</t>
  </si>
  <si>
    <t>CN-2393-4214287</t>
  </si>
  <si>
    <t>CN-3155-3922494</t>
  </si>
  <si>
    <t>唐家庄</t>
  </si>
  <si>
    <t>CN-3228-4150128</t>
  </si>
  <si>
    <t>坪山</t>
  </si>
  <si>
    <t>CN-3049-1376899</t>
  </si>
  <si>
    <t>临江</t>
  </si>
  <si>
    <t>US-2693-5956361</t>
  </si>
  <si>
    <t>漯河</t>
  </si>
  <si>
    <t>CN-1989-2121055</t>
  </si>
  <si>
    <t>CN-2851-4662338</t>
  </si>
  <si>
    <t>蓬莱</t>
  </si>
  <si>
    <t>CN-3187-3232918</t>
  </si>
  <si>
    <t>US-2622-4774798</t>
  </si>
  <si>
    <t>US-3005-2312244</t>
  </si>
  <si>
    <t>泰州</t>
  </si>
  <si>
    <t>CN-1937-5781167</t>
  </si>
  <si>
    <t>安达</t>
  </si>
  <si>
    <t>CN-2789-2647402</t>
  </si>
  <si>
    <t>CN-3130-1574908</t>
  </si>
  <si>
    <t>阿城</t>
  </si>
  <si>
    <t>CN-2574-5848215</t>
  </si>
  <si>
    <t>CN-2601-4998591</t>
  </si>
  <si>
    <t>CN-2626-4246507</t>
  </si>
  <si>
    <t>临沂</t>
  </si>
  <si>
    <t>CN-2422-2770008</t>
  </si>
  <si>
    <t>CN-2154-3589017</t>
  </si>
  <si>
    <t>US-3105-1346492</t>
  </si>
  <si>
    <t>枣阳</t>
  </si>
  <si>
    <t>CN-2443-4870971</t>
  </si>
  <si>
    <t>CN-2671-3010037</t>
  </si>
  <si>
    <t>大同</t>
  </si>
  <si>
    <t>CN-3041-2979175</t>
  </si>
  <si>
    <t>濮阳</t>
  </si>
  <si>
    <t>CN-1814-1776641</t>
  </si>
  <si>
    <t>东莞</t>
  </si>
  <si>
    <t>US-3182-2477297</t>
  </si>
  <si>
    <t>US-2055-5672005</t>
  </si>
  <si>
    <t>CN-2863-5477816</t>
  </si>
  <si>
    <t>阳谷</t>
  </si>
  <si>
    <t>US-2993-1715632</t>
  </si>
  <si>
    <t>CN-2970-2964244</t>
  </si>
  <si>
    <t>桦甸</t>
  </si>
  <si>
    <t>CN-2373-5308381</t>
  </si>
  <si>
    <t>磐石</t>
  </si>
  <si>
    <t>CN-2692-2146974</t>
  </si>
  <si>
    <t>US-1992-1597983</t>
  </si>
  <si>
    <t>CN-2520-3807036</t>
  </si>
  <si>
    <t>洛阳</t>
  </si>
  <si>
    <t>CN-3124-3706710</t>
  </si>
  <si>
    <t>CN-2480-3420308</t>
  </si>
  <si>
    <t>鹤壁</t>
  </si>
  <si>
    <t>CN-3042-5592498</t>
  </si>
  <si>
    <t>CN-2490-1021233</t>
  </si>
  <si>
    <t>CN-1815-5477816</t>
  </si>
  <si>
    <t>梨树</t>
  </si>
  <si>
    <t>CN-2094-5278404</t>
  </si>
  <si>
    <t>CN-2109-2560726</t>
  </si>
  <si>
    <t>US-2300-5007229</t>
  </si>
  <si>
    <t>CN-2227-2919347</t>
  </si>
  <si>
    <t>CN-2724-3434056</t>
  </si>
  <si>
    <t>US-2739-3678373</t>
  </si>
  <si>
    <t>南通</t>
  </si>
  <si>
    <t>CN-3102-3569535</t>
  </si>
  <si>
    <t>CN-2899-2210906</t>
  </si>
  <si>
    <t>荔城</t>
  </si>
  <si>
    <t>CN-3189-3381572</t>
  </si>
  <si>
    <t>US-3175-3325239</t>
  </si>
  <si>
    <t>嘉峪关</t>
  </si>
  <si>
    <t>CN-3180-3904829</t>
  </si>
  <si>
    <t>CN-2311-4292548</t>
  </si>
  <si>
    <t>临清</t>
  </si>
  <si>
    <t>CN-2796-3360134</t>
  </si>
  <si>
    <t>CN-2747-3767771</t>
  </si>
  <si>
    <t>南隆</t>
  </si>
  <si>
    <t>US-2966-4339927</t>
  </si>
  <si>
    <t>CN-2763-5102195</t>
  </si>
  <si>
    <t>龙泉</t>
  </si>
  <si>
    <t>CN-3037-4195213</t>
  </si>
  <si>
    <t>宜宾</t>
  </si>
  <si>
    <t>CN-3197-5844177</t>
  </si>
  <si>
    <t>US-3041-1594949</t>
  </si>
  <si>
    <t>CN-2516-2171205</t>
  </si>
  <si>
    <t>常熟市</t>
  </si>
  <si>
    <t>CN-3013-1182921</t>
  </si>
  <si>
    <t>CN-3039-1129627</t>
  </si>
  <si>
    <t>文登</t>
  </si>
  <si>
    <t>CN-2019-2252147</t>
  </si>
  <si>
    <t>岳阳</t>
  </si>
  <si>
    <t>CN-2674-5908054</t>
  </si>
  <si>
    <t>信阳</t>
  </si>
  <si>
    <t>CN-2453-4944475</t>
  </si>
  <si>
    <t>CN-2035-5754536</t>
  </si>
  <si>
    <t>CN-2714-1424056</t>
  </si>
  <si>
    <t>CN-2754-2190451</t>
  </si>
  <si>
    <t>浦城</t>
  </si>
  <si>
    <t>CN-2216-5128542</t>
  </si>
  <si>
    <t>渭南</t>
  </si>
  <si>
    <t>CN-2172-2975416</t>
  </si>
  <si>
    <t>CN-2048-3969050</t>
  </si>
  <si>
    <t>石嘴山</t>
  </si>
  <si>
    <t>CN-2767-1067897</t>
  </si>
  <si>
    <t>US-2665-2373769</t>
  </si>
  <si>
    <t>牙克石</t>
  </si>
  <si>
    <t>CN-2818-2328434</t>
  </si>
  <si>
    <t>黎城</t>
  </si>
  <si>
    <t>CN-2397-3378788</t>
  </si>
  <si>
    <t>CN-3029-5468349</t>
  </si>
  <si>
    <t>三亚</t>
  </si>
  <si>
    <t>CN-2471-5450028</t>
  </si>
  <si>
    <t>US-2950-1070056</t>
  </si>
  <si>
    <t>CN-3151-2211607</t>
  </si>
  <si>
    <t>南平</t>
  </si>
  <si>
    <t>CN-2649-3690158</t>
  </si>
  <si>
    <t>CN-1922-1137701</t>
  </si>
  <si>
    <t>泗水</t>
  </si>
  <si>
    <t>CN-2734-5180154</t>
  </si>
  <si>
    <t>CN-2464-4150128</t>
  </si>
  <si>
    <t>烟台</t>
  </si>
  <si>
    <t>CN-3036-2328434</t>
  </si>
  <si>
    <t>桦南</t>
  </si>
  <si>
    <t>CN-2438-3781425</t>
  </si>
  <si>
    <t>CN-3126-4433229</t>
  </si>
  <si>
    <t>US-2688-4200185</t>
  </si>
  <si>
    <t>CN-2079-3834707</t>
  </si>
  <si>
    <t>CN-1855-4451680</t>
  </si>
  <si>
    <t>CN-2774-2312244</t>
  </si>
  <si>
    <t>CN-3179-3108642</t>
  </si>
  <si>
    <t>CN-2391-3297567</t>
  </si>
  <si>
    <t>津市</t>
  </si>
  <si>
    <t>CN-1791-4217149</t>
  </si>
  <si>
    <t>CN-2479-1564715</t>
  </si>
  <si>
    <t>CN-3223-3281446</t>
  </si>
  <si>
    <t>CN-1951-1529712</t>
  </si>
  <si>
    <t>肇东</t>
  </si>
  <si>
    <t>CN-2783-4075015</t>
  </si>
  <si>
    <t>US-2830-5146329</t>
  </si>
  <si>
    <t>襄樊</t>
  </si>
  <si>
    <t>US-3129-1231498</t>
  </si>
  <si>
    <t>高邮</t>
  </si>
  <si>
    <t>CN-2737-2852208</t>
  </si>
  <si>
    <t>US-2308-4246507</t>
  </si>
  <si>
    <t>本溪</t>
  </si>
  <si>
    <t>US-3004-4217149</t>
  </si>
  <si>
    <t>CN-2389-4302272</t>
  </si>
  <si>
    <t>US-2999-3769666</t>
  </si>
  <si>
    <t>CN-3047-3367931</t>
  </si>
  <si>
    <t>CN-2083-3874208</t>
  </si>
  <si>
    <t>咸阳</t>
  </si>
  <si>
    <t>CN-2531-3636322</t>
  </si>
  <si>
    <t>张家口</t>
  </si>
  <si>
    <t>US-3214-1184235</t>
  </si>
  <si>
    <t>惠州</t>
  </si>
  <si>
    <t>CN-3026-1511005</t>
  </si>
  <si>
    <t>门头沟</t>
  </si>
  <si>
    <t>CN-2730-5645996</t>
  </si>
  <si>
    <t>惠城</t>
  </si>
  <si>
    <t>CN-2198-5869494</t>
  </si>
  <si>
    <t>益阳</t>
  </si>
  <si>
    <t>CN-2914-3807036</t>
  </si>
  <si>
    <t>扶余</t>
  </si>
  <si>
    <t>CN-2734-3409532</t>
  </si>
  <si>
    <t>韶关</t>
  </si>
  <si>
    <t>CN-1929-5720978</t>
  </si>
  <si>
    <t>US-2664-3285234</t>
  </si>
  <si>
    <t>CN-2759-2295401</t>
  </si>
  <si>
    <t>US-2388-3074981</t>
  </si>
  <si>
    <t>CN-1955-2919347</t>
  </si>
  <si>
    <t>CN-2404-3382200</t>
  </si>
  <si>
    <t>CN-3192-5497693</t>
  </si>
  <si>
    <t>CN-1989-2859473</t>
  </si>
  <si>
    <t>晋江</t>
  </si>
  <si>
    <t>CN-2885-2190451</t>
  </si>
  <si>
    <t>CN-2727-3188485</t>
  </si>
  <si>
    <t>弥阳</t>
  </si>
  <si>
    <t>US-2228-5922906</t>
  </si>
  <si>
    <t>CN-2823-1182921</t>
  </si>
  <si>
    <t>郴州</t>
  </si>
  <si>
    <t>CN-2752-3676630</t>
  </si>
  <si>
    <t>遵义</t>
  </si>
  <si>
    <t>CN-2162-1392177</t>
  </si>
  <si>
    <t>US-2900-3210061</t>
  </si>
  <si>
    <t>义乌</t>
  </si>
  <si>
    <t>CN-3031-4839636</t>
  </si>
  <si>
    <t>常德</t>
  </si>
  <si>
    <t>US-3082-2199283</t>
  </si>
  <si>
    <t>海城</t>
  </si>
  <si>
    <t>CN-3034-5094467</t>
  </si>
  <si>
    <t>CN-2548-4395048</t>
  </si>
  <si>
    <t>CN-3225-4545298</t>
  </si>
  <si>
    <t>US-2641-5128542</t>
  </si>
  <si>
    <t>CN-1813-2213009</t>
  </si>
  <si>
    <t>边庄</t>
  </si>
  <si>
    <t>CN-2996-1820925</t>
  </si>
  <si>
    <t>CN-3126-2883758</t>
  </si>
  <si>
    <t>CN-3228-4682811</t>
  </si>
  <si>
    <t>CN-3093-3865865</t>
  </si>
  <si>
    <t>郑州</t>
  </si>
  <si>
    <t>CN-3080-5743460</t>
  </si>
  <si>
    <t>US-2089-5956912</t>
  </si>
  <si>
    <t>CN-3168-2274876</t>
  </si>
  <si>
    <t>宣州</t>
  </si>
  <si>
    <t>CN-2480-4526574</t>
  </si>
  <si>
    <t>CN-1835-4448319</t>
  </si>
  <si>
    <t>福州</t>
  </si>
  <si>
    <t>CN-2321-4054371</t>
  </si>
  <si>
    <t>CN-2934-2121767</t>
  </si>
  <si>
    <t>CN-2409-5616321</t>
  </si>
  <si>
    <t>长春</t>
  </si>
  <si>
    <t>CN-2909-1574908</t>
  </si>
  <si>
    <t>昌平</t>
  </si>
  <si>
    <t>US-3220-2352370</t>
  </si>
  <si>
    <t>新乡</t>
  </si>
  <si>
    <t>CN-3192-3289723</t>
  </si>
  <si>
    <t>CN-3206-3064620</t>
  </si>
  <si>
    <t>CN-2116-3122639</t>
  </si>
  <si>
    <t>CN-2408-2462555</t>
  </si>
  <si>
    <t>汕尾</t>
  </si>
  <si>
    <t>CN-2634-2979175</t>
  </si>
  <si>
    <t>九江</t>
  </si>
  <si>
    <t>CN-3046-2051602</t>
  </si>
  <si>
    <t>CN-1983-5278891</t>
  </si>
  <si>
    <t>新野</t>
  </si>
  <si>
    <t>CN-2377-4451680</t>
  </si>
  <si>
    <t>赤峰</t>
  </si>
  <si>
    <t>CN-2535-3852845</t>
  </si>
  <si>
    <t>辽源</t>
  </si>
  <si>
    <t>US-2766-4842730</t>
  </si>
  <si>
    <t>宽甸</t>
  </si>
  <si>
    <t>CN-2230-3261036</t>
  </si>
  <si>
    <t>CN-2412-5542988</t>
  </si>
  <si>
    <t>铜仁</t>
  </si>
  <si>
    <t>CN-2360-4092793</t>
  </si>
  <si>
    <t>CN-2255-5869022</t>
  </si>
  <si>
    <t>US-3108-3504524</t>
  </si>
  <si>
    <t>乌海</t>
  </si>
  <si>
    <t>CN-2901-5956912</t>
  </si>
  <si>
    <t>CN-2002-4114478</t>
  </si>
  <si>
    <t>沅江</t>
  </si>
  <si>
    <t>CN-3101-1261828</t>
  </si>
  <si>
    <t>曲靖</t>
  </si>
  <si>
    <t>US-3180-3988119</t>
  </si>
  <si>
    <t>CN-2388-5320363</t>
  </si>
  <si>
    <t>CN-2129-5278891</t>
  </si>
  <si>
    <t>CN-3203-2166981</t>
  </si>
  <si>
    <t>桂林</t>
  </si>
  <si>
    <t>CN-2391-4596452</t>
  </si>
  <si>
    <t>CN-3025-1135813</t>
  </si>
  <si>
    <t>新石</t>
  </si>
  <si>
    <t>CN-2898-5146329</t>
  </si>
  <si>
    <t>CN-2293-2558627</t>
  </si>
  <si>
    <t>CN-3160-4230867</t>
  </si>
  <si>
    <t>忻州</t>
  </si>
  <si>
    <t>US-2416-1455125</t>
  </si>
  <si>
    <t>和田</t>
  </si>
  <si>
    <t>CN-2206-4054371</t>
  </si>
  <si>
    <t>CN-2761-2661656</t>
  </si>
  <si>
    <t>US-1898-4517151</t>
  </si>
  <si>
    <t>US-2829-5082514</t>
  </si>
  <si>
    <t>丰县</t>
  </si>
  <si>
    <t>CN-3166-5445015</t>
  </si>
  <si>
    <t>咸水沽</t>
  </si>
  <si>
    <t>CN-3019-3360468</t>
  </si>
  <si>
    <t>CN-3108-2501800</t>
  </si>
  <si>
    <t>CN-3088-3284718</t>
  </si>
  <si>
    <t>CN-3092-4927110</t>
  </si>
  <si>
    <t>CN-2768-1300278</t>
  </si>
  <si>
    <t>宁海</t>
  </si>
  <si>
    <t>CN-3218-1964482</t>
  </si>
  <si>
    <t>CN-2298-5533473</t>
  </si>
  <si>
    <t>镇赉</t>
  </si>
  <si>
    <t>CN-2983-5834341</t>
  </si>
  <si>
    <t>US-2997-1925348</t>
  </si>
  <si>
    <t>CN-3062-3805086</t>
  </si>
  <si>
    <t>US-2088-4164715</t>
  </si>
  <si>
    <t>CN-3017-2267443</t>
  </si>
  <si>
    <t>CN-2650-3374395</t>
  </si>
  <si>
    <t>阳泉</t>
  </si>
  <si>
    <t>CN-2672-4651879</t>
  </si>
  <si>
    <t>CN-1953-2501800</t>
  </si>
  <si>
    <t>长治</t>
  </si>
  <si>
    <t>CN-2908-2274876</t>
  </si>
  <si>
    <t>CN-2451-3954075</t>
  </si>
  <si>
    <t>US-2682-2257547</t>
  </si>
  <si>
    <t>CN-2416-3904829</t>
  </si>
  <si>
    <t>CN-2600-4733722</t>
  </si>
  <si>
    <t>榆次</t>
  </si>
  <si>
    <t>CN-2468-3138520</t>
  </si>
  <si>
    <t>CN-3137-5378913</t>
  </si>
  <si>
    <t>CN-3228-4121606</t>
  </si>
  <si>
    <t>CN-2719-4092734</t>
  </si>
  <si>
    <t>CN-2305-4978724</t>
  </si>
  <si>
    <t>CN-2123-2664017</t>
  </si>
  <si>
    <t>CN-2083-2501800</t>
  </si>
  <si>
    <t>CN-2909-1891447</t>
  </si>
  <si>
    <t>CN-2618-2577941</t>
  </si>
  <si>
    <t>开封</t>
  </si>
  <si>
    <t>US-2110-3767771</t>
  </si>
  <si>
    <t>张掖</t>
  </si>
  <si>
    <t>CN-2990-4992845</t>
  </si>
  <si>
    <t>CN-3084-5687295</t>
  </si>
  <si>
    <t>CN-2922-1752478</t>
  </si>
  <si>
    <t>都匀</t>
  </si>
  <si>
    <t>CN-2747-2828219</t>
  </si>
  <si>
    <t>禹城</t>
  </si>
  <si>
    <t>CN-2292-4595101</t>
  </si>
  <si>
    <t>CN-2413-2606671</t>
  </si>
  <si>
    <t>CN-2025-1893791</t>
  </si>
  <si>
    <t>安庆</t>
  </si>
  <si>
    <t>CN-3039-4075862</t>
  </si>
  <si>
    <t>CN-2996-3415334</t>
  </si>
  <si>
    <t>CN-2738-1597520</t>
  </si>
  <si>
    <t>US-2511-1756643</t>
  </si>
  <si>
    <t>CN-1857-1511005</t>
  </si>
  <si>
    <t>贵溪</t>
  </si>
  <si>
    <t>CN-3122-2548759</t>
  </si>
  <si>
    <t>CN-1933-4870971</t>
  </si>
  <si>
    <t>US-2877-4375818</t>
  </si>
  <si>
    <t>US-3144-5339863</t>
  </si>
  <si>
    <t>阆中</t>
  </si>
  <si>
    <t>CN-2313-1525230</t>
  </si>
  <si>
    <t>临水</t>
  </si>
  <si>
    <t>CN-1787-3064630</t>
  </si>
  <si>
    <t>颍上解放路城关镇</t>
  </si>
  <si>
    <t>CN-2233-3900153</t>
  </si>
  <si>
    <t>莱芜</t>
  </si>
  <si>
    <t>CN-3102-3560054</t>
  </si>
  <si>
    <t>CN-2331-2063413</t>
  </si>
  <si>
    <t>CN-3108-5592498</t>
  </si>
  <si>
    <t>小围寨</t>
  </si>
  <si>
    <t>CN-2849-3231478</t>
  </si>
  <si>
    <t>CN-2348-3122687</t>
  </si>
  <si>
    <t>CN-2979-3240329</t>
  </si>
  <si>
    <t>CN-2406-1301703</t>
  </si>
  <si>
    <t>CN-2298-5731370</t>
  </si>
  <si>
    <t>CN-2349-2547654</t>
  </si>
  <si>
    <t>US-2255-5199872</t>
  </si>
  <si>
    <t>CN-2849-5569845</t>
  </si>
  <si>
    <t>CN-2446-4986506</t>
  </si>
  <si>
    <t>富拉尔基区</t>
  </si>
  <si>
    <t>US-2153-1346492</t>
  </si>
  <si>
    <t>CN-2348-2606671</t>
  </si>
  <si>
    <t>CN-2852-3704015</t>
  </si>
  <si>
    <t>兰西</t>
  </si>
  <si>
    <t>US-2249-2642546</t>
  </si>
  <si>
    <t>CN-3020-3693425</t>
  </si>
  <si>
    <t>CN-2007-2105676</t>
  </si>
  <si>
    <t>CN-2196-4825687</t>
  </si>
  <si>
    <t>CN-3053-3231478</t>
  </si>
  <si>
    <t>寿光</t>
  </si>
  <si>
    <t>CN-1891-2187292</t>
  </si>
  <si>
    <t>CN-3155-2699733</t>
  </si>
  <si>
    <t>US-2773-5801512</t>
  </si>
  <si>
    <t>CN-1774-4800042</t>
  </si>
  <si>
    <t>CN-2563-4347325</t>
  </si>
  <si>
    <t>CN-2658-3873167</t>
  </si>
  <si>
    <t>菏泽</t>
  </si>
  <si>
    <t>US-2201-2609031</t>
  </si>
  <si>
    <t>CN-2940-3226363</t>
  </si>
  <si>
    <t>仙桃</t>
  </si>
  <si>
    <t>CN-3146-1512811</t>
  </si>
  <si>
    <t>1,统计订单表中细分的产品类别销售金额</t>
  </si>
  <si>
    <t>办公用品</t>
  </si>
  <si>
    <t>技术</t>
  </si>
  <si>
    <t>家具</t>
  </si>
  <si>
    <t>2，公式统计</t>
  </si>
  <si>
    <t>办公用品的单笔最大金额</t>
  </si>
  <si>
    <t>家具的单笔最小金额</t>
  </si>
  <si>
    <t>一行为一笔交易</t>
  </si>
  <si>
    <t>3，统计订单表中细分的产品类别订单笔数</t>
  </si>
  <si>
    <t>华东</t>
  </si>
  <si>
    <t>西南</t>
  </si>
  <si>
    <t>中南</t>
  </si>
  <si>
    <t>西北</t>
  </si>
  <si>
    <t>东北</t>
  </si>
  <si>
    <t>华北</t>
  </si>
  <si>
    <t>销售额数量</t>
  </si>
  <si>
    <t>销售金额</t>
  </si>
  <si>
    <t>2023年月份销售</t>
  </si>
  <si>
    <t>海达汽车2024年上半年销售情况表</t>
  </si>
  <si>
    <t>左边数据制作出如下图的三个图</t>
  </si>
  <si>
    <t>1月</t>
  </si>
  <si>
    <t>2月</t>
  </si>
  <si>
    <t>3月</t>
  </si>
  <si>
    <t>4月</t>
  </si>
  <si>
    <t>5月</t>
  </si>
  <si>
    <t>6月</t>
  </si>
  <si>
    <t>销售数量</t>
  </si>
  <si>
    <t>销售均价</t>
  </si>
  <si>
    <t>英文成绩</t>
  </si>
  <si>
    <t>省/自治区</t>
  </si>
  <si>
    <t>类别</t>
  </si>
  <si>
    <t>黑龙江</t>
  </si>
  <si>
    <t>吉林</t>
  </si>
  <si>
    <t>辽宁</t>
  </si>
  <si>
    <t>河北</t>
  </si>
  <si>
    <t>山西</t>
  </si>
  <si>
    <t>内蒙古</t>
  </si>
  <si>
    <t>浙江</t>
  </si>
  <si>
    <t>江苏</t>
  </si>
  <si>
    <t>江西</t>
  </si>
  <si>
    <t>山东</t>
  </si>
  <si>
    <t>福建</t>
  </si>
  <si>
    <t>安徽</t>
  </si>
  <si>
    <t>陕西</t>
  </si>
  <si>
    <t>甘肃</t>
  </si>
  <si>
    <t>青海</t>
  </si>
  <si>
    <t>宁夏</t>
  </si>
  <si>
    <t>新疆</t>
  </si>
  <si>
    <t>四川</t>
  </si>
  <si>
    <t>云南</t>
  </si>
  <si>
    <t>贵州</t>
  </si>
  <si>
    <t>广东</t>
  </si>
  <si>
    <t>湖北</t>
  </si>
  <si>
    <t>河南</t>
  </si>
  <si>
    <t>湖南</t>
  </si>
  <si>
    <t>广西</t>
  </si>
  <si>
    <t>海南</t>
  </si>
  <si>
    <t>分别做出如下三张效果图的透视表</t>
  </si>
  <si>
    <t>销售送货单</t>
  </si>
  <si>
    <t>送货单号：A000001</t>
  </si>
  <si>
    <t>开单时间：20XX-06-05</t>
  </si>
  <si>
    <t>开单人：张三</t>
  </si>
  <si>
    <t>序号</t>
  </si>
  <si>
    <t>货品编码</t>
  </si>
  <si>
    <t>货品名称</t>
  </si>
  <si>
    <t>单位</t>
  </si>
  <si>
    <t>小计</t>
  </si>
  <si>
    <t>某某商品</t>
  </si>
  <si>
    <t>个</t>
  </si>
  <si>
    <t>合计金额：</t>
  </si>
  <si>
    <t>折扣：0.0000%                  收款期限：20XX-06-05</t>
  </si>
  <si>
    <t>备注：</t>
  </si>
  <si>
    <t>以上货物数量规格实收无误，未付款</t>
  </si>
  <si>
    <t>收货单位及经手人：</t>
  </si>
  <si>
    <t>（签字或盖章）</t>
  </si>
  <si>
    <t>客    户：某某市某某科技有限公司</t>
  </si>
  <si>
    <t>送货地址：                            货运信息：</t>
  </si>
  <si>
    <t>联系人：                              联系电话：</t>
  </si>
  <si>
    <t>币种：人民币    应收金额：¥2000.00    大写：贰仟元整               付款方式：转账</t>
  </si>
  <si>
    <t xml:space="preserve">                  出货仓库：成品仓储</t>
  </si>
  <si>
    <t xml:space="preserve"> （收款以红单为据）</t>
  </si>
  <si>
    <t>总计</t>
  </si>
  <si>
    <t>求和项:数量</t>
  </si>
  <si>
    <t>7月</t>
  </si>
  <si>
    <t>8月</t>
  </si>
  <si>
    <t>9月</t>
  </si>
  <si>
    <t>10月</t>
  </si>
  <si>
    <t>11月</t>
  </si>
  <si>
    <t>12月</t>
  </si>
  <si>
    <t>Row Labels</t>
  </si>
  <si>
    <t>平均值项：数量</t>
  </si>
  <si>
    <t>求和项：数量</t>
  </si>
  <si>
    <t>2021年</t>
  </si>
  <si>
    <t>2022年</t>
  </si>
  <si>
    <t>2023年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</si>
</sst>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_ "/>
    <numFmt numFmtId="165" formatCode="yyyy/m/d\ h:mm:ss"/>
    <numFmt numFmtId="166" formatCode="[$¥-804]###0.00"/>
  </numFmts>
  <fonts count="10">
    <font>
      <sz val="11"/>
      <color theme="1"/>
      <name val="Calibri"/>
      <charset val="134"/>
      <scheme val="minor"/>
    </font>
    <font>
      <sz val="11"/>
      <color theme="1"/>
      <name val="Calibri"/>
      <family val="2"/>
      <scheme val="minor"/>
    </font>
    <font>
      <sz val="11"/>
      <color theme="1"/>
      <name val="Calibri"/>
      <family val="2"/>
      <scheme val="minor"/>
    </font>
    <font>
      <sz val="12"/>
      <color theme="1"/>
      <name val="Calibri"/>
      <charset val="134"/>
      <scheme val="minor"/>
    </font>
    <font>
      <b/>
      <sz val="20"/>
      <name val="宋体"/>
      <charset val="134"/>
    </font>
    <font>
      <sz val="12"/>
      <name val="宋体"/>
      <charset val="134"/>
    </font>
    <font>
      <sz val="11"/>
      <color rgb="FFFF0000"/>
      <name val="Calibri"/>
      <charset val="134"/>
      <scheme val="minor"/>
    </font>
    <font>
      <sz val="11"/>
      <color theme="1"/>
      <name val="黑体"/>
      <family val="3"/>
      <charset val="134"/>
    </font>
    <font>
      <b/>
      <sz val="20"/>
      <color theme="1"/>
      <name val="黑体"/>
      <family val="3"/>
      <charset val="134"/>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theme="0"/>
      </bottom>
      <diagonal/>
    </border>
    <border>
      <left/>
      <right/>
      <top style="medium">
        <color auto="1"/>
      </top>
      <bottom style="medium">
        <color theme="0"/>
      </bottom>
      <diagonal/>
    </border>
    <border>
      <left/>
      <right style="medium">
        <color auto="1"/>
      </right>
      <top style="medium">
        <color auto="1"/>
      </top>
      <bottom style="medium">
        <color theme="0"/>
      </bottom>
      <diagonal/>
    </border>
    <border>
      <left style="medium">
        <color auto="1"/>
      </left>
      <right/>
      <top style="medium">
        <color theme="0"/>
      </top>
      <bottom style="medium">
        <color auto="1"/>
      </bottom>
      <diagonal/>
    </border>
    <border>
      <left/>
      <right/>
      <top style="medium">
        <color theme="0"/>
      </top>
      <bottom style="medium">
        <color auto="1"/>
      </bottom>
      <diagonal/>
    </border>
    <border>
      <left/>
      <right style="medium">
        <color auto="1"/>
      </right>
      <top style="medium">
        <color theme="0"/>
      </top>
      <bottom style="medium">
        <color auto="1"/>
      </bottom>
      <diagonal/>
    </border>
  </borders>
  <cellStyleXfs count="3">
    <xf numFmtId="0" fontId="0" fillId="0" borderId="0">
      <alignment vertical="center"/>
    </xf>
    <xf numFmtId="0" fontId="5" fillId="0" borderId="0"/>
    <xf numFmtId="0" fontId="2" fillId="0" borderId="0">
      <alignment vertical="center"/>
    </xf>
  </cellStyleXfs>
  <cellXfs count="64">
    <xf numFmtId="0" fontId="0" fillId="0" borderId="0" xfId="0">
      <alignment vertical="center"/>
    </xf>
    <xf numFmtId="164" fontId="0" fillId="0" borderId="0" xfId="0" applyNumberFormat="1">
      <alignment vertical="center"/>
    </xf>
    <xf numFmtId="165" fontId="0" fillId="0" borderId="0" xfId="0" applyNumberFormat="1">
      <alignment vertical="center"/>
    </xf>
    <xf numFmtId="0" fontId="3" fillId="0" borderId="0" xfId="0" applyFont="1" applyAlignment="1">
      <alignment horizontal="center" vertical="center"/>
    </xf>
    <xf numFmtId="0" fontId="3" fillId="0" borderId="0" xfId="0" applyFont="1" applyAlignment="1"/>
    <xf numFmtId="165" fontId="3" fillId="0" borderId="0" xfId="0" applyNumberFormat="1" applyFont="1" applyAlignment="1"/>
    <xf numFmtId="49" fontId="0" fillId="0" borderId="0" xfId="0" applyNumberFormat="1" applyAlignment="1">
      <alignment horizontal="center" vertical="center"/>
    </xf>
    <xf numFmtId="0" fontId="0" fillId="0" borderId="0" xfId="0" applyAlignment="1">
      <alignment horizontal="center" vertical="center"/>
    </xf>
    <xf numFmtId="0" fontId="5" fillId="0" borderId="0" xfId="0" applyFont="1">
      <alignment vertical="center"/>
    </xf>
    <xf numFmtId="0" fontId="0" fillId="2" borderId="0" xfId="0" applyFill="1">
      <alignment vertical="center"/>
    </xf>
    <xf numFmtId="0" fontId="6"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6" fillId="2" borderId="0" xfId="0" applyFont="1" applyFill="1" applyAlignment="1">
      <alignment vertical="center" wrapText="1"/>
    </xf>
    <xf numFmtId="0" fontId="6" fillId="3" borderId="0" xfId="0" applyFont="1" applyFill="1" applyAlignment="1">
      <alignment horizontal="center" vertical="center"/>
    </xf>
    <xf numFmtId="0" fontId="0" fillId="3" borderId="0" xfId="0" applyFill="1">
      <alignment vertical="center"/>
    </xf>
    <xf numFmtId="0" fontId="7" fillId="0" borderId="0" xfId="0" applyFont="1">
      <alignment vertical="center"/>
    </xf>
    <xf numFmtId="0" fontId="7" fillId="0" borderId="2" xfId="0" applyFont="1" applyBorder="1" applyAlignment="1">
      <alignment horizontal="center" vertical="center"/>
    </xf>
    <xf numFmtId="166" fontId="7" fillId="0" borderId="2" xfId="0" applyNumberFormat="1" applyFont="1" applyBorder="1" applyAlignment="1">
      <alignment horizontal="center" vertical="center"/>
    </xf>
    <xf numFmtId="0" fontId="7" fillId="0" borderId="6" xfId="0" applyFont="1" applyBorder="1" applyAlignment="1">
      <alignment horizontal="center" vertical="center"/>
    </xf>
    <xf numFmtId="166" fontId="7" fillId="0" borderId="6" xfId="0" applyNumberFormat="1" applyFont="1" applyBorder="1" applyAlignment="1">
      <alignment horizontal="center" vertical="center"/>
    </xf>
    <xf numFmtId="0" fontId="7" fillId="0" borderId="0" xfId="0" applyFont="1" applyAlignment="1">
      <alignment horizontal="right" vertical="center"/>
    </xf>
    <xf numFmtId="0" fontId="0" fillId="0" borderId="0" xfId="0" applyAlignment="1">
      <alignment horizontal="right" vertical="center"/>
    </xf>
    <xf numFmtId="0" fontId="2" fillId="0" borderId="0" xfId="0" applyFont="1">
      <alignment vertical="center"/>
    </xf>
    <xf numFmtId="0" fontId="9" fillId="0" borderId="0" xfId="0" applyFont="1" applyAlignment="1"/>
    <xf numFmtId="0" fontId="2" fillId="0" borderId="0" xfId="2">
      <alignment vertical="center"/>
    </xf>
    <xf numFmtId="0" fontId="2" fillId="0" borderId="0" xfId="2" applyAlignment="1">
      <alignment horizontal="left" vertical="center"/>
    </xf>
    <xf numFmtId="165" fontId="2" fillId="0" borderId="0" xfId="2" applyNumberFormat="1">
      <alignment vertical="center"/>
    </xf>
    <xf numFmtId="0" fontId="9" fillId="0" borderId="0" xfId="2" applyFont="1" applyAlignment="1"/>
    <xf numFmtId="165" fontId="9" fillId="0" borderId="0" xfId="2" applyNumberFormat="1" applyFont="1" applyAlignment="1"/>
    <xf numFmtId="0" fontId="2" fillId="0" borderId="1" xfId="2" applyBorder="1" applyAlignment="1">
      <alignment horizontal="center" vertical="center"/>
    </xf>
    <xf numFmtId="0" fontId="2" fillId="0" borderId="1" xfId="2" applyBorder="1">
      <alignment vertical="center"/>
    </xf>
    <xf numFmtId="0" fontId="9" fillId="0" borderId="1" xfId="2" applyFont="1" applyBorder="1" applyAlignment="1"/>
    <xf numFmtId="0" fontId="9" fillId="0" borderId="1" xfId="2" applyFont="1" applyBorder="1" applyAlignment="1">
      <alignment horizontal="center" vertical="center"/>
    </xf>
    <xf numFmtId="0" fontId="9" fillId="0" borderId="1" xfId="2" applyFont="1" applyBorder="1" applyAlignment="1">
      <alignment horizontal="left"/>
    </xf>
    <xf numFmtId="0" fontId="2" fillId="2" borderId="0" xfId="2" applyFill="1" applyAlignment="1">
      <alignment horizontal="center" vertical="center"/>
    </xf>
    <xf numFmtId="0" fontId="9" fillId="0" borderId="0" xfId="2" applyFont="1" applyAlignment="1">
      <alignment horizontal="center" vertical="center"/>
    </xf>
    <xf numFmtId="0" fontId="1" fillId="2" borderId="0" xfId="2" applyFont="1" applyFill="1" applyAlignment="1">
      <alignment horizontal="center" vertical="center"/>
    </xf>
    <xf numFmtId="0" fontId="2" fillId="0" borderId="0" xfId="2" applyAlignment="1">
      <alignment horizontal="center" vertical="center"/>
    </xf>
    <xf numFmtId="0" fontId="1" fillId="0" borderId="1" xfId="2" applyFont="1" applyBorder="1">
      <alignment vertical="center"/>
    </xf>
    <xf numFmtId="0" fontId="0" fillId="0" borderId="0" xfId="0" pivotButton="1">
      <alignment vertical="center"/>
    </xf>
    <xf numFmtId="0" fontId="0" fillId="0" borderId="0" xfId="0"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0" fillId="0" borderId="0" xfId="0" applyAlignment="1">
      <alignment horizontal="center" vertical="center" wrapText="1"/>
    </xf>
    <xf numFmtId="0" fontId="8" fillId="0" borderId="0" xfId="0" applyFont="1" applyAlignment="1">
      <alignment horizontal="center"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0" xfId="0" applyFont="1">
      <alignment vertical="center"/>
    </xf>
    <xf numFmtId="0" fontId="2" fillId="0" borderId="1" xfId="2" applyBorder="1" applyAlignment="1">
      <alignment horizontal="left" vertical="center"/>
    </xf>
    <xf numFmtId="0" fontId="2" fillId="0" borderId="1" xfId="2"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0" fillId="0" borderId="0" xfId="0" applyNumberFormat="1">
      <alignment vertical="center"/>
    </xf>
    <xf numFmtId="0" fontId="0" fillId="0" borderId="0" xfId="0" pivotButton="1" applyAlignment="1">
      <alignment horizontal="center" vertical="center"/>
    </xf>
    <xf numFmtId="0"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right" vertical="center" indent="1"/>
    </xf>
  </cellXfs>
  <cellStyles count="3">
    <cellStyle name="Normal" xfId="0" builtinId="0"/>
    <cellStyle name="Normal 2" xfId="2" xr:uid="{9D71B097-CF89-4C28-86FC-BF21EF824540}"/>
    <cellStyle name="常规 2" xfId="1" xr:uid="{00000000-0005-0000-0000-000031000000}"/>
  </cellStyles>
  <dxfs count="86">
    <dxf>
      <alignment horizontal="right" indent="1"/>
    </dxf>
    <dxf>
      <alignment horizontal="right" indent="1"/>
    </dxf>
    <dxf>
      <alignment horizontal="right" indent="1"/>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85"/>
      <tableStyleElement type="headerRow" dxfId="84"/>
      <tableStyleElement type="totalRow" dxfId="83"/>
      <tableStyleElement type="firstColumn" dxfId="82"/>
      <tableStyleElement type="lastColumn" dxfId="81"/>
      <tableStyleElement type="firstRowStripe" dxfId="80"/>
      <tableStyleElement type="firstColumnStripe" dxfId="79"/>
    </tableStyle>
    <tableStyle name="PivotStylePreset2_Accent1" table="0" count="10" xr9:uid="{267968C8-6FFD-4C36-ACC1-9EA1FD1885CA}">
      <tableStyleElement type="headerRow" dxfId="78"/>
      <tableStyleElement type="totalRow" dxfId="77"/>
      <tableStyleElement type="firstRowStripe" dxfId="76"/>
      <tableStyleElement type="firstColumnStripe" dxfId="75"/>
      <tableStyleElement type="firstSubtotalRow" dxfId="74"/>
      <tableStyleElement type="secondSubtotalRow" dxfId="73"/>
      <tableStyleElement type="firstRowSubheading" dxfId="72"/>
      <tableStyleElement type="secondRowSubheading" dxfId="71"/>
      <tableStyleElement type="pageFieldLabels" dxfId="70"/>
      <tableStyleElement type="pageFieldValues" dxfId="6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b="1"/>
              <a:t>销售数量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'6，图表'!$A$3</c:f>
              <c:strCache>
                <c:ptCount val="1"/>
                <c:pt idx="0">
                  <c:v>销售数量</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'6，图表'!$B$2:$G$2</c:f>
              <c:strCache>
                <c:ptCount val="6"/>
                <c:pt idx="0">
                  <c:v>1月</c:v>
                </c:pt>
                <c:pt idx="1">
                  <c:v>2月</c:v>
                </c:pt>
                <c:pt idx="2">
                  <c:v>3月</c:v>
                </c:pt>
                <c:pt idx="3">
                  <c:v>4月</c:v>
                </c:pt>
                <c:pt idx="4">
                  <c:v>5月</c:v>
                </c:pt>
                <c:pt idx="5">
                  <c:v>6月</c:v>
                </c:pt>
              </c:strCache>
            </c:strRef>
          </c:cat>
          <c:val>
            <c:numRef>
              <c:f>'6，图表'!$B$3:$G$3</c:f>
              <c:numCache>
                <c:formatCode>General</c:formatCode>
                <c:ptCount val="6"/>
                <c:pt idx="0">
                  <c:v>1312</c:v>
                </c:pt>
                <c:pt idx="1">
                  <c:v>925</c:v>
                </c:pt>
                <c:pt idx="2">
                  <c:v>1020</c:v>
                </c:pt>
                <c:pt idx="3">
                  <c:v>2035</c:v>
                </c:pt>
                <c:pt idx="4">
                  <c:v>3200</c:v>
                </c:pt>
                <c:pt idx="5">
                  <c:v>800</c:v>
                </c:pt>
              </c:numCache>
            </c:numRef>
          </c:val>
          <c:extLst>
            <c:ext xmlns:c16="http://schemas.microsoft.com/office/drawing/2014/chart" uri="{C3380CC4-5D6E-409C-BE32-E72D297353CC}">
              <c16:uniqueId val="{00000000-0EC1-418E-A684-0FDA57A0FC99}"/>
            </c:ext>
          </c:extLst>
        </c:ser>
        <c:dLbls>
          <c:dLblPos val="outEnd"/>
          <c:showLegendKey val="0"/>
          <c:showVal val="1"/>
          <c:showCatName val="0"/>
          <c:showSerName val="0"/>
          <c:showPercent val="0"/>
          <c:showBubbleSize val="0"/>
        </c:dLbls>
        <c:gapWidth val="219"/>
        <c:overlap val="-27"/>
        <c:axId val="1211238800"/>
        <c:axId val="1211235920"/>
      </c:barChart>
      <c:catAx>
        <c:axId val="1211238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月份</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35920"/>
        <c:crosses val="autoZero"/>
        <c:auto val="1"/>
        <c:lblAlgn val="ctr"/>
        <c:lblOffset val="100"/>
        <c:noMultiLvlLbl val="0"/>
      </c:catAx>
      <c:valAx>
        <c:axId val="121123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销量</a:t>
                </a:r>
                <a:endParaRPr lang="en-US" altLang="zh-C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3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b="1"/>
              <a:t>销售均价</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'6，图表'!$A$4</c:f>
              <c:strCache>
                <c:ptCount val="1"/>
                <c:pt idx="0">
                  <c:v>销售均价</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5F-4889-AA35-2A0952CF1FD5}"/>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dLbl>
              <c:idx val="0"/>
              <c:layout>
                <c:manualLayout>
                  <c:x val="-6.6173775153105865E-2"/>
                  <c:y val="0.126409667541557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5F-4889-AA35-2A0952CF1FD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'6，图表'!$B$2:$G$2</c:f>
              <c:strCache>
                <c:ptCount val="6"/>
                <c:pt idx="0">
                  <c:v>1月</c:v>
                </c:pt>
                <c:pt idx="1">
                  <c:v>2月</c:v>
                </c:pt>
                <c:pt idx="2">
                  <c:v>3月</c:v>
                </c:pt>
                <c:pt idx="3">
                  <c:v>4月</c:v>
                </c:pt>
                <c:pt idx="4">
                  <c:v>5月</c:v>
                </c:pt>
                <c:pt idx="5">
                  <c:v>6月</c:v>
                </c:pt>
              </c:strCache>
            </c:strRef>
          </c:cat>
          <c:val>
            <c:numRef>
              <c:f>'6，图表'!$B$4:$G$4</c:f>
              <c:numCache>
                <c:formatCode>General</c:formatCode>
                <c:ptCount val="6"/>
                <c:pt idx="0">
                  <c:v>85000</c:v>
                </c:pt>
                <c:pt idx="1">
                  <c:v>100000</c:v>
                </c:pt>
                <c:pt idx="2">
                  <c:v>93000</c:v>
                </c:pt>
                <c:pt idx="3">
                  <c:v>89000</c:v>
                </c:pt>
                <c:pt idx="4">
                  <c:v>91000</c:v>
                </c:pt>
                <c:pt idx="5">
                  <c:v>94000</c:v>
                </c:pt>
              </c:numCache>
            </c:numRef>
          </c:val>
          <c:extLst>
            <c:ext xmlns:c16="http://schemas.microsoft.com/office/drawing/2014/chart" uri="{C3380CC4-5D6E-409C-BE32-E72D297353CC}">
              <c16:uniqueId val="{00000000-F95F-4889-AA35-2A0952CF1FD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b="1"/>
              <a:t>图表标题</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'6，图表'!$A$3</c:f>
              <c:strCache>
                <c:ptCount val="1"/>
                <c:pt idx="0">
                  <c:v>销售数量</c:v>
                </c:pt>
              </c:strCache>
            </c:strRef>
          </c:tx>
          <c:spPr>
            <a:solidFill>
              <a:schemeClr val="accent1"/>
            </a:solidFill>
            <a:ln>
              <a:noFill/>
            </a:ln>
            <a:effectLst/>
          </c:spPr>
          <c:invertIfNegative val="0"/>
          <c:cat>
            <c:strRef>
              <c:f>'6，图表'!$B$2:$G$2</c:f>
              <c:strCache>
                <c:ptCount val="6"/>
                <c:pt idx="0">
                  <c:v>1月</c:v>
                </c:pt>
                <c:pt idx="1">
                  <c:v>2月</c:v>
                </c:pt>
                <c:pt idx="2">
                  <c:v>3月</c:v>
                </c:pt>
                <c:pt idx="3">
                  <c:v>4月</c:v>
                </c:pt>
                <c:pt idx="4">
                  <c:v>5月</c:v>
                </c:pt>
                <c:pt idx="5">
                  <c:v>6月</c:v>
                </c:pt>
              </c:strCache>
            </c:strRef>
          </c:cat>
          <c:val>
            <c:numRef>
              <c:f>'6，图表'!$B$3:$G$3</c:f>
              <c:numCache>
                <c:formatCode>General</c:formatCode>
                <c:ptCount val="6"/>
                <c:pt idx="0">
                  <c:v>1312</c:v>
                </c:pt>
                <c:pt idx="1">
                  <c:v>925</c:v>
                </c:pt>
                <c:pt idx="2">
                  <c:v>1020</c:v>
                </c:pt>
                <c:pt idx="3">
                  <c:v>2035</c:v>
                </c:pt>
                <c:pt idx="4">
                  <c:v>3200</c:v>
                </c:pt>
                <c:pt idx="5">
                  <c:v>800</c:v>
                </c:pt>
              </c:numCache>
            </c:numRef>
          </c:val>
          <c:extLst>
            <c:ext xmlns:c16="http://schemas.microsoft.com/office/drawing/2014/chart" uri="{C3380CC4-5D6E-409C-BE32-E72D297353CC}">
              <c16:uniqueId val="{00000000-1BEF-49D7-88EB-CCD1E0F92E9A}"/>
            </c:ext>
          </c:extLst>
        </c:ser>
        <c:dLbls>
          <c:showLegendKey val="0"/>
          <c:showVal val="0"/>
          <c:showCatName val="0"/>
          <c:showSerName val="0"/>
          <c:showPercent val="0"/>
          <c:showBubbleSize val="0"/>
        </c:dLbls>
        <c:gapWidth val="219"/>
        <c:overlap val="-27"/>
        <c:axId val="1207805576"/>
        <c:axId val="1207803056"/>
      </c:barChart>
      <c:scatterChart>
        <c:scatterStyle val="smoothMarker"/>
        <c:varyColors val="0"/>
        <c:ser>
          <c:idx val="1"/>
          <c:order val="1"/>
          <c:tx>
            <c:strRef>
              <c:f>'6，图表'!$A$4</c:f>
              <c:strCache>
                <c:ptCount val="1"/>
                <c:pt idx="0">
                  <c:v>销售均价</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strRef>
              <c:f>'6，图表'!$B$2:$G$2</c:f>
              <c:strCache>
                <c:ptCount val="6"/>
                <c:pt idx="0">
                  <c:v>1月</c:v>
                </c:pt>
                <c:pt idx="1">
                  <c:v>2月</c:v>
                </c:pt>
                <c:pt idx="2">
                  <c:v>3月</c:v>
                </c:pt>
                <c:pt idx="3">
                  <c:v>4月</c:v>
                </c:pt>
                <c:pt idx="4">
                  <c:v>5月</c:v>
                </c:pt>
                <c:pt idx="5">
                  <c:v>6月</c:v>
                </c:pt>
              </c:strCache>
            </c:strRef>
          </c:xVal>
          <c:yVal>
            <c:numRef>
              <c:f>'6，图表'!$B$4:$G$4</c:f>
              <c:numCache>
                <c:formatCode>General</c:formatCode>
                <c:ptCount val="6"/>
                <c:pt idx="0">
                  <c:v>85000</c:v>
                </c:pt>
                <c:pt idx="1">
                  <c:v>100000</c:v>
                </c:pt>
                <c:pt idx="2">
                  <c:v>93000</c:v>
                </c:pt>
                <c:pt idx="3">
                  <c:v>89000</c:v>
                </c:pt>
                <c:pt idx="4">
                  <c:v>91000</c:v>
                </c:pt>
                <c:pt idx="5">
                  <c:v>94000</c:v>
                </c:pt>
              </c:numCache>
            </c:numRef>
          </c:yVal>
          <c:smooth val="1"/>
          <c:extLst>
            <c:ext xmlns:c16="http://schemas.microsoft.com/office/drawing/2014/chart" uri="{C3380CC4-5D6E-409C-BE32-E72D297353CC}">
              <c16:uniqueId val="{00000001-1BEF-49D7-88EB-CCD1E0F92E9A}"/>
            </c:ext>
          </c:extLst>
        </c:ser>
        <c:dLbls>
          <c:showLegendKey val="0"/>
          <c:showVal val="0"/>
          <c:showCatName val="0"/>
          <c:showSerName val="0"/>
          <c:showPercent val="0"/>
          <c:showBubbleSize val="0"/>
        </c:dLbls>
        <c:axId val="1106045152"/>
        <c:axId val="1105361784"/>
      </c:scatterChart>
      <c:catAx>
        <c:axId val="1207805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03056"/>
        <c:crosses val="autoZero"/>
        <c:auto val="1"/>
        <c:lblAlgn val="ctr"/>
        <c:lblOffset val="100"/>
        <c:noMultiLvlLbl val="0"/>
      </c:catAx>
      <c:valAx>
        <c:axId val="120780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05576"/>
        <c:crosses val="autoZero"/>
        <c:crossBetween val="between"/>
      </c:valAx>
      <c:valAx>
        <c:axId val="1105361784"/>
        <c:scaling>
          <c:orientation val="minMax"/>
          <c:max val="12000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45152"/>
        <c:crosses val="max"/>
        <c:crossBetween val="midCat"/>
      </c:valAx>
      <c:valAx>
        <c:axId val="1106045152"/>
        <c:scaling>
          <c:orientation val="minMax"/>
        </c:scaling>
        <c:delete val="1"/>
        <c:axPos val="t"/>
        <c:numFmt formatCode="General" sourceLinked="1"/>
        <c:majorTickMark val="out"/>
        <c:minorTickMark val="none"/>
        <c:tickLblPos val="nextTo"/>
        <c:crossAx val="1105361784"/>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5.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14</xdr:col>
      <xdr:colOff>97117</xdr:colOff>
      <xdr:row>6</xdr:row>
      <xdr:rowOff>5682</xdr:rowOff>
    </xdr:from>
    <xdr:to>
      <xdr:col>22</xdr:col>
      <xdr:colOff>416744</xdr:colOff>
      <xdr:row>18</xdr:row>
      <xdr:rowOff>161180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464176" y="1081447"/>
          <a:ext cx="5100804" cy="5541792"/>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195580</xdr:colOff>
      <xdr:row>1</xdr:row>
      <xdr:rowOff>142240</xdr:rowOff>
    </xdr:from>
    <xdr:to>
      <xdr:col>17</xdr:col>
      <xdr:colOff>405130</xdr:colOff>
      <xdr:row>20</xdr:row>
      <xdr:rowOff>2540</xdr:rowOff>
    </xdr:to>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8449945" y="313690"/>
          <a:ext cx="4572000" cy="3117850"/>
        </a:xfrm>
        <a:prstGeom prst="rect">
          <a:avLst/>
        </a:prstGeom>
        <a:noFill/>
        <a:ln w="9525">
          <a:noFill/>
        </a:ln>
      </xdr:spPr>
    </xdr:pic>
    <xdr:clientData/>
  </xdr:twoCellAnchor>
  <xdr:twoCellAnchor editAs="oneCell">
    <xdr:from>
      <xdr:col>11</xdr:col>
      <xdr:colOff>0</xdr:colOff>
      <xdr:row>22</xdr:row>
      <xdr:rowOff>0</xdr:rowOff>
    </xdr:from>
    <xdr:to>
      <xdr:col>20</xdr:col>
      <xdr:colOff>82550</xdr:colOff>
      <xdr:row>39</xdr:row>
      <xdr:rowOff>25400</xdr:rowOff>
    </xdr:to>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8254365" y="3771900"/>
          <a:ext cx="6626225" cy="2940050"/>
        </a:xfrm>
        <a:prstGeom prst="rect">
          <a:avLst/>
        </a:prstGeom>
        <a:noFill/>
        <a:ln w="9525">
          <a:noFill/>
        </a:ln>
      </xdr:spPr>
    </xdr:pic>
    <xdr:clientData/>
  </xdr:twoCellAnchor>
  <xdr:twoCellAnchor editAs="oneCell">
    <xdr:from>
      <xdr:col>11</xdr:col>
      <xdr:colOff>0</xdr:colOff>
      <xdr:row>42</xdr:row>
      <xdr:rowOff>0</xdr:rowOff>
    </xdr:from>
    <xdr:to>
      <xdr:col>18</xdr:col>
      <xdr:colOff>425450</xdr:colOff>
      <xdr:row>64</xdr:row>
      <xdr:rowOff>152400</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254365" y="7200900"/>
          <a:ext cx="5514975" cy="392430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525780</xdr:colOff>
      <xdr:row>0</xdr:row>
      <xdr:rowOff>99060</xdr:rowOff>
    </xdr:from>
    <xdr:to>
      <xdr:col>7</xdr:col>
      <xdr:colOff>45720</xdr:colOff>
      <xdr:row>14</xdr:row>
      <xdr:rowOff>5715</xdr:rowOff>
    </xdr:to>
    <mc:AlternateContent xmlns:mc="http://schemas.openxmlformats.org/markup-compatibility/2006">
      <mc:Choice xmlns:a14="http://schemas.microsoft.com/office/drawing/2010/main" Requires="a14">
        <xdr:graphicFrame macro="">
          <xdr:nvGraphicFramePr>
            <xdr:cNvPr id="2" name="城市">
              <a:extLst>
                <a:ext uri="{FF2B5EF4-FFF2-40B4-BE49-F238E27FC236}">
                  <a16:creationId xmlns:a16="http://schemas.microsoft.com/office/drawing/2014/main" id="{51497A3D-0001-9F27-73C2-24A5CC8988E7}"/>
                </a:ext>
              </a:extLst>
            </xdr:cNvPr>
            <xdr:cNvGraphicFramePr/>
          </xdr:nvGraphicFramePr>
          <xdr:xfrm>
            <a:off x="0" y="0"/>
            <a:ext cx="0" cy="0"/>
          </xdr:xfrm>
          <a:graphic>
            <a:graphicData uri="http://schemas.microsoft.com/office/drawing/2010/slicer">
              <sle:slicer xmlns:sle="http://schemas.microsoft.com/office/drawing/2010/slicer" name="城市"/>
            </a:graphicData>
          </a:graphic>
        </xdr:graphicFrame>
      </mc:Choice>
      <mc:Fallback>
        <xdr:sp macro="" textlink="">
          <xdr:nvSpPr>
            <xdr:cNvPr id="0" name=""/>
            <xdr:cNvSpPr>
              <a:spLocks noTextEdit="1"/>
            </xdr:cNvSpPr>
          </xdr:nvSpPr>
          <xdr:spPr>
            <a:xfrm>
              <a:off x="2583180" y="99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xdr:colOff>
      <xdr:row>18</xdr:row>
      <xdr:rowOff>45720</xdr:rowOff>
    </xdr:from>
    <xdr:to>
      <xdr:col>9</xdr:col>
      <xdr:colOff>251460</xdr:colOff>
      <xdr:row>31</xdr:row>
      <xdr:rowOff>135255</xdr:rowOff>
    </xdr:to>
    <mc:AlternateContent xmlns:mc="http://schemas.openxmlformats.org/markup-compatibility/2006">
      <mc:Choice xmlns:a14="http://schemas.microsoft.com/office/drawing/2010/main" Requires="a14">
        <xdr:graphicFrame macro="">
          <xdr:nvGraphicFramePr>
            <xdr:cNvPr id="3" name="城市 1">
              <a:extLst>
                <a:ext uri="{FF2B5EF4-FFF2-40B4-BE49-F238E27FC236}">
                  <a16:creationId xmlns:a16="http://schemas.microsoft.com/office/drawing/2014/main" id="{667DC2BF-B66D-237E-D000-EA65825DA208}"/>
                </a:ext>
              </a:extLst>
            </xdr:cNvPr>
            <xdr:cNvGraphicFramePr/>
          </xdr:nvGraphicFramePr>
          <xdr:xfrm>
            <a:off x="0" y="0"/>
            <a:ext cx="0" cy="0"/>
          </xdr:xfrm>
          <a:graphic>
            <a:graphicData uri="http://schemas.microsoft.com/office/drawing/2010/slicer">
              <sle:slicer xmlns:sle="http://schemas.microsoft.com/office/drawing/2010/slicer" name="城市 1"/>
            </a:graphicData>
          </a:graphic>
        </xdr:graphicFrame>
      </mc:Choice>
      <mc:Fallback>
        <xdr:sp macro="" textlink="">
          <xdr:nvSpPr>
            <xdr:cNvPr id="0" name=""/>
            <xdr:cNvSpPr>
              <a:spLocks noTextEdit="1"/>
            </xdr:cNvSpPr>
          </xdr:nvSpPr>
          <xdr:spPr>
            <a:xfrm>
              <a:off x="3931920" y="3337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26483</xdr:colOff>
      <xdr:row>5</xdr:row>
      <xdr:rowOff>25063</xdr:rowOff>
    </xdr:from>
    <xdr:to>
      <xdr:col>24</xdr:col>
      <xdr:colOff>464632</xdr:colOff>
      <xdr:row>23</xdr:row>
      <xdr:rowOff>66151</xdr:rowOff>
    </xdr:to>
    <xdr:pic>
      <xdr:nvPicPr>
        <xdr:cNvPr id="5" name="图片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9591824" y="1127722"/>
          <a:ext cx="5171514" cy="3268382"/>
        </a:xfrm>
        <a:prstGeom prst="rect">
          <a:avLst/>
        </a:prstGeom>
        <a:noFill/>
        <a:ln w="9525">
          <a:noFill/>
        </a:ln>
      </xdr:spPr>
    </xdr:pic>
    <xdr:clientData/>
  </xdr:twoCellAnchor>
  <xdr:twoCellAnchor>
    <xdr:from>
      <xdr:col>2</xdr:col>
      <xdr:colOff>354105</xdr:colOff>
      <xdr:row>5</xdr:row>
      <xdr:rowOff>44824</xdr:rowOff>
    </xdr:from>
    <xdr:to>
      <xdr:col>10</xdr:col>
      <xdr:colOff>192740</xdr:colOff>
      <xdr:row>20</xdr:row>
      <xdr:rowOff>98612</xdr:rowOff>
    </xdr:to>
    <xdr:graphicFrame macro="">
      <xdr:nvGraphicFramePr>
        <xdr:cNvPr id="2" name="Chart 1">
          <a:extLst>
            <a:ext uri="{FF2B5EF4-FFF2-40B4-BE49-F238E27FC236}">
              <a16:creationId xmlns:a16="http://schemas.microsoft.com/office/drawing/2014/main" id="{5637122E-DD61-0866-818D-78035AE2D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296884</xdr:colOff>
      <xdr:row>21</xdr:row>
      <xdr:rowOff>53439</xdr:rowOff>
    </xdr:from>
    <xdr:to>
      <xdr:col>10</xdr:col>
      <xdr:colOff>118754</xdr:colOff>
      <xdr:row>36</xdr:row>
      <xdr:rowOff>124690</xdr:rowOff>
    </xdr:to>
    <xdr:graphicFrame macro="">
      <xdr:nvGraphicFramePr>
        <xdr:cNvPr id="3" name="Chart 2">
          <a:extLst>
            <a:ext uri="{FF2B5EF4-FFF2-40B4-BE49-F238E27FC236}">
              <a16:creationId xmlns:a16="http://schemas.microsoft.com/office/drawing/2014/main" id="{C3869A57-8257-A022-E801-8E6B16D51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152400</xdr:colOff>
      <xdr:row>24</xdr:row>
      <xdr:rowOff>121920</xdr:rowOff>
    </xdr:from>
    <xdr:to>
      <xdr:col>18</xdr:col>
      <xdr:colOff>528320</xdr:colOff>
      <xdr:row>39</xdr:row>
      <xdr:rowOff>121920</xdr:rowOff>
    </xdr:to>
    <xdr:graphicFrame macro="">
      <xdr:nvGraphicFramePr>
        <xdr:cNvPr id="4" name="Chart 3">
          <a:extLst>
            <a:ext uri="{FF2B5EF4-FFF2-40B4-BE49-F238E27FC236}">
              <a16:creationId xmlns:a16="http://schemas.microsoft.com/office/drawing/2014/main" id="{DAFCB5C5-38F7-9C3C-DD5C-FACA06876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n Oby" refreshedDate="46042.15545810185" createdVersion="8" refreshedVersion="8" minRefreshableVersion="3" recordCount="998" xr:uid="{29D50FDD-819F-41DF-B832-9D13624F9673}">
  <cacheSource type="worksheet">
    <worksheetSource ref="A1:K999" sheet="4，统计"/>
  </cacheSource>
  <cacheFields count="14">
    <cacheField name="订单ID" numFmtId="0">
      <sharedItems/>
    </cacheField>
    <cacheField name="订单日期" numFmtId="165">
      <sharedItems containsSemiMixedTypes="0" containsNonDate="0" containsDate="1" containsString="0" minDate="2021-01-01T03:33:53" maxDate="2023-12-30T23:24:04" count="998">
        <d v="2021-08-30T00:43:07"/>
        <d v="2021-10-18T16:11:25"/>
        <d v="2021-10-18T10:18:48"/>
        <d v="2022-04-13T13:03:55"/>
        <d v="2023-10-02T05:44:26"/>
        <d v="2023-02-28T03:08:57"/>
        <d v="2023-02-28T12:54:47"/>
        <d v="2023-02-28T21:30:03"/>
        <d v="2023-02-28T00:22:49"/>
        <d v="2023-02-28T13:46:12"/>
        <d v="2022-04-24T13:33:15"/>
        <d v="2021-10-04T13:37:48"/>
        <d v="2022-10-07T15:24:32"/>
        <d v="2022-10-07T05:10:53"/>
        <d v="2022-10-07T05:53:00"/>
        <d v="2021-03-26T22:18:48"/>
        <d v="2021-03-26T15:55:42"/>
        <d v="2022-02-04T21:12:01"/>
        <d v="2022-02-04T00:43:49"/>
        <d v="2022-02-04T23:59:32"/>
        <d v="2022-02-04T00:36:16"/>
        <d v="2022-02-04T05:12:35"/>
        <d v="2022-02-04T12:07:44"/>
        <d v="2022-02-04T12:58:32"/>
        <d v="2023-10-09T10:45:08"/>
        <d v="2023-10-09T04:33:25"/>
        <d v="2023-10-09T21:26:46"/>
        <d v="2023-10-09T13:05:44"/>
        <d v="2023-10-09T21:24:51"/>
        <d v="2023-10-09T15:37:05"/>
        <d v="2023-10-09T12:30:13"/>
        <d v="2022-04-16T11:54:58"/>
        <d v="2022-01-31T15:21:04"/>
        <d v="2022-01-31T05:25:38"/>
        <d v="2021-03-23T12:49:46"/>
        <d v="2023-07-02T14:33:50"/>
        <d v="2021-01-05T13:14:35"/>
        <d v="2021-01-19T09:19:30"/>
        <d v="2021-01-19T03:37:14"/>
        <d v="2021-01-19T08:02:48"/>
        <d v="2023-11-03T18:58:11"/>
        <d v="2023-11-27T02:10:09"/>
        <d v="2021-04-27T23:58:35"/>
        <d v="2023-09-18T01:03:02"/>
        <d v="2023-09-18T23:27:52"/>
        <d v="2023-11-17T11:50:16"/>
        <d v="2023-10-18T22:53:01"/>
        <d v="2023-10-18T16:44:48"/>
        <d v="2023-10-18T18:58:21"/>
        <d v="2021-10-22T00:34:40"/>
        <d v="2021-10-22T02:21:31"/>
        <d v="2021-10-22T15:17:22"/>
        <d v="2023-09-23T01:41:49"/>
        <d v="2023-09-23T13:02:04"/>
        <d v="2023-09-23T22:40:24"/>
        <d v="2021-05-04T03:21:51"/>
        <d v="2021-05-04T11:15:54"/>
        <d v="2021-05-04T19:07:36"/>
        <d v="2021-02-02T03:20:45"/>
        <d v="2022-03-21T16:27:44"/>
        <d v="2023-12-26T22:04:39"/>
        <d v="2023-10-09T07:59:49"/>
        <d v="2023-05-26T19:24:41"/>
        <d v="2023-05-26T04:41:16"/>
        <d v="2022-01-18T05:05:48"/>
        <d v="2022-04-21T15:20:32"/>
        <d v="2022-03-03T15:38:58"/>
        <d v="2022-03-03T08:21:44"/>
        <d v="2023-07-13T07:15:57"/>
        <d v="2023-01-29T17:56:53"/>
        <d v="2023-01-17T15:46:54"/>
        <d v="2023-01-17T18:10:08"/>
        <d v="2022-02-28T22:57:08"/>
        <d v="2022-02-28T07:26:19"/>
        <d v="2022-02-28T13:10:08"/>
        <d v="2023-06-07T21:30:49"/>
        <d v="2022-04-25T02:49:02"/>
        <d v="2022-04-25T13:44:49"/>
        <d v="2022-04-25T06:48:35"/>
        <d v="2023-07-13T18:56:05"/>
        <d v="2023-07-13T22:51:43"/>
        <d v="2023-12-10T14:59:05"/>
        <d v="2022-12-24T10:55:22"/>
        <d v="2022-12-24T15:35:02"/>
        <d v="2023-10-03T22:50:18"/>
        <d v="2023-10-03T10:59:59"/>
        <d v="2021-09-30T16:02:19"/>
        <d v="2023-11-27T10:12:56"/>
        <d v="2022-04-16T18:57:35"/>
        <d v="2022-03-20T03:43:39"/>
        <d v="2022-03-20T12:02:32"/>
        <d v="2022-03-20T23:51:35"/>
        <d v="2022-03-20T09:12:44"/>
        <d v="2021-09-23T11:06:35"/>
        <d v="2021-09-23T11:43:02"/>
        <d v="2021-09-23T17:50:41"/>
        <d v="2021-09-23T03:19:22"/>
        <d v="2021-09-23T04:56:34"/>
        <d v="2022-03-15T13:11:16"/>
        <d v="2022-05-28T05:21:57"/>
        <d v="2022-05-28T13:45:35"/>
        <d v="2022-03-19T07:57:32"/>
        <d v="2022-02-25T02:17:02"/>
        <d v="2022-02-25T08:14:45"/>
        <d v="2022-02-25T09:42:44"/>
        <d v="2023-02-11T13:32:17"/>
        <d v="2023-02-11T15:45:08"/>
        <d v="2021-02-18T23:15:29"/>
        <d v="2021-02-18T21:32:11"/>
        <d v="2022-01-15T09:04:30"/>
        <d v="2023-12-07T10:04:29"/>
        <d v="2021-06-01T06:00:07"/>
        <d v="2021-09-22T11:56:03"/>
        <d v="2023-10-24T08:07:51"/>
        <d v="2023-10-24T10:37:31"/>
        <d v="2021-06-25T03:52:43"/>
        <d v="2021-06-25T20:01:10"/>
        <d v="2023-02-09T13:36:21"/>
        <d v="2023-02-09T00:15:40"/>
        <d v="2023-02-09T06:30:10"/>
        <d v="2023-02-09T12:46:07"/>
        <d v="2023-02-09T10:04:17"/>
        <d v="2023-02-09T19:25:19"/>
        <d v="2023-02-09T17:13:10"/>
        <d v="2023-02-09T23:52:03"/>
        <d v="2022-06-18T12:53:49"/>
        <d v="2022-04-26T07:32:12"/>
        <d v="2023-07-01T06:58:33"/>
        <d v="2022-01-14T12:10:01"/>
        <d v="2022-01-14T18:12:35"/>
        <d v="2022-11-18T11:21:21"/>
        <d v="2021-03-16T11:13:48"/>
        <d v="2021-03-16T05:31:14"/>
        <d v="2021-05-21T19:51:42"/>
        <d v="2023-02-06T21:46:51"/>
        <d v="2023-02-06T02:59:09"/>
        <d v="2023-02-06T02:41:37"/>
        <d v="2022-06-19T06:08:15"/>
        <d v="2021-08-12T18:48:47"/>
        <d v="2021-08-12T18:22:47"/>
        <d v="2023-08-18T15:59:30"/>
        <d v="2022-04-08T18:44:28"/>
        <d v="2022-04-08T22:20:34"/>
        <d v="2022-04-08T07:03:19"/>
        <d v="2021-11-26T02:52:45"/>
        <d v="2021-03-08T14:23:51"/>
        <d v="2021-02-23T23:24:32"/>
        <d v="2021-02-23T06:29:03"/>
        <d v="2021-02-23T04:55:16"/>
        <d v="2023-02-16T07:03:38"/>
        <d v="2021-01-20T14:20:00"/>
        <d v="2021-01-20T02:00:45"/>
        <d v="2023-04-08T21:32:47"/>
        <d v="2021-09-08T03:30:32"/>
        <d v="2023-09-03T05:27:55"/>
        <d v="2022-03-03T05:55:23"/>
        <d v="2022-03-03T11:36:17"/>
        <d v="2021-09-16T20:20:14"/>
        <d v="2021-09-16T03:06:03"/>
        <d v="2021-09-16T11:56:21"/>
        <d v="2022-09-21T06:26:40"/>
        <d v="2021-09-13T18:55:28"/>
        <d v="2021-09-13T19:23:03"/>
        <d v="2021-09-13T10:42:14"/>
        <d v="2021-09-13T03:21:25"/>
        <d v="2021-09-13T16:01:24"/>
        <d v="2021-09-13T04:46:08"/>
        <d v="2021-09-13T12:57:52"/>
        <d v="2021-09-13T19:28:11"/>
        <d v="2021-09-13T17:44:17"/>
        <d v="2021-09-13T04:05:35"/>
        <d v="2021-03-03T04:58:51"/>
        <d v="2022-07-24T18:04:55"/>
        <d v="2021-06-15T13:19:42"/>
        <d v="2021-06-15T16:29:29"/>
        <d v="2021-06-15T19:46:08"/>
        <d v="2023-07-01T07:10:07"/>
        <d v="2021-09-10T02:34:06"/>
        <d v="2021-09-10T09:40:13"/>
        <d v="2023-12-20T15:05:30"/>
        <d v="2023-09-23T20:44:19"/>
        <d v="2022-01-14T02:18:45"/>
        <d v="2022-01-14T19:36:43"/>
        <d v="2021-10-22T00:49:36"/>
        <d v="2022-01-15T20:50:49"/>
        <d v="2022-01-15T15:08:48"/>
        <d v="2022-01-15T01:57:56"/>
        <d v="2022-03-10T09:02:32"/>
        <d v="2022-03-10T21:18:26"/>
        <d v="2022-09-13T00:47:14"/>
        <d v="2022-04-28T16:43:22"/>
        <d v="2022-04-28T01:15:57"/>
        <d v="2022-04-28T23:37:33"/>
        <d v="2022-04-28T08:15:06"/>
        <d v="2022-04-28T01:17:57"/>
        <d v="2022-04-28T22:51:43"/>
        <d v="2022-07-09T05:55:00"/>
        <d v="2022-07-09T04:20:50"/>
        <d v="2021-09-15T08:44:46"/>
        <d v="2023-10-21T08:54:36"/>
        <d v="2023-06-06T12:49:11"/>
        <d v="2023-06-06T07:23:49"/>
        <d v="2022-05-06T19:01:13"/>
        <d v="2021-09-01T15:42:34"/>
        <d v="2021-09-24T06:19:07"/>
        <d v="2021-09-24T10:40:56"/>
        <d v="2021-04-02T22:53:18"/>
        <d v="2021-04-02T22:57:10"/>
        <d v="2022-07-28T02:05:27"/>
        <d v="2022-07-28T08:48:55"/>
        <d v="2023-08-12T23:29:08"/>
        <d v="2023-08-12T05:31:41"/>
        <d v="2023-12-07T01:33:16"/>
        <d v="2023-12-07T11:04:16"/>
        <d v="2023-12-07T02:27:49"/>
        <d v="2021-02-27T14:13:45"/>
        <d v="2021-02-27T04:35:48"/>
        <d v="2021-02-27T18:57:55"/>
        <d v="2021-02-27T20:24:57"/>
        <d v="2023-06-04T07:46:51"/>
        <d v="2023-06-04T04:15:06"/>
        <d v="2023-06-04T05:09:18"/>
        <d v="2023-06-04T14:21:19"/>
        <d v="2023-06-04T08:36:52"/>
        <d v="2023-06-04T21:03:34"/>
        <d v="2023-06-04T19:28:03"/>
        <d v="2023-06-04T03:27:52"/>
        <d v="2021-03-13T06:31:59"/>
        <d v="2021-03-13T11:45:45"/>
        <d v="2022-01-21T06:37:41"/>
        <d v="2022-01-21T10:01:34"/>
        <d v="2021-11-23T13:44:50"/>
        <d v="2021-11-23T12:01:40"/>
        <d v="2021-11-23T20:34:35"/>
        <d v="2023-07-24T00:31:09"/>
        <d v="2022-04-19T14:18:44"/>
        <d v="2021-03-19T02:39:35"/>
        <d v="2023-06-05T21:56:41"/>
        <d v="2021-03-15T23:32:03"/>
        <d v="2021-12-08T15:29:01"/>
        <d v="2023-11-04T00:16:58"/>
        <d v="2023-11-04T03:57:47"/>
        <d v="2021-04-12T04:32:03"/>
        <d v="2022-11-20T07:23:09"/>
        <d v="2022-11-20T17:50:32"/>
        <d v="2022-02-04T19:18:07"/>
        <d v="2022-02-04T06:24:51"/>
        <d v="2021-02-05T02:51:36"/>
        <d v="2021-02-05T00:20:47"/>
        <d v="2021-02-05T16:37:15"/>
        <d v="2022-05-19T00:28:48"/>
        <d v="2022-02-07T01:39:35"/>
        <d v="2022-02-07T14:42:51"/>
        <d v="2023-07-06T04:01:44"/>
        <d v="2023-07-06T19:34:30"/>
        <d v="2022-09-11T02:30:35"/>
        <d v="2021-08-23T23:36:03"/>
        <d v="2021-08-23T08:00:49"/>
        <d v="2022-07-30T01:33:23"/>
        <d v="2022-07-30T04:42:56"/>
        <d v="2021-05-03T09:59:58"/>
        <d v="2021-05-03T08:28:21"/>
        <d v="2021-05-03T10:28:28"/>
        <d v="2021-05-03T20:19:21"/>
        <d v="2021-01-15T13:19:09"/>
        <d v="2021-01-15T19:26:10"/>
        <d v="2023-12-12T19:33:35"/>
        <d v="2021-07-28T22:30:42"/>
        <d v="2022-09-29T17:15:22"/>
        <d v="2023-11-23T08:22:14"/>
        <d v="2022-02-16T01:06:17"/>
        <d v="2022-02-16T01:22:05"/>
        <d v="2022-04-05T13:06:36"/>
        <d v="2022-04-05T17:39:05"/>
        <d v="2021-02-19T06:13:51"/>
        <d v="2021-02-19T17:34:42"/>
        <d v="2022-03-28T22:03:50"/>
        <d v="2022-03-28T08:13:32"/>
        <d v="2023-09-02T18:06:27"/>
        <d v="2023-09-02T08:18:47"/>
        <d v="2022-01-20T01:07:55"/>
        <d v="2022-01-20T23:46:12"/>
        <d v="2022-01-20T02:54:26"/>
        <d v="2022-01-20T23:19:06"/>
        <d v="2022-01-20T02:12:59"/>
        <d v="2022-01-27T19:52:30"/>
        <d v="2022-01-27T10:26:54"/>
        <d v="2022-01-27T16:49:28"/>
        <d v="2022-01-27T23:29:53"/>
        <d v="2022-01-27T12:05:46"/>
        <d v="2022-01-27T22:43:23"/>
        <d v="2022-01-27T09:10:19"/>
        <d v="2022-01-27T20:08:49"/>
        <d v="2023-05-26T01:30:18"/>
        <d v="2022-12-12T11:13:27"/>
        <d v="2022-12-12T03:30:58"/>
        <d v="2022-01-18T21:14:33"/>
        <d v="2022-01-11T00:05:26"/>
        <d v="2023-09-01T11:40:14"/>
        <d v="2023-09-01T16:09:26"/>
        <d v="2021-04-02T02:13:35"/>
        <d v="2021-04-02T03:50:06"/>
        <d v="2021-04-02T14:27:18"/>
        <d v="2021-04-02T03:33:30"/>
        <d v="2021-04-02T13:14:03"/>
        <d v="2021-04-02T06:54:47"/>
        <d v="2023-07-29T10:50:52"/>
        <d v="2023-07-29T14:20:34"/>
        <d v="2022-03-09T07:54:22"/>
        <d v="2021-07-30T21:16:48"/>
        <d v="2021-07-30T22:57:14"/>
        <d v="2021-08-18T03:17:47"/>
        <d v="2022-04-05T05:52:23"/>
        <d v="2022-04-05T22:47:20"/>
        <d v="2022-04-05T17:01:02"/>
        <d v="2021-03-04T14:38:54"/>
        <d v="2021-03-04T18:36:36"/>
        <d v="2021-03-04T13:08:34"/>
        <d v="2021-12-03T13:32:27"/>
        <d v="2021-12-03T20:18:15"/>
        <d v="2021-12-03T14:16:58"/>
        <d v="2021-12-03T20:17:00"/>
        <d v="2021-12-03T21:21:30"/>
        <d v="2023-07-21T03:36:27"/>
        <d v="2023-06-16T18:03:44"/>
        <d v="2021-09-27T00:23:27"/>
        <d v="2021-05-24T19:12:02"/>
        <d v="2021-08-05T11:36:30"/>
        <d v="2023-01-20T03:34:00"/>
        <d v="2023-09-14T00:22:25"/>
        <d v="2023-09-14T03:25:21"/>
        <d v="2023-09-14T12:19:18"/>
        <d v="2023-01-21T02:28:42"/>
        <d v="2021-02-05T23:25:49"/>
        <d v="2021-02-05T08:12:03"/>
        <d v="2023-12-15T11:19:28"/>
        <d v="2023-12-15T13:17:31"/>
        <d v="2021-05-04T21:14:52"/>
        <d v="2021-05-04T07:44:01"/>
        <d v="2021-05-04T16:58:50"/>
        <d v="2021-05-04T19:57:33"/>
        <d v="2021-05-04T03:04:31"/>
        <d v="2023-07-29T20:11:15"/>
        <d v="2023-11-13T14:47:53"/>
        <d v="2023-11-13T19:43:06"/>
        <d v="2023-11-13T11:52:38"/>
        <d v="2022-03-24T16:53:08"/>
        <d v="2022-03-24T05:06:57"/>
        <d v="2023-05-19T22:24:02"/>
        <d v="2023-05-19T10:54:00"/>
        <d v="2021-01-01T03:33:53"/>
        <d v="2021-01-01T23:57:46"/>
        <d v="2021-01-01T21:57:39"/>
        <d v="2023-08-13T05:34:50"/>
        <d v="2022-03-10T04:24:52"/>
        <d v="2022-03-10T02:50:32"/>
        <d v="2022-03-10T20:16:03"/>
        <d v="2022-03-10T02:41:13"/>
        <d v="2022-03-10T01:57:00"/>
        <d v="2022-03-10T10:56:57"/>
        <d v="2022-02-16T10:21:49"/>
        <d v="2023-01-24T13:08:12"/>
        <d v="2023-01-24T00:44:56"/>
        <d v="2023-01-09T10:22:35"/>
        <d v="2023-01-09T22:05:12"/>
        <d v="2021-09-15T13:48:15"/>
        <d v="2022-02-10T05:46:43"/>
        <d v="2022-02-10T09:24:47"/>
        <d v="2022-02-10T14:17:05"/>
        <d v="2022-02-10T18:55:09"/>
        <d v="2023-06-17T23:30:36"/>
        <d v="2023-06-17T16:46:44"/>
        <d v="2021-04-12T15:10:04"/>
        <d v="2021-04-12T12:05:54"/>
        <d v="2021-04-12T18:01:10"/>
        <d v="2023-12-04T13:00:35"/>
        <d v="2023-12-24T15:55:38"/>
        <d v="2023-12-24T09:48:11"/>
        <d v="2021-11-24T21:42:45"/>
        <d v="2021-01-04T07:06:14"/>
        <d v="2021-01-04T07:33:01"/>
        <d v="2021-01-04T03:59:24"/>
        <d v="2021-01-04T21:11:36"/>
        <d v="2021-01-04T11:43:18"/>
        <d v="2021-01-04T15:47:30"/>
        <d v="2021-01-04T06:15:15"/>
        <d v="2022-01-14T06:58:10"/>
        <d v="2022-01-14T08:00:15"/>
        <d v="2022-01-14T06:16:05"/>
        <d v="2022-04-25T12:26:03"/>
        <d v="2022-04-25T08:10:16"/>
        <d v="2023-10-02T23:50:53"/>
        <d v="2023-01-30T01:22:12"/>
        <d v="2023-01-30T22:04:23"/>
        <d v="2021-03-17T09:12:56"/>
        <d v="2021-03-17T11:54:03"/>
        <d v="2022-03-27T12:59:26"/>
        <d v="2021-04-16T16:17:19"/>
        <d v="2021-12-09T02:24:44"/>
        <d v="2021-12-09T10:58:18"/>
        <d v="2021-12-09T08:13:35"/>
        <d v="2023-03-30T00:36:15"/>
        <d v="2023-03-30T15:00:18"/>
        <d v="2023-03-30T17:19:40"/>
        <d v="2023-03-30T15:54:50"/>
        <d v="2023-03-30T16:38:42"/>
        <d v="2023-03-30T01:52:21"/>
        <d v="2023-03-30T15:19:21"/>
        <d v="2021-02-18T16:28:43"/>
        <d v="2021-02-18T06:11:21"/>
        <d v="2021-02-18T13:27:25"/>
        <d v="2021-02-18T00:14:29"/>
        <d v="2021-02-18T03:28:56"/>
        <d v="2021-02-18T09:08:20"/>
        <d v="2021-05-26T13:18:04"/>
        <d v="2021-02-05T04:50:09"/>
        <d v="2022-01-02T09:15:02"/>
        <d v="2022-01-02T14:42:03"/>
        <d v="2022-01-02T14:11:42"/>
        <d v="2022-01-02T15:30:49"/>
        <d v="2022-01-02T14:00:54"/>
        <d v="2022-03-14T01:02:01"/>
        <d v="2022-03-16T01:55:31"/>
        <d v="2022-02-15T13:05:34"/>
        <d v="2022-02-15T14:21:39"/>
        <d v="2022-02-15T12:54:45"/>
        <d v="2023-03-10T16:15:17"/>
        <d v="2023-03-10T11:19:14"/>
        <d v="2023-10-05T04:43:44"/>
        <d v="2021-10-16T01:46:22"/>
        <d v="2022-02-20T18:07:33"/>
        <d v="2022-02-20T19:35:47"/>
        <d v="2022-02-20T16:57:42"/>
        <d v="2023-09-26T00:06:18"/>
        <d v="2023-09-26T01:03:15"/>
        <d v="2022-06-27T14:22:20"/>
        <d v="2022-06-27T20:41:26"/>
        <d v="2022-06-27T09:53:51"/>
        <d v="2022-06-27T00:04:28"/>
        <d v="2022-06-27T11:58:09"/>
        <d v="2022-06-27T07:57:58"/>
        <d v="2021-03-30T02:47:43"/>
        <d v="2021-03-30T18:04:36"/>
        <d v="2021-03-30T16:58:59"/>
        <d v="2021-03-30T06:24:12"/>
        <d v="2021-03-30T06:41:21"/>
        <d v="2021-03-30T12:23:31"/>
        <d v="2021-03-30T03:34:57"/>
        <d v="2022-02-09T18:35:53"/>
        <d v="2023-06-12T09:51:36"/>
        <d v="2021-01-06T02:32:52"/>
        <d v="2022-05-29T08:28:41"/>
        <d v="2022-05-29T13:09:29"/>
        <d v="2022-05-29T00:32:27"/>
        <d v="2022-05-29T19:00:05"/>
        <d v="2022-03-28T14:10:30"/>
        <d v="2022-03-28T10:55:38"/>
        <d v="2023-04-06T23:27:22"/>
        <d v="2021-06-21T08:10:42"/>
        <d v="2021-06-21T21:45:10"/>
        <d v="2022-01-23T12:44:36"/>
        <d v="2022-01-23T16:11:19"/>
        <d v="2022-03-22T12:31:50"/>
        <d v="2022-02-19T12:09:03"/>
        <d v="2022-02-19T19:03:22"/>
        <d v="2022-03-15T09:44:16"/>
        <d v="2022-03-15T05:17:14"/>
        <d v="2022-03-15T01:46:52"/>
        <d v="2022-03-15T01:42:24"/>
        <d v="2021-09-06T14:26:09"/>
        <d v="2021-09-06T06:17:42"/>
        <d v="2022-03-06T12:50:41"/>
        <d v="2022-03-06T06:06:08"/>
        <d v="2021-04-09T01:15:22"/>
        <d v="2022-01-12T21:05:22"/>
        <d v="2022-01-12T05:31:16"/>
        <d v="2022-01-12T08:18:53"/>
        <d v="2022-01-12T01:22:12"/>
        <d v="2023-06-10T01:00:23"/>
        <d v="2021-02-24T19:46:39"/>
        <d v="2023-01-18T19:45:42"/>
        <d v="2022-02-19T21:49:05"/>
        <d v="2022-05-03T00:14:20"/>
        <d v="2022-05-03T03:34:45"/>
        <d v="2021-11-05T01:10:43"/>
        <d v="2021-11-05T17:08:25"/>
        <d v="2023-11-14T13:56:55"/>
        <d v="2023-11-14T11:20:26"/>
        <d v="2023-11-14T02:45:36"/>
        <d v="2023-11-14T08:49:31"/>
        <d v="2023-11-14T00:17:02"/>
        <d v="2023-12-11T18:57:49"/>
        <d v="2023-12-11T19:02:37"/>
        <d v="2023-12-11T09:50:23"/>
        <d v="2023-12-11T18:03:04"/>
        <d v="2021-04-21T08:20:53"/>
        <d v="2021-04-21T12:53:05"/>
        <d v="2021-04-21T15:17:32"/>
        <d v="2021-04-21T17:46:38"/>
        <d v="2021-04-21T18:12:59"/>
        <d v="2021-04-21T23:53:14"/>
        <d v="2021-04-21T18:03:03"/>
        <d v="2022-03-23T15:21:33"/>
        <d v="2022-03-23T17:07:47"/>
        <d v="2023-09-04T05:12:50"/>
        <d v="2021-09-22T21:57:51"/>
        <d v="2023-10-20T13:45:00"/>
        <d v="2021-02-18T14:23:04"/>
        <d v="2022-01-25T10:33:01"/>
        <d v="2023-07-18T00:47:48"/>
        <d v="2023-07-18T01:10:59"/>
        <d v="2023-08-14T03:31:09"/>
        <d v="2023-09-08T21:49:26"/>
        <d v="2023-09-08T14:30:22"/>
        <d v="2023-09-08T23:29:20"/>
        <d v="2023-09-08T16:06:46"/>
        <d v="2023-02-16T00:46:11"/>
        <d v="2023-02-16T06:24:39"/>
        <d v="2022-05-24T21:58:51"/>
        <d v="2021-12-31T11:53:09"/>
        <d v="2023-03-09T13:40:49"/>
        <d v="2023-10-23T19:04:17"/>
        <d v="2021-10-28T14:44:12"/>
        <d v="2023-06-19T05:22:56"/>
        <d v="2022-03-18T03:36:38"/>
        <d v="2022-02-15T20:35:37"/>
        <d v="2022-02-15T17:43:16"/>
        <d v="2022-02-15T16:55:06"/>
        <d v="2021-05-03T21:42:31"/>
        <d v="2021-09-10T01:53:52"/>
        <d v="2021-09-10T06:35:50"/>
        <d v="2021-08-18T16:40:52"/>
        <d v="2021-08-18T17:51:23"/>
        <d v="2022-12-29T05:02:19"/>
        <d v="2022-12-29T23:55:55"/>
        <d v="2022-12-29T01:05:55"/>
        <d v="2023-11-13T18:41:21"/>
        <d v="2023-11-13T06:37:30"/>
        <d v="2023-11-13T20:36:10"/>
        <d v="2023-11-13T03:18:28"/>
        <d v="2023-11-13T02:40:26"/>
        <d v="2023-12-14T03:12:39"/>
        <d v="2023-12-14T19:58:04"/>
        <d v="2023-05-25T18:53:05"/>
        <d v="2023-05-25T14:50:34"/>
        <d v="2023-05-25T21:50:53"/>
        <d v="2022-01-19T03:50:05"/>
        <d v="2022-01-19T02:30:55"/>
        <d v="2023-04-15T22:54:21"/>
        <d v="2023-04-15T19:50:21"/>
        <d v="2023-04-15T14:56:11"/>
        <d v="2021-10-29T12:23:30"/>
        <d v="2023-04-25T08:10:07"/>
        <d v="2023-06-20T15:27:26"/>
        <d v="2023-06-20T19:17:44"/>
        <d v="2023-06-20T21:37:21"/>
        <d v="2022-03-25T11:31:53"/>
        <d v="2022-04-09T15:01:36"/>
        <d v="2022-10-17T16:31:54"/>
        <d v="2022-10-17T21:27:30"/>
        <d v="2022-08-05T13:29:48"/>
        <d v="2023-12-15T17:20:02"/>
        <d v="2023-12-30T23:24:04"/>
        <d v="2023-12-30T16:29:07"/>
        <d v="2021-12-28T11:24:31"/>
        <d v="2021-12-28T12:30:23"/>
        <d v="2021-12-28T09:41:10"/>
        <d v="2021-12-28T21:59:51"/>
        <d v="2021-06-08T06:40:31"/>
        <d v="2021-06-08T19:07:30"/>
        <d v="2021-06-08T15:38:05"/>
        <d v="2022-03-25T06:02:36"/>
        <d v="2022-03-11T09:06:38"/>
        <d v="2022-03-11T13:57:32"/>
        <d v="2022-03-11T21:36:41"/>
        <d v="2022-03-11T19:42:22"/>
        <d v="2022-03-16T13:27:13"/>
        <d v="2022-10-28T22:35:06"/>
        <d v="2022-10-28T21:49:14"/>
        <d v="2022-10-28T12:21:45"/>
        <d v="2022-10-28T23:34:25"/>
        <d v="2022-10-28T04:03:55"/>
        <d v="2022-10-28T07:22:48"/>
        <d v="2022-10-28T17:14:21"/>
        <d v="2021-02-25T03:06:57"/>
        <d v="2021-02-25T13:13:50"/>
        <d v="2021-01-07T22:23:05"/>
        <d v="2021-08-14T05:33:31"/>
        <d v="2021-01-23T05:02:25"/>
        <d v="2021-01-23T17:25:59"/>
        <d v="2021-01-23T04:00:08"/>
        <d v="2021-01-23T04:29:58"/>
        <d v="2021-01-23T03:06:30"/>
        <d v="2021-01-23T02:52:34"/>
        <d v="2021-10-24T09:06:11"/>
        <d v="2021-10-24T02:39:59"/>
        <d v="2021-10-24T07:29:54"/>
        <d v="2021-10-24T04:15:24"/>
        <d v="2022-04-02T14:35:24"/>
        <d v="2022-04-02T01:06:58"/>
        <d v="2021-10-28T12:27:56"/>
        <d v="2021-10-28T05:13:44"/>
        <d v="2023-05-21T06:11:32"/>
        <d v="2023-05-21T04:38:40"/>
        <d v="2021-09-30T05:31:04"/>
        <d v="2021-09-30T08:11:46"/>
        <d v="2021-10-26T20:29:42"/>
        <d v="2021-10-26T18:23:54"/>
        <d v="2021-10-26T13:29:16"/>
        <d v="2021-10-26T02:35:33"/>
        <d v="2022-01-10T19:51:07"/>
        <d v="2022-01-10T19:03:42"/>
        <d v="2022-01-10T03:51:15"/>
        <d v="2022-01-10T03:39:31"/>
        <d v="2023-10-26T15:22:46"/>
        <d v="2023-03-19T07:48:46"/>
        <d v="2022-01-26T02:33:29"/>
        <d v="2022-01-26T04:12:20"/>
        <d v="2022-01-26T00:39:29"/>
        <d v="2022-01-26T14:58:33"/>
        <d v="2023-12-05T06:52:03"/>
        <d v="2023-12-05T01:29:26"/>
        <d v="2023-12-05T13:47:27"/>
        <d v="2021-01-14T03:42:19"/>
        <d v="2021-01-14T14:50:33"/>
        <d v="2021-01-14T09:12:13"/>
        <d v="2021-01-14T02:21:20"/>
        <d v="2021-01-14T11:08:35"/>
        <d v="2022-07-25T09:55:48"/>
        <d v="2022-07-25T09:23:44"/>
        <d v="2022-07-25T16:08:22"/>
        <d v="2022-06-11T13:06:42"/>
        <d v="2022-02-08T01:24:04"/>
        <d v="2021-01-27T00:31:05"/>
        <d v="2021-01-27T19:29:48"/>
        <d v="2023-10-17T04:34:52"/>
        <d v="2021-03-19T02:37:48"/>
        <d v="2023-01-22T00:34:51"/>
        <d v="2023-01-22T17:52:02"/>
        <d v="2023-01-22T17:56:24"/>
        <d v="2021-10-16T09:18:33"/>
        <d v="2021-10-16T10:25:28"/>
        <d v="2023-04-06T18:53:35"/>
        <d v="2023-04-06T09:34:14"/>
        <d v="2021-07-29T01:08:14"/>
        <d v="2021-07-29T07:50:38"/>
        <d v="2021-07-29T15:43:18"/>
        <d v="2022-02-15T07:21:14"/>
        <d v="2022-02-15T22:48:57"/>
        <d v="2023-10-01T22:11:44"/>
        <d v="2023-10-01T07:11:08"/>
        <d v="2023-10-01T10:52:13"/>
        <d v="2023-10-01T18:32:38"/>
        <d v="2023-10-05T23:10:16"/>
        <d v="2023-12-25T18:47:13"/>
        <d v="2023-12-25T18:11:30"/>
        <d v="2023-03-30T11:11:20"/>
        <d v="2023-03-30T02:39:45"/>
        <d v="2023-03-30T23:51:26"/>
        <d v="2023-03-30T04:56:09"/>
        <d v="2023-03-30T13:25:30"/>
        <d v="2023-03-30T07:24:32"/>
        <d v="2023-03-30T09:34:08"/>
        <d v="2023-03-30T04:15:00"/>
        <d v="2023-03-30T12:54:03"/>
        <d v="2021-10-23T07:20:01"/>
        <d v="2021-10-23T12:32:35"/>
        <d v="2023-03-04T17:59:11"/>
        <d v="2022-01-21T23:28:03"/>
        <d v="2022-01-21T02:47:40"/>
        <d v="2023-11-09T06:56:46"/>
        <d v="2023-11-09T02:29:32"/>
        <d v="2022-03-10T16:23:25"/>
        <d v="2022-03-10T12:01:21"/>
        <d v="2023-07-30T12:06:04"/>
        <d v="2021-02-03T10:45:42"/>
        <d v="2021-02-03T22:41:32"/>
        <d v="2021-02-03T15:57:12"/>
        <d v="2022-03-15T00:05:57"/>
        <d v="2022-03-15T11:16:18"/>
        <d v="2023-01-16T04:05:09"/>
        <d v="2023-01-16T19:23:36"/>
        <d v="2023-05-27T04:41:41"/>
        <d v="2023-05-27T02:59:18"/>
        <d v="2023-04-14T10:20:36"/>
        <d v="2022-04-28T00:34:32"/>
        <d v="2022-04-28T04:17:29"/>
        <d v="2023-11-03T11:07:41"/>
        <d v="2021-02-12T17:29:05"/>
        <d v="2021-02-12T14:25:25"/>
        <d v="2021-02-12T04:00:17"/>
        <d v="2021-03-31T23:39:29"/>
        <d v="2022-01-24T14:53:13"/>
        <d v="2022-01-24T20:11:28"/>
        <d v="2023-12-28T16:02:03"/>
        <d v="2022-10-25T00:14:37"/>
        <d v="2022-10-25T14:46:29"/>
        <d v="2022-10-25T21:33:02"/>
        <d v="2022-10-25T07:01:14"/>
        <d v="2022-10-25T15:34:08"/>
        <d v="2021-09-21T21:32:53"/>
        <d v="2023-01-14T05:23:41"/>
        <d v="2021-09-16T13:06:40"/>
        <d v="2021-11-03T22:17:39"/>
        <d v="2022-03-14T05:05:22"/>
        <d v="2023-06-05T12:20:27"/>
        <d v="2022-04-19T01:43:49"/>
        <d v="2021-10-13T11:58:43"/>
        <d v="2021-10-13T20:20:14"/>
        <d v="2021-10-13T16:32:40"/>
        <d v="2021-10-13T07:46:47"/>
        <d v="2021-10-13T19:12:21"/>
        <d v="2023-12-21T17:44:04"/>
        <d v="2022-07-07T12:22:54"/>
        <d v="2022-07-07T04:51:46"/>
        <d v="2022-07-07T19:17:37"/>
        <d v="2021-06-23T11:47:32"/>
        <d v="2021-06-23T09:32:58"/>
        <d v="2021-06-23T13:42:26"/>
        <d v="2023-12-25T12:06:32"/>
        <d v="2023-10-12T09:33:57"/>
        <d v="2023-10-16T21:33:13"/>
        <d v="2021-01-19T22:13:24"/>
        <d v="2021-01-19T16:16:39"/>
        <d v="2023-01-13T17:29:14"/>
        <d v="2023-11-07T13:02:55"/>
        <d v="2023-01-29T05:51:06"/>
        <d v="2022-03-28T14:29:09"/>
        <d v="2023-12-11T04:05:28"/>
        <d v="2021-05-25T11:52:06"/>
        <d v="2021-05-25T10:18:04"/>
        <d v="2021-05-25T07:05:19"/>
        <d v="2023-12-18T07:37:30"/>
        <d v="2022-08-06T11:26:11"/>
        <d v="2022-08-06T14:31:01"/>
        <d v="2021-03-24T19:07:12"/>
        <d v="2021-01-12T23:08:48"/>
        <d v="2022-06-01T08:06:04"/>
        <d v="2021-06-09T08:42:23"/>
        <d v="2021-10-18T02:15:46"/>
        <d v="2021-10-18T00:37:22"/>
        <d v="2021-10-18T18:10:02"/>
        <d v="2021-10-18T03:24:45"/>
        <d v="2021-10-18T00:28:12"/>
        <d v="2021-10-18T21:57:17"/>
        <d v="2021-10-18T09:30:26"/>
        <d v="2021-12-08T12:52:26"/>
        <d v="2021-10-21T03:39:38"/>
        <d v="2023-06-22T22:40:18"/>
        <d v="2023-06-22T05:51:36"/>
        <d v="2023-06-22T05:30:09"/>
        <d v="2023-06-22T20:18:21"/>
        <d v="2022-04-30T18:45:56"/>
        <d v="2022-04-30T07:35:29"/>
        <d v="2022-04-30T11:52:44"/>
        <d v="2022-04-30T19:30:37"/>
        <d v="2023-09-23T22:23:25"/>
        <d v="2023-09-23T11:21:03"/>
        <d v="2023-06-18T08:49:59"/>
        <d v="2023-06-18T13:31:19"/>
        <d v="2023-06-18T05:32:35"/>
        <d v="2023-06-18T15:24:02"/>
        <d v="2021-09-13T16:38:48"/>
        <d v="2021-09-13T03:06:10"/>
        <d v="2022-01-21T18:48:07"/>
        <d v="2022-05-03T07:18:08"/>
        <d v="2022-05-03T06:36:05"/>
        <d v="2022-05-03T20:01:58"/>
        <d v="2021-12-19T21:25:49"/>
        <d v="2021-12-06T16:31:51"/>
        <d v="2022-03-20T18:42:16"/>
        <d v="2022-03-04T10:11:37"/>
        <d v="2022-03-04T12:28:38"/>
        <d v="2023-04-15T05:21:18"/>
        <d v="2023-04-15T07:50:00"/>
        <d v="2023-04-15T13:24:21"/>
        <d v="2023-04-15T22:28:44"/>
        <d v="2023-04-15T17:51:25"/>
        <d v="2023-04-15T21:44:01"/>
        <d v="2023-04-15T21:40:53"/>
        <d v="2023-07-10T09:46:28"/>
        <d v="2023-07-10T16:27:13"/>
        <d v="2022-11-07T20:20:01"/>
        <d v="2021-07-13T05:53:31"/>
        <d v="2023-02-03T18:25:35"/>
        <d v="2023-02-03T22:31:00"/>
        <d v="2021-06-18T07:37:30"/>
        <d v="2022-04-25T12:39:13"/>
        <d v="2022-03-28T05:50:31"/>
        <d v="2022-04-11T09:49:35"/>
        <d v="2022-04-16T16:02:40"/>
        <d v="2022-04-16T11:52:48"/>
        <d v="2022-04-16T00:04:07"/>
        <d v="2023-02-02T15:03:59"/>
        <d v="2023-02-02T23:19:46"/>
        <d v="2023-09-16T19:42:40"/>
        <d v="2021-11-02T20:05:08"/>
        <d v="2021-11-02T03:42:13"/>
        <d v="2023-12-05T11:21:12"/>
        <d v="2023-01-02T04:27:36"/>
        <d v="2023-01-02T09:21:59"/>
        <d v="2023-06-09T19:03:20"/>
        <d v="2021-01-26T17:23:47"/>
        <d v="2021-01-26T15:35:42"/>
        <d v="2021-01-26T05:29:15"/>
        <d v="2022-08-08T22:15:19"/>
        <d v="2023-02-06T06:51:53"/>
        <d v="2022-12-16T05:07:23"/>
        <d v="2022-09-02T11:23:43"/>
        <d v="2022-09-02T18:34:01"/>
        <d v="2022-09-02T00:43:12"/>
        <d v="2022-09-02T18:17:12"/>
        <d v="2022-09-02T07:52:41"/>
        <d v="2022-01-03T20:34:36"/>
        <d v="2022-01-03T13:15:10"/>
        <d v="2022-01-03T09:43:02"/>
        <d v="2022-01-03T23:33:02"/>
        <d v="2021-06-10T03:49:24"/>
        <d v="2023-12-24T16:23:24"/>
        <d v="2021-12-27T13:34:30"/>
        <d v="2021-12-27T02:46:15"/>
        <d v="2021-12-27T20:04:38"/>
        <d v="2022-03-16T15:09:06"/>
        <d v="2022-03-16T23:21:02"/>
        <d v="2022-03-16T09:39:27"/>
        <d v="2023-01-13T20:15:51"/>
        <d v="2023-01-13T03:46:03"/>
        <d v="2023-01-13T19:36:04"/>
        <d v="2023-01-13T06:41:25"/>
        <d v="2023-01-13T21:00:10"/>
        <d v="2022-04-29T05:18:57"/>
        <d v="2022-04-08T18:52:35"/>
        <d v="2023-01-16T15:56:58"/>
        <d v="2021-10-12T06:44:58"/>
        <d v="2021-10-12T00:15:19"/>
        <d v="2021-06-07T01:42:47"/>
        <d v="2022-10-10T08:23:25"/>
        <d v="2022-02-24T04:53:00"/>
        <d v="2023-02-10T15:05:28"/>
        <d v="2022-07-15T21:20:27"/>
        <d v="2022-07-15T06:44:01"/>
        <d v="2022-07-15T21:36:21"/>
        <d v="2022-07-15T06:35:59"/>
        <d v="2022-07-15T15:34:25"/>
        <d v="2021-01-21T20:06:51"/>
        <d v="2023-09-11T16:34:04"/>
        <d v="2021-03-30T02:46:10"/>
        <d v="2021-03-30T19:12:06"/>
        <d v="2022-03-02T18:45:43"/>
        <d v="2021-10-06T15:09:33"/>
        <d v="2022-01-03T14:48:28"/>
        <d v="2021-12-14T10:12:09"/>
        <d v="2021-12-14T01:27:46"/>
        <d v="2021-12-14T00:46:56"/>
        <d v="2021-12-18T13:43:36"/>
        <d v="2021-12-18T04:08:37"/>
        <d v="2021-12-18T07:54:14"/>
        <d v="2021-12-18T11:31:58"/>
        <d v="2021-12-18T11:19:58"/>
        <d v="2021-12-18T23:02:54"/>
        <d v="2021-01-28T17:34:17"/>
        <d v="2021-01-28T04:14:03"/>
        <d v="2021-01-28T00:46:33"/>
        <d v="2021-01-28T20:24:30"/>
        <d v="2021-01-28T21:04:20"/>
        <d v="2021-01-28T22:22:43"/>
        <d v="2021-01-28T21:45:32"/>
        <d v="2022-04-23T05:40:40"/>
        <d v="2022-04-23T19:56:06"/>
        <d v="2022-04-23T06:37:49"/>
        <d v="2022-04-23T03:39:51"/>
        <d v="2022-10-15T18:02:26"/>
        <d v="2022-10-15T13:45:57"/>
        <d v="2021-08-31T00:12:36"/>
        <d v="2021-08-31T20:22:13"/>
        <d v="2021-09-14T00:16:46"/>
        <d v="2021-11-18T12:51:50"/>
        <d v="2022-03-19T11:27:22"/>
        <d v="2021-10-04T11:03:42"/>
        <d v="2021-10-04T10:39:57"/>
        <d v="2023-10-02T05:50:31"/>
        <d v="2023-10-24T12:55:05"/>
        <d v="2023-10-24T09:45:20"/>
        <d v="2023-10-24T16:08:41"/>
        <d v="2023-11-05T16:48:38"/>
        <d v="2021-06-17T20:31:37"/>
        <d v="2023-03-17T00:39:43"/>
        <d v="2023-11-03T06:21:34"/>
        <d v="2023-02-10T13:28:26"/>
        <d v="2023-02-10T22:32:51"/>
        <d v="2023-02-10T10:37:37"/>
        <d v="2023-08-13T22:23:36"/>
        <d v="2023-08-13T15:44:37"/>
        <d v="2023-08-13T12:37:32"/>
        <d v="2023-04-03T02:17:12"/>
        <d v="2023-04-03T10:57:51"/>
        <d v="2023-04-03T02:56:57"/>
        <d v="2023-04-03T12:56:38"/>
        <d v="2022-02-01T18:05:02"/>
        <d v="2022-05-03T20:57:07"/>
        <d v="2023-12-10T05:32:14"/>
        <d v="2023-12-10T05:52:41"/>
        <d v="2023-12-10T02:26:07"/>
        <d v="2022-10-22T23:57:02"/>
        <d v="2022-10-22T05:36:18"/>
        <d v="2022-10-22T23:53:54"/>
        <d v="2022-04-23T14:47:27"/>
        <d v="2022-04-23T19:55:30"/>
        <d v="2022-03-14T20:38:32"/>
        <d v="2021-06-18T18:16:45"/>
        <d v="2021-06-18T10:51:28"/>
        <d v="2021-06-18T01:16:03"/>
        <d v="2021-06-18T19:09:30"/>
        <d v="2023-08-31T21:44:59"/>
        <d v="2022-04-10T07:10:00"/>
        <d v="2021-09-07T23:55:57"/>
        <d v="2021-12-10T16:56:59"/>
        <d v="2021-12-10T11:49:02"/>
        <d v="2021-07-01T06:50:27"/>
        <d v="2021-07-01T17:04:33"/>
        <d v="2021-01-07T13:28:44"/>
        <d v="2021-01-07T12:44:58"/>
        <d v="2021-01-07T01:53:44"/>
        <d v="2021-01-07T18:34:32"/>
        <d v="2021-01-07T05:08:23"/>
        <d v="2022-10-09T00:19:34"/>
        <d v="2023-02-07T05:53:38"/>
        <d v="2023-02-07T17:31:07"/>
        <d v="2022-01-16T08:10:26"/>
        <d v="2022-01-16T14:39:42"/>
        <d v="2021-10-26T21:04:10"/>
        <d v="2021-10-26T02:53:31"/>
        <d v="2021-10-26T20:07:50"/>
        <d v="2021-10-26T13:23:07"/>
        <d v="2021-09-13T13:07:41"/>
        <d v="2023-12-29T13:29:49"/>
        <d v="2023-05-16T13:38:33"/>
        <d v="2023-05-16T12:08:04"/>
        <d v="2023-08-01T22:01:21"/>
        <d v="2022-01-17T00:13:51"/>
        <d v="2023-10-16T05:28:59"/>
        <d v="2023-10-16T07:28:05"/>
        <d v="2021-05-17T20:12:08"/>
        <d v="2022-02-08T12:42:10"/>
        <d v="2022-10-30T22:18:06"/>
        <d v="2023-05-23T05:51:41"/>
        <d v="2022-08-11T10:25:43"/>
        <d v="2021-12-28T07:24:00"/>
        <d v="2021-12-28T06:21:10"/>
        <d v="2021-12-28T19:23:51"/>
        <d v="2021-12-28T12:31:41"/>
        <d v="2022-11-17T10:25:22"/>
        <d v="2022-01-03T06:06:10"/>
        <d v="2021-04-19T21:57:05"/>
        <d v="2021-04-19T08:30:19"/>
        <d v="2022-12-04T08:30:16"/>
        <d v="2021-08-27T01:41:04"/>
        <d v="2021-08-27T23:02:01"/>
        <d v="2023-01-31T01:44:03"/>
        <d v="2022-10-15T15:03:30"/>
        <d v="2022-12-05T21:19:42"/>
        <d v="2022-09-02T06:02:24"/>
        <d v="2021-04-19T04:52:46"/>
        <d v="2021-04-19T11:00:46"/>
        <d v="2021-04-19T02:06:42"/>
        <d v="2021-04-19T07:03:50"/>
        <d v="2021-04-19T00:09:30"/>
        <d v="2021-04-19T16:58:24"/>
        <d v="2023-03-12T11:11:59"/>
        <d v="2022-05-23T21:48:48"/>
        <d v="2022-05-23T01:22:40"/>
        <d v="2022-12-04T09:28:57"/>
        <d v="2021-04-22T02:53:59"/>
        <d v="2022-08-27T12:45:59"/>
        <d v="2022-08-27T04:18:02"/>
        <d v="2021-10-07T23:56:43"/>
        <d v="2021-10-07T22:27:56"/>
        <d v="2023-12-29T12:37:46"/>
        <d v="2023-12-29T05:13:38"/>
        <d v="2022-07-05T14:02:28"/>
        <d v="2021-11-09T17:22:10"/>
        <d v="2023-09-04T07:47:08"/>
        <d v="2023-09-04T11:37:44"/>
        <d v="2022-02-19T19:14:42"/>
        <d v="2022-02-19T20:12:50"/>
        <d v="2022-02-19T20:28:47"/>
        <d v="2022-02-19T04:54:13"/>
        <d v="2021-02-02T03:55:02"/>
        <d v="2021-02-02T06:00:28"/>
        <d v="2021-02-02T06:08:04"/>
        <d v="2023-05-10T19:15:36"/>
        <d v="2023-07-07T14:06:11"/>
        <d v="2023-10-10T02:51:45"/>
        <d v="2022-07-10T13:52:02"/>
        <d v="2022-07-10T04:24:37"/>
        <d v="2022-07-10T23:53:09"/>
        <d v="2021-07-19T06:06:46"/>
        <d v="2022-02-10T03:25:33"/>
      </sharedItems>
      <fieldGroup par="13"/>
    </cacheField>
    <cacheField name="发货日期" numFmtId="165">
      <sharedItems containsSemiMixedTypes="0" containsNonDate="0" containsDate="1" containsString="0" minDate="2021-01-01T20:47:50" maxDate="2023-12-31T02:41:28"/>
    </cacheField>
    <cacheField name="细分" numFmtId="0">
      <sharedItems count="3">
        <s v="公司"/>
        <s v="消费者"/>
        <s v="小型企业"/>
      </sharedItems>
    </cacheField>
    <cacheField name="城市" numFmtId="0">
      <sharedItems count="249">
        <s v="杭州"/>
        <s v="内江"/>
        <s v="镇江"/>
        <s v="汕头"/>
        <s v="景德镇"/>
        <s v="榆林"/>
        <s v="哈尔滨"/>
        <s v="青岛"/>
        <s v="徐州"/>
        <s v="上海"/>
        <s v="温岭"/>
        <s v="唐山"/>
        <s v="宁波"/>
        <s v="厦门"/>
        <s v="宿州"/>
        <s v="兰州"/>
        <s v="淮阴"/>
        <s v="肇源"/>
        <s v="南昌"/>
        <s v="合肥"/>
        <s v="蛟河"/>
        <s v="沈阳"/>
        <s v="黄石"/>
        <s v="西安"/>
        <s v="阳江"/>
        <s v="邓州"/>
        <s v="曲阜"/>
        <s v="湛江"/>
        <s v="孝感"/>
        <s v="浏阳"/>
        <s v="滕州"/>
        <s v="北京"/>
        <s v="重庆"/>
        <s v="椒江"/>
        <s v="叶柏寿"/>
        <s v="西宁"/>
        <s v="绵阳"/>
        <s v="武汉"/>
        <s v="韩城"/>
        <s v="盐城"/>
        <s v="南宁"/>
        <s v="泉州"/>
        <s v="天津"/>
        <s v="七台河"/>
        <s v="扬州"/>
        <s v="株洲"/>
        <s v="青冈"/>
        <s v="新泰"/>
        <s v="仪征"/>
        <s v="禹州"/>
        <s v="珠海"/>
        <s v="肃州"/>
        <s v="常州"/>
        <s v="张家港"/>
        <s v="长沙"/>
        <s v="昭通"/>
        <s v="密山"/>
        <s v="临朐"/>
        <s v="海口"/>
        <s v="襄城"/>
        <s v="鹤岗"/>
        <s v="温州"/>
        <s v="四平"/>
        <s v="安顺"/>
        <s v="高密"/>
        <s v="抚顺"/>
        <s v="洮南"/>
        <s v="德阳"/>
        <s v="运城"/>
        <s v="浯溪"/>
        <s v="鞍山"/>
        <s v="深圳"/>
        <s v="廉洲"/>
        <s v="石家庄"/>
        <s v="包头"/>
        <s v="苏州"/>
        <s v="成都"/>
        <s v="廊坊"/>
        <s v="济宁"/>
        <s v="枝江"/>
        <s v="潍坊"/>
        <s v="河源"/>
        <s v="朗乡"/>
        <s v="平顶山"/>
        <s v="呼和浩特"/>
        <s v="遂宁"/>
        <s v="秦皇岛"/>
        <s v="新民"/>
        <s v="临汾"/>
        <s v="丹东"/>
        <s v="满洲里"/>
        <s v="莱州"/>
        <s v="开原"/>
        <s v="钟祥"/>
        <s v="潼川"/>
        <s v="泰康"/>
        <s v="泰兴"/>
        <s v="芜湖"/>
        <s v="无锡"/>
        <s v="宜春"/>
        <s v="金华"/>
        <s v="昆明"/>
        <s v="周口"/>
        <s v="怀化"/>
        <s v="黄山"/>
        <s v="邢台"/>
        <s v="塘沽"/>
        <s v="邯郸"/>
        <s v="焦作"/>
        <s v="海门"/>
        <s v="宜昌"/>
        <s v="白城"/>
        <s v="宣化"/>
        <s v="牡丹江"/>
        <s v="嘉兴"/>
        <s v="凤城"/>
        <s v="开远"/>
        <s v="青州"/>
        <s v="永川"/>
        <s v="双阳"/>
        <s v="富阳"/>
        <s v="明水"/>
        <s v="钦州"/>
        <s v="铁力"/>
        <s v="广州"/>
        <s v="开化"/>
        <s v="启东"/>
        <s v="佳木斯"/>
        <s v="铁岭"/>
        <s v="庄河"/>
        <s v="鸡西"/>
        <s v="肇庆"/>
        <s v="梧州"/>
        <s v="合川"/>
        <s v="大庆"/>
        <s v="恒山"/>
        <s v="大冶"/>
        <s v="醴陵"/>
        <s v="铜川"/>
        <s v="大连"/>
        <s v="衢州"/>
        <s v="太原"/>
        <s v="济南"/>
        <s v="规阳"/>
        <s v="淮南"/>
        <s v="唐家庄"/>
        <s v="坪山"/>
        <s v="临江"/>
        <s v="漯河"/>
        <s v="蓬莱"/>
        <s v="泰州"/>
        <s v="安达"/>
        <s v="阿城"/>
        <s v="临沂"/>
        <s v="枣阳"/>
        <s v="大同"/>
        <s v="濮阳"/>
        <s v="东莞"/>
        <s v="阳谷"/>
        <s v="桦甸"/>
        <s v="磐石"/>
        <s v="洛阳"/>
        <s v="鹤壁"/>
        <s v="梨树"/>
        <s v="南通"/>
        <s v="荔城"/>
        <s v="嘉峪关"/>
        <s v="临清"/>
        <s v="南隆"/>
        <s v="龙泉"/>
        <s v="宜宾"/>
        <s v="常熟市"/>
        <s v="文登"/>
        <s v="岳阳"/>
        <s v="信阳"/>
        <s v="浦城"/>
        <s v="渭南"/>
        <s v="石嘴山"/>
        <s v="牙克石"/>
        <s v="黎城"/>
        <s v="三亚"/>
        <s v="南平"/>
        <s v="泗水"/>
        <s v="烟台"/>
        <s v="桦南"/>
        <s v="津市"/>
        <s v="肇东"/>
        <s v="襄樊"/>
        <s v="高邮"/>
        <s v="本溪"/>
        <s v="咸阳"/>
        <s v="张家口"/>
        <s v="惠州"/>
        <s v="门头沟"/>
        <s v="惠城"/>
        <s v="益阳"/>
        <s v="扶余"/>
        <s v="韶关"/>
        <s v="晋江"/>
        <s v="弥阳"/>
        <s v="郴州"/>
        <s v="遵义"/>
        <s v="义乌"/>
        <s v="常德"/>
        <s v="海城"/>
        <s v="边庄"/>
        <s v="郑州"/>
        <s v="宣州"/>
        <s v="福州"/>
        <s v="长春"/>
        <s v="昌平"/>
        <s v="新乡"/>
        <s v="汕尾"/>
        <s v="九江"/>
        <s v="新野"/>
        <s v="赤峰"/>
        <s v="辽源"/>
        <s v="宽甸"/>
        <s v="铜仁"/>
        <s v="乌海"/>
        <s v="沅江"/>
        <s v="曲靖"/>
        <s v="桂林"/>
        <s v="新石"/>
        <s v="忻州"/>
        <s v="和田"/>
        <s v="丰县"/>
        <s v="咸水沽"/>
        <s v="宁海"/>
        <s v="镇赉"/>
        <s v="阳泉"/>
        <s v="长治"/>
        <s v="榆次"/>
        <s v="开封"/>
        <s v="张掖"/>
        <s v="都匀"/>
        <s v="禹城"/>
        <s v="安庆"/>
        <s v="贵溪"/>
        <s v="阆中"/>
        <s v="临水"/>
        <s v="颍上解放路城关镇"/>
        <s v="莱芜"/>
        <s v="小围寨"/>
        <s v="富拉尔基区"/>
        <s v="兰西"/>
        <s v="寿光"/>
        <s v="菏泽"/>
        <s v="仙桃"/>
      </sharedItems>
    </cacheField>
    <cacheField name="子类别" numFmtId="0">
      <sharedItems count="17">
        <s v="用品"/>
        <s v="信封"/>
        <s v="装订机"/>
        <s v="器具"/>
        <s v="设备"/>
        <s v="椅子"/>
        <s v="纸张"/>
        <s v="系固件"/>
        <s v="复印机"/>
        <s v="配件"/>
        <s v="电话"/>
        <s v="标签"/>
        <s v="书架"/>
        <s v="用具"/>
        <s v="收纳具"/>
        <s v="美术"/>
        <s v="桌子"/>
      </sharedItems>
    </cacheField>
    <cacheField name="单价" numFmtId="0">
      <sharedItems containsSemiMixedTypes="0" containsString="0" containsNumber="1" containsInteger="1" minValue="10" maxValue="100"/>
    </cacheField>
    <cacheField name="数量" numFmtId="0">
      <sharedItems containsSemiMixedTypes="0" containsString="0" containsNumber="1" containsInteger="1" minValue="1" maxValue="14" count="14">
        <n v="2"/>
        <n v="4"/>
        <n v="3"/>
        <n v="9"/>
        <n v="5"/>
        <n v="7"/>
        <n v="1"/>
        <n v="6"/>
        <n v="8"/>
        <n v="14"/>
        <n v="11"/>
        <n v="10"/>
        <n v="12"/>
        <n v="13"/>
      </sharedItems>
    </cacheField>
    <cacheField name="金额" numFmtId="0">
      <sharedItems containsSemiMixedTypes="0" containsString="0" containsNumber="1" containsInteger="1" minValue="10" maxValue="1248"/>
    </cacheField>
    <cacheField name="类别" numFmtId="0">
      <sharedItems/>
    </cacheField>
    <cacheField name="地区" numFmtId="0">
      <sharedItems/>
    </cacheField>
    <cacheField name="月(订单日期)" numFmtId="0" databaseField="0">
      <fieldGroup base="1">
        <rangePr groupBy="months" startDate="2021-01-01T03:33:53" endDate="2023-12-30T23:24:04"/>
        <groupItems count="14">
          <s v="&lt;1/1/2021"/>
          <s v="Jan"/>
          <s v="Feb"/>
          <s v="Mar"/>
          <s v="Apr"/>
          <s v="May"/>
          <s v="Jun"/>
          <s v="Jul"/>
          <s v="Aug"/>
          <s v="Sep"/>
          <s v="Oct"/>
          <s v="Nov"/>
          <s v="Dec"/>
          <s v="&gt;12/30/2023"/>
        </groupItems>
      </fieldGroup>
    </cacheField>
    <cacheField name="季度(订单日期)" numFmtId="0" databaseField="0">
      <fieldGroup base="1">
        <rangePr groupBy="quarters" startDate="2021-01-01T03:33:53" endDate="2023-12-30T23:24:04"/>
        <groupItems count="6">
          <s v="&lt;1/1/2021"/>
          <s v="季度1"/>
          <s v="季度2"/>
          <s v="季度3"/>
          <s v="季度4"/>
          <s v="&gt;12/30/2023"/>
        </groupItems>
      </fieldGroup>
    </cacheField>
    <cacheField name="年(订单日期)" numFmtId="0" databaseField="0">
      <fieldGroup base="1">
        <rangePr groupBy="years" startDate="2021-01-01T03:33:53" endDate="2023-12-30T23:24:04"/>
        <groupItems count="5">
          <s v="&lt;1/1/2021"/>
          <s v="2021"/>
          <s v="2022"/>
          <s v="2023"/>
          <s v="&gt;12/30/2023"/>
        </groupItems>
      </fieldGroup>
    </cacheField>
  </cacheFields>
  <extLst>
    <ext xmlns:x14="http://schemas.microsoft.com/office/spreadsheetml/2009/9/main" uri="{725AE2AE-9491-48be-B2B4-4EB974FC3084}">
      <x14:pivotCacheDefinition pivotCacheId="294113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s v="US-2982-1357144"/>
    <x v="0"/>
    <d v="2021-09-01T20:33:07"/>
    <x v="0"/>
    <x v="0"/>
    <x v="0"/>
    <n v="90"/>
    <x v="0"/>
    <n v="180"/>
    <s v="办公用品"/>
    <s v="华东"/>
  </r>
  <r>
    <s v="CN-3031-1973789"/>
    <x v="1"/>
    <d v="2021-10-22T09:19:08"/>
    <x v="1"/>
    <x v="1"/>
    <x v="1"/>
    <n v="25"/>
    <x v="0"/>
    <n v="50"/>
    <s v="办公用品"/>
    <s v="西南"/>
  </r>
  <r>
    <s v="CN-3031-1973789"/>
    <x v="2"/>
    <d v="2021-10-22T15:32:32"/>
    <x v="1"/>
    <x v="1"/>
    <x v="2"/>
    <n v="51"/>
    <x v="0"/>
    <n v="102"/>
    <s v="办公用品"/>
    <s v="西南"/>
  </r>
  <r>
    <s v="US-3208-3017568"/>
    <x v="3"/>
    <d v="2022-04-17T06:37:01"/>
    <x v="0"/>
    <x v="2"/>
    <x v="0"/>
    <n v="94"/>
    <x v="1"/>
    <n v="376"/>
    <s v="办公用品"/>
    <s v="华东"/>
  </r>
  <r>
    <s v="CN-2650-2975416"/>
    <x v="4"/>
    <d v="2023-10-04T11:52:01"/>
    <x v="1"/>
    <x v="3"/>
    <x v="3"/>
    <n v="96"/>
    <x v="2"/>
    <n v="288"/>
    <s v="办公用品"/>
    <s v="中南"/>
  </r>
  <r>
    <s v="CN-2434-4497736"/>
    <x v="5"/>
    <d v="2023-03-04T18:44:38"/>
    <x v="1"/>
    <x v="4"/>
    <x v="4"/>
    <n v="45"/>
    <x v="3"/>
    <n v="405"/>
    <s v="技术"/>
    <s v="华东"/>
  </r>
  <r>
    <s v="CN-2434-4497736"/>
    <x v="6"/>
    <d v="2023-03-04T00:17:33"/>
    <x v="1"/>
    <x v="4"/>
    <x v="2"/>
    <n v="61"/>
    <x v="0"/>
    <n v="122"/>
    <s v="办公用品"/>
    <s v="华东"/>
  </r>
  <r>
    <s v="CN-2434-4497736"/>
    <x v="7"/>
    <d v="2023-03-04T21:10:00"/>
    <x v="1"/>
    <x v="4"/>
    <x v="5"/>
    <n v="51"/>
    <x v="1"/>
    <n v="204"/>
    <s v="家具"/>
    <s v="华东"/>
  </r>
  <r>
    <s v="CN-2434-4497736"/>
    <x v="8"/>
    <d v="2023-03-04T21:29:50"/>
    <x v="1"/>
    <x v="4"/>
    <x v="6"/>
    <n v="19"/>
    <x v="4"/>
    <n v="95"/>
    <s v="办公用品"/>
    <s v="华东"/>
  </r>
  <r>
    <s v="CN-2434-4497736"/>
    <x v="9"/>
    <d v="2023-03-04T09:14:52"/>
    <x v="1"/>
    <x v="4"/>
    <x v="7"/>
    <n v="34"/>
    <x v="0"/>
    <n v="68"/>
    <s v="办公用品"/>
    <s v="华东"/>
  </r>
  <r>
    <s v="CN-2124-4195213"/>
    <x v="10"/>
    <d v="2022-04-26T05:00:00"/>
    <x v="2"/>
    <x v="5"/>
    <x v="4"/>
    <n v="33"/>
    <x v="0"/>
    <n v="66"/>
    <s v="技术"/>
    <s v="西北"/>
  </r>
  <r>
    <s v="CN-3017-5801711"/>
    <x v="11"/>
    <d v="2021-10-09T05:01:33"/>
    <x v="1"/>
    <x v="6"/>
    <x v="8"/>
    <n v="50"/>
    <x v="1"/>
    <n v="200"/>
    <s v="技术"/>
    <s v="东北"/>
  </r>
  <r>
    <s v="CN-2290-2752724"/>
    <x v="12"/>
    <d v="2022-10-11T14:29:15"/>
    <x v="1"/>
    <x v="7"/>
    <x v="1"/>
    <n v="100"/>
    <x v="2"/>
    <n v="300"/>
    <s v="办公用品"/>
    <s v="华东"/>
  </r>
  <r>
    <s v="CN-2290-2752724"/>
    <x v="13"/>
    <d v="2022-10-11T16:36:02"/>
    <x v="1"/>
    <x v="7"/>
    <x v="9"/>
    <n v="50"/>
    <x v="4"/>
    <n v="250"/>
    <s v="技术"/>
    <s v="华东"/>
  </r>
  <r>
    <s v="CN-2290-2752724"/>
    <x v="14"/>
    <d v="2022-10-11T17:07:54"/>
    <x v="1"/>
    <x v="7"/>
    <x v="10"/>
    <n v="52"/>
    <x v="0"/>
    <n v="104"/>
    <s v="技术"/>
    <s v="华东"/>
  </r>
  <r>
    <s v="US-2825-2511714"/>
    <x v="15"/>
    <d v="2021-03-29T22:39:48"/>
    <x v="0"/>
    <x v="8"/>
    <x v="3"/>
    <n v="32"/>
    <x v="5"/>
    <n v="224"/>
    <s v="办公用品"/>
    <s v="华东"/>
  </r>
  <r>
    <s v="US-2825-2511714"/>
    <x v="16"/>
    <d v="2021-03-29T00:21:48"/>
    <x v="0"/>
    <x v="8"/>
    <x v="11"/>
    <n v="75"/>
    <x v="2"/>
    <n v="225"/>
    <s v="办公用品"/>
    <s v="华东"/>
  </r>
  <r>
    <s v="CN-3140-5631342"/>
    <x v="17"/>
    <d v="2022-02-06T18:18:42"/>
    <x v="1"/>
    <x v="9"/>
    <x v="9"/>
    <n v="29"/>
    <x v="5"/>
    <n v="203"/>
    <s v="技术"/>
    <s v="华东"/>
  </r>
  <r>
    <s v="CN-3140-5631342"/>
    <x v="18"/>
    <d v="2022-02-06T05:30:49"/>
    <x v="1"/>
    <x v="9"/>
    <x v="0"/>
    <n v="73"/>
    <x v="6"/>
    <n v="73"/>
    <s v="办公用品"/>
    <s v="华东"/>
  </r>
  <r>
    <s v="CN-3140-5631342"/>
    <x v="19"/>
    <d v="2022-02-06T11:32:30"/>
    <x v="1"/>
    <x v="9"/>
    <x v="2"/>
    <n v="11"/>
    <x v="4"/>
    <n v="55"/>
    <s v="办公用品"/>
    <s v="华东"/>
  </r>
  <r>
    <s v="CN-3140-5631342"/>
    <x v="20"/>
    <d v="2022-02-06T22:25:02"/>
    <x v="1"/>
    <x v="9"/>
    <x v="2"/>
    <n v="84"/>
    <x v="7"/>
    <n v="504"/>
    <s v="办公用品"/>
    <s v="华东"/>
  </r>
  <r>
    <s v="CN-3140-5631342"/>
    <x v="21"/>
    <d v="2022-02-06T13:49:16"/>
    <x v="1"/>
    <x v="9"/>
    <x v="10"/>
    <n v="76"/>
    <x v="5"/>
    <n v="532"/>
    <s v="技术"/>
    <s v="华东"/>
  </r>
  <r>
    <s v="CN-3140-5631342"/>
    <x v="22"/>
    <d v="2022-02-06T06:50:30"/>
    <x v="1"/>
    <x v="9"/>
    <x v="8"/>
    <n v="67"/>
    <x v="2"/>
    <n v="201"/>
    <s v="技术"/>
    <s v="华东"/>
  </r>
  <r>
    <s v="CN-3140-5631342"/>
    <x v="23"/>
    <d v="2022-02-06T17:17:59"/>
    <x v="1"/>
    <x v="9"/>
    <x v="0"/>
    <n v="99"/>
    <x v="0"/>
    <n v="198"/>
    <s v="办公用品"/>
    <s v="华东"/>
  </r>
  <r>
    <s v="US-2657-4150614"/>
    <x v="24"/>
    <d v="2023-10-16T01:01:20"/>
    <x v="0"/>
    <x v="10"/>
    <x v="12"/>
    <n v="73"/>
    <x v="1"/>
    <n v="292"/>
    <s v="家具"/>
    <s v="华东"/>
  </r>
  <r>
    <s v="US-2657-4150614"/>
    <x v="25"/>
    <d v="2023-10-16T02:55:35"/>
    <x v="0"/>
    <x v="10"/>
    <x v="5"/>
    <n v="37"/>
    <x v="2"/>
    <n v="111"/>
    <s v="家具"/>
    <s v="华东"/>
  </r>
  <r>
    <s v="US-2657-4150614"/>
    <x v="26"/>
    <d v="2023-10-16T05:57:54"/>
    <x v="0"/>
    <x v="10"/>
    <x v="7"/>
    <n v="87"/>
    <x v="4"/>
    <n v="435"/>
    <s v="办公用品"/>
    <s v="华东"/>
  </r>
  <r>
    <s v="US-2657-4150614"/>
    <x v="27"/>
    <d v="2023-10-16T22:29:36"/>
    <x v="0"/>
    <x v="10"/>
    <x v="7"/>
    <n v="91"/>
    <x v="8"/>
    <n v="728"/>
    <s v="办公用品"/>
    <s v="华东"/>
  </r>
  <r>
    <s v="US-2657-4150614"/>
    <x v="28"/>
    <d v="2023-10-16T19:47:41"/>
    <x v="0"/>
    <x v="10"/>
    <x v="0"/>
    <n v="32"/>
    <x v="7"/>
    <n v="192"/>
    <s v="办公用品"/>
    <s v="华东"/>
  </r>
  <r>
    <s v="US-2657-4150614"/>
    <x v="29"/>
    <d v="2023-10-16T23:28:46"/>
    <x v="0"/>
    <x v="10"/>
    <x v="9"/>
    <n v="17"/>
    <x v="6"/>
    <n v="17"/>
    <s v="技术"/>
    <s v="华东"/>
  </r>
  <r>
    <s v="US-2657-4150614"/>
    <x v="30"/>
    <d v="2023-10-16T17:22:14"/>
    <x v="0"/>
    <x v="10"/>
    <x v="13"/>
    <n v="59"/>
    <x v="0"/>
    <n v="118"/>
    <s v="家具"/>
    <s v="华东"/>
  </r>
  <r>
    <s v="CN-3211-4364300"/>
    <x v="31"/>
    <d v="2022-04-19T17:49:14"/>
    <x v="1"/>
    <x v="9"/>
    <x v="2"/>
    <n v="27"/>
    <x v="4"/>
    <n v="135"/>
    <s v="办公用品"/>
    <s v="华东"/>
  </r>
  <r>
    <s v="CN-3136-3230180"/>
    <x v="32"/>
    <d v="2022-02-04T10:22:05"/>
    <x v="0"/>
    <x v="11"/>
    <x v="14"/>
    <n v="81"/>
    <x v="0"/>
    <n v="162"/>
    <s v="办公用品"/>
    <s v="华北"/>
  </r>
  <r>
    <s v="CN-3136-3230180"/>
    <x v="33"/>
    <d v="2022-02-04T09:00:00"/>
    <x v="0"/>
    <x v="11"/>
    <x v="5"/>
    <n v="60"/>
    <x v="4"/>
    <n v="300"/>
    <s v="家具"/>
    <s v="华北"/>
  </r>
  <r>
    <s v="US-2822-1966627"/>
    <x v="34"/>
    <d v="2021-03-27T07:17:41"/>
    <x v="0"/>
    <x v="12"/>
    <x v="12"/>
    <n v="62"/>
    <x v="1"/>
    <n v="248"/>
    <s v="家具"/>
    <s v="华东"/>
  </r>
  <r>
    <s v="CN-2558-1190387"/>
    <x v="35"/>
    <d v="2023-07-03T21:18:54"/>
    <x v="1"/>
    <x v="9"/>
    <x v="13"/>
    <n v="11"/>
    <x v="4"/>
    <n v="55"/>
    <s v="家具"/>
    <s v="华东"/>
  </r>
  <r>
    <s v="CN-2745-3216455"/>
    <x v="36"/>
    <d v="2021-01-08T02:41:25"/>
    <x v="0"/>
    <x v="13"/>
    <x v="15"/>
    <n v="69"/>
    <x v="6"/>
    <n v="69"/>
    <s v="办公用品"/>
    <s v="华东"/>
  </r>
  <r>
    <s v="CN-2759-4690757"/>
    <x v="37"/>
    <d v="2021-01-23T09:07:24"/>
    <x v="1"/>
    <x v="14"/>
    <x v="6"/>
    <n v="32"/>
    <x v="7"/>
    <n v="192"/>
    <s v="办公用品"/>
    <s v="华东"/>
  </r>
  <r>
    <s v="CN-2759-4690757"/>
    <x v="38"/>
    <d v="2021-01-23T08:35:52"/>
    <x v="1"/>
    <x v="14"/>
    <x v="14"/>
    <n v="62"/>
    <x v="6"/>
    <n v="62"/>
    <s v="办公用品"/>
    <s v="华东"/>
  </r>
  <r>
    <s v="CN-2759-4690757"/>
    <x v="39"/>
    <d v="2021-01-23T11:48:35"/>
    <x v="1"/>
    <x v="14"/>
    <x v="16"/>
    <n v="82"/>
    <x v="6"/>
    <n v="82"/>
    <s v="家具"/>
    <s v="华东"/>
  </r>
  <r>
    <s v="CN-2682-4674220"/>
    <x v="40"/>
    <d v="2023-11-06T08:28:39"/>
    <x v="0"/>
    <x v="15"/>
    <x v="6"/>
    <n v="63"/>
    <x v="2"/>
    <n v="189"/>
    <s v="办公用品"/>
    <s v="西北"/>
  </r>
  <r>
    <s v="US-2706-3857264"/>
    <x v="41"/>
    <d v="2023-12-03T11:18:56"/>
    <x v="2"/>
    <x v="16"/>
    <x v="3"/>
    <n v="85"/>
    <x v="7"/>
    <n v="510"/>
    <s v="办公用品"/>
    <s v="华东"/>
  </r>
  <r>
    <s v="CN-2857-4054371"/>
    <x v="42"/>
    <d v="2021-04-29T20:19:21"/>
    <x v="1"/>
    <x v="17"/>
    <x v="3"/>
    <n v="72"/>
    <x v="3"/>
    <n v="648"/>
    <s v="办公用品"/>
    <s v="东北"/>
  </r>
  <r>
    <s v="CN-1905-2932548"/>
    <x v="43"/>
    <d v="2023-09-23T14:45:28"/>
    <x v="2"/>
    <x v="18"/>
    <x v="14"/>
    <n v="45"/>
    <x v="0"/>
    <n v="90"/>
    <s v="办公用品"/>
    <s v="华东"/>
  </r>
  <r>
    <s v="CN-1905-2932548"/>
    <x v="44"/>
    <d v="2023-09-23T17:57:15"/>
    <x v="2"/>
    <x v="18"/>
    <x v="15"/>
    <n v="98"/>
    <x v="1"/>
    <n v="392"/>
    <s v="办公用品"/>
    <s v="华东"/>
  </r>
  <r>
    <s v="CN-2696-3476344"/>
    <x v="45"/>
    <d v="2023-11-21T04:49:16"/>
    <x v="1"/>
    <x v="19"/>
    <x v="2"/>
    <n v="44"/>
    <x v="4"/>
    <n v="220"/>
    <s v="办公用品"/>
    <s v="华东"/>
  </r>
  <r>
    <s v="US-2666-5956361"/>
    <x v="46"/>
    <d v="2023-10-20T22:56:04"/>
    <x v="0"/>
    <x v="1"/>
    <x v="15"/>
    <n v="75"/>
    <x v="7"/>
    <n v="450"/>
    <s v="办公用品"/>
    <s v="西南"/>
  </r>
  <r>
    <s v="US-2666-5956361"/>
    <x v="47"/>
    <d v="2023-10-20T06:03:06"/>
    <x v="0"/>
    <x v="1"/>
    <x v="10"/>
    <n v="37"/>
    <x v="6"/>
    <n v="37"/>
    <s v="技术"/>
    <s v="西南"/>
  </r>
  <r>
    <s v="US-2666-5956361"/>
    <x v="48"/>
    <d v="2023-10-20T11:09:22"/>
    <x v="0"/>
    <x v="1"/>
    <x v="1"/>
    <n v="76"/>
    <x v="0"/>
    <n v="152"/>
    <s v="办公用品"/>
    <s v="西南"/>
  </r>
  <r>
    <s v="CN-3035-2396895"/>
    <x v="49"/>
    <d v="2021-10-25T09:26:50"/>
    <x v="1"/>
    <x v="20"/>
    <x v="10"/>
    <n v="69"/>
    <x v="1"/>
    <n v="276"/>
    <s v="技术"/>
    <s v="东北"/>
  </r>
  <r>
    <s v="CN-3035-2396895"/>
    <x v="50"/>
    <d v="2021-10-25T03:53:14"/>
    <x v="1"/>
    <x v="20"/>
    <x v="8"/>
    <n v="46"/>
    <x v="0"/>
    <n v="92"/>
    <s v="技术"/>
    <s v="东北"/>
  </r>
  <r>
    <s v="CN-3035-2396895"/>
    <x v="51"/>
    <d v="2021-10-25T05:27:25"/>
    <x v="1"/>
    <x v="20"/>
    <x v="14"/>
    <n v="87"/>
    <x v="0"/>
    <n v="174"/>
    <s v="办公用品"/>
    <s v="东北"/>
  </r>
  <r>
    <s v="CN-2641-2828982"/>
    <x v="52"/>
    <d v="2023-09-27T16:12:38"/>
    <x v="1"/>
    <x v="7"/>
    <x v="3"/>
    <n v="47"/>
    <x v="4"/>
    <n v="235"/>
    <s v="办公用品"/>
    <s v="华东"/>
  </r>
  <r>
    <s v="CN-2641-2828982"/>
    <x v="53"/>
    <d v="2023-09-27T12:58:06"/>
    <x v="1"/>
    <x v="7"/>
    <x v="3"/>
    <n v="95"/>
    <x v="4"/>
    <n v="475"/>
    <s v="办公用品"/>
    <s v="华东"/>
  </r>
  <r>
    <s v="CN-2641-2828982"/>
    <x v="54"/>
    <d v="2023-09-27T15:59:13"/>
    <x v="1"/>
    <x v="7"/>
    <x v="14"/>
    <n v="22"/>
    <x v="6"/>
    <n v="22"/>
    <s v="办公用品"/>
    <s v="华东"/>
  </r>
  <r>
    <s v="US-2864-4297166"/>
    <x v="55"/>
    <d v="2021-05-08T17:11:23"/>
    <x v="1"/>
    <x v="21"/>
    <x v="0"/>
    <n v="95"/>
    <x v="1"/>
    <n v="380"/>
    <s v="办公用品"/>
    <s v="东北"/>
  </r>
  <r>
    <s v="US-2864-4297166"/>
    <x v="56"/>
    <d v="2021-05-08T14:45:16"/>
    <x v="1"/>
    <x v="21"/>
    <x v="7"/>
    <n v="19"/>
    <x v="4"/>
    <n v="95"/>
    <s v="办公用品"/>
    <s v="东北"/>
  </r>
  <r>
    <s v="US-2864-4297166"/>
    <x v="57"/>
    <d v="2021-05-08T22:32:29"/>
    <x v="1"/>
    <x v="21"/>
    <x v="7"/>
    <n v="16"/>
    <x v="2"/>
    <n v="48"/>
    <s v="办公用品"/>
    <s v="东北"/>
  </r>
  <r>
    <s v="US-2773-4292548"/>
    <x v="58"/>
    <d v="2021-02-08T21:32:26"/>
    <x v="0"/>
    <x v="22"/>
    <x v="12"/>
    <n v="18"/>
    <x v="0"/>
    <n v="36"/>
    <s v="家具"/>
    <s v="中南"/>
  </r>
  <r>
    <s v="CN-3185-4838467"/>
    <x v="59"/>
    <d v="2022-03-28T07:28:17"/>
    <x v="0"/>
    <x v="23"/>
    <x v="14"/>
    <n v="67"/>
    <x v="0"/>
    <n v="134"/>
    <s v="办公用品"/>
    <s v="西北"/>
  </r>
  <r>
    <s v="CN-2004-3232413"/>
    <x v="60"/>
    <d v="2023-12-29T02:26:20"/>
    <x v="0"/>
    <x v="24"/>
    <x v="8"/>
    <n v="43"/>
    <x v="0"/>
    <n v="86"/>
    <s v="技术"/>
    <s v="中南"/>
  </r>
  <r>
    <s v="CN-2657-4162714"/>
    <x v="61"/>
    <d v="2023-10-12T10:27:04"/>
    <x v="1"/>
    <x v="25"/>
    <x v="4"/>
    <n v="49"/>
    <x v="5"/>
    <n v="343"/>
    <s v="技术"/>
    <s v="中南"/>
  </r>
  <r>
    <s v="CN-1790-4497265"/>
    <x v="62"/>
    <d v="2023-05-28T16:04:56"/>
    <x v="0"/>
    <x v="26"/>
    <x v="11"/>
    <n v="28"/>
    <x v="4"/>
    <n v="140"/>
    <s v="办公用品"/>
    <s v="华东"/>
  </r>
  <r>
    <s v="CN-1790-4497265"/>
    <x v="63"/>
    <d v="2023-05-28T23:57:28"/>
    <x v="0"/>
    <x v="26"/>
    <x v="7"/>
    <n v="27"/>
    <x v="4"/>
    <n v="135"/>
    <s v="办公用品"/>
    <s v="华东"/>
  </r>
  <r>
    <s v="CN-3123-5922906"/>
    <x v="64"/>
    <d v="2022-01-20T22:35:43"/>
    <x v="0"/>
    <x v="27"/>
    <x v="4"/>
    <n v="90"/>
    <x v="1"/>
    <n v="360"/>
    <s v="技术"/>
    <s v="中南"/>
  </r>
  <r>
    <s v="US-2121-3767771"/>
    <x v="65"/>
    <d v="2022-04-26T12:16:39"/>
    <x v="0"/>
    <x v="28"/>
    <x v="3"/>
    <n v="10"/>
    <x v="8"/>
    <n v="80"/>
    <s v="办公用品"/>
    <s v="中南"/>
  </r>
  <r>
    <s v="US-2072-1166331"/>
    <x v="66"/>
    <d v="2022-03-04T08:14:12"/>
    <x v="1"/>
    <x v="29"/>
    <x v="15"/>
    <n v="23"/>
    <x v="2"/>
    <n v="69"/>
    <s v="办公用品"/>
    <s v="中南"/>
  </r>
  <r>
    <s v="US-2072-1166331"/>
    <x v="67"/>
    <d v="2022-03-04T17:33:47"/>
    <x v="1"/>
    <x v="29"/>
    <x v="6"/>
    <n v="72"/>
    <x v="2"/>
    <n v="216"/>
    <s v="办公用品"/>
    <s v="中南"/>
  </r>
  <r>
    <s v="CN-2569-3064620"/>
    <x v="68"/>
    <d v="2023-07-18T16:41:52"/>
    <x v="2"/>
    <x v="6"/>
    <x v="9"/>
    <n v="72"/>
    <x v="2"/>
    <n v="216"/>
    <s v="技术"/>
    <s v="东北"/>
  </r>
  <r>
    <s v="CN-2404-3188191"/>
    <x v="69"/>
    <d v="2023-02-03T08:28:04"/>
    <x v="1"/>
    <x v="30"/>
    <x v="11"/>
    <n v="23"/>
    <x v="4"/>
    <n v="115"/>
    <s v="办公用品"/>
    <s v="华东"/>
  </r>
  <r>
    <s v="CN-2392-5717181"/>
    <x v="70"/>
    <d v="2023-01-20T17:03:03"/>
    <x v="2"/>
    <x v="31"/>
    <x v="1"/>
    <n v="35"/>
    <x v="4"/>
    <n v="175"/>
    <s v="办公用品"/>
    <s v="华北"/>
  </r>
  <r>
    <s v="CN-2392-5717181"/>
    <x v="71"/>
    <d v="2023-01-20T17:42:52"/>
    <x v="2"/>
    <x v="31"/>
    <x v="12"/>
    <n v="15"/>
    <x v="6"/>
    <n v="15"/>
    <s v="家具"/>
    <s v="华北"/>
  </r>
  <r>
    <s v="CN-3164-2187292"/>
    <x v="72"/>
    <d v="2022-03-02T17:53:40"/>
    <x v="0"/>
    <x v="32"/>
    <x v="10"/>
    <n v="18"/>
    <x v="2"/>
    <n v="54"/>
    <s v="技术"/>
    <s v="西南"/>
  </r>
  <r>
    <s v="CN-3164-2187292"/>
    <x v="73"/>
    <d v="2022-03-02T16:11:13"/>
    <x v="0"/>
    <x v="32"/>
    <x v="1"/>
    <n v="19"/>
    <x v="2"/>
    <n v="57"/>
    <s v="办公用品"/>
    <s v="西南"/>
  </r>
  <r>
    <s v="CN-3164-2187292"/>
    <x v="74"/>
    <d v="2022-03-02T06:52:22"/>
    <x v="0"/>
    <x v="32"/>
    <x v="10"/>
    <n v="44"/>
    <x v="6"/>
    <n v="44"/>
    <s v="技术"/>
    <s v="西南"/>
  </r>
  <r>
    <s v="US-1802-3275681"/>
    <x v="75"/>
    <d v="2023-06-11T17:07:18"/>
    <x v="1"/>
    <x v="33"/>
    <x v="0"/>
    <n v="86"/>
    <x v="4"/>
    <n v="430"/>
    <s v="办公用品"/>
    <s v="华东"/>
  </r>
  <r>
    <s v="CN-2125-5821791"/>
    <x v="76"/>
    <d v="2022-04-29T10:50:29"/>
    <x v="1"/>
    <x v="23"/>
    <x v="7"/>
    <n v="85"/>
    <x v="0"/>
    <n v="170"/>
    <s v="办公用品"/>
    <s v="西北"/>
  </r>
  <r>
    <s v="CN-2125-5821791"/>
    <x v="77"/>
    <d v="2022-04-29T23:58:44"/>
    <x v="1"/>
    <x v="23"/>
    <x v="11"/>
    <n v="41"/>
    <x v="2"/>
    <n v="123"/>
    <s v="办公用品"/>
    <s v="西北"/>
  </r>
  <r>
    <s v="CN-2125-5821791"/>
    <x v="78"/>
    <d v="2022-04-29T05:09:41"/>
    <x v="1"/>
    <x v="23"/>
    <x v="11"/>
    <n v="18"/>
    <x v="0"/>
    <n v="36"/>
    <s v="办公用品"/>
    <s v="西北"/>
  </r>
  <r>
    <s v="CN-2569-4126497"/>
    <x v="79"/>
    <d v="2023-07-18T06:24:08"/>
    <x v="0"/>
    <x v="18"/>
    <x v="11"/>
    <n v="26"/>
    <x v="9"/>
    <n v="364"/>
    <s v="办公用品"/>
    <s v="华东"/>
  </r>
  <r>
    <s v="CN-2569-4126497"/>
    <x v="80"/>
    <d v="2023-07-18T12:19:07"/>
    <x v="0"/>
    <x v="18"/>
    <x v="0"/>
    <n v="75"/>
    <x v="0"/>
    <n v="150"/>
    <s v="办公用品"/>
    <s v="华东"/>
  </r>
  <r>
    <s v="CN-2719-1751343"/>
    <x v="81"/>
    <d v="2023-12-10T18:29:15"/>
    <x v="1"/>
    <x v="23"/>
    <x v="8"/>
    <n v="56"/>
    <x v="0"/>
    <n v="112"/>
    <s v="技术"/>
    <s v="西北"/>
  </r>
  <r>
    <s v="US-2368-1803838"/>
    <x v="82"/>
    <d v="2022-12-29T05:39:49"/>
    <x v="2"/>
    <x v="34"/>
    <x v="8"/>
    <n v="16"/>
    <x v="0"/>
    <n v="32"/>
    <s v="技术"/>
    <s v="东北"/>
  </r>
  <r>
    <s v="US-2368-1803838"/>
    <x v="83"/>
    <d v="2022-12-29T11:47:08"/>
    <x v="2"/>
    <x v="34"/>
    <x v="11"/>
    <n v="80"/>
    <x v="2"/>
    <n v="240"/>
    <s v="办公用品"/>
    <s v="东北"/>
  </r>
  <r>
    <s v="CN-1920-4861225"/>
    <x v="84"/>
    <d v="2023-10-08T12:25:44"/>
    <x v="1"/>
    <x v="9"/>
    <x v="1"/>
    <n v="15"/>
    <x v="5"/>
    <n v="105"/>
    <s v="办公用品"/>
    <s v="华东"/>
  </r>
  <r>
    <s v="CN-1920-4861225"/>
    <x v="85"/>
    <d v="2023-10-08T16:49:45"/>
    <x v="1"/>
    <x v="9"/>
    <x v="13"/>
    <n v="12"/>
    <x v="4"/>
    <n v="60"/>
    <s v="家具"/>
    <s v="华东"/>
  </r>
  <r>
    <s v="CN-3013-3172853"/>
    <x v="86"/>
    <d v="2021-10-05T15:56:38"/>
    <x v="0"/>
    <x v="35"/>
    <x v="11"/>
    <n v="32"/>
    <x v="7"/>
    <n v="192"/>
    <s v="办公用品"/>
    <s v="西北"/>
  </r>
  <r>
    <s v="CN-2706-5552260"/>
    <x v="87"/>
    <d v="2023-11-27T09:30:11"/>
    <x v="1"/>
    <x v="36"/>
    <x v="13"/>
    <n v="86"/>
    <x v="7"/>
    <n v="516"/>
    <s v="家具"/>
    <s v="西南"/>
  </r>
  <r>
    <s v="US-2116-1357144"/>
    <x v="88"/>
    <d v="2022-04-20T21:43:59"/>
    <x v="1"/>
    <x v="37"/>
    <x v="10"/>
    <n v="38"/>
    <x v="1"/>
    <n v="152"/>
    <s v="技术"/>
    <s v="中南"/>
  </r>
  <r>
    <s v="CN-2089-5926511"/>
    <x v="89"/>
    <d v="2022-03-25T18:54:33"/>
    <x v="1"/>
    <x v="38"/>
    <x v="2"/>
    <n v="36"/>
    <x v="0"/>
    <n v="72"/>
    <s v="办公用品"/>
    <s v="西北"/>
  </r>
  <r>
    <s v="CN-2089-5926511"/>
    <x v="90"/>
    <d v="2022-03-25T05:23:41"/>
    <x v="1"/>
    <x v="38"/>
    <x v="14"/>
    <n v="89"/>
    <x v="2"/>
    <n v="267"/>
    <s v="办公用品"/>
    <s v="西北"/>
  </r>
  <r>
    <s v="CN-2089-5926511"/>
    <x v="91"/>
    <d v="2022-03-25T03:01:12"/>
    <x v="1"/>
    <x v="38"/>
    <x v="14"/>
    <n v="64"/>
    <x v="0"/>
    <n v="128"/>
    <s v="办公用品"/>
    <s v="西北"/>
  </r>
  <r>
    <s v="CN-2089-5926511"/>
    <x v="92"/>
    <d v="2022-03-25T02:31:24"/>
    <x v="1"/>
    <x v="38"/>
    <x v="14"/>
    <n v="94"/>
    <x v="0"/>
    <n v="188"/>
    <s v="办公用品"/>
    <s v="西北"/>
  </r>
  <r>
    <s v="US-3006-4733722"/>
    <x v="93"/>
    <d v="2021-09-26T05:30:24"/>
    <x v="1"/>
    <x v="39"/>
    <x v="0"/>
    <n v="60"/>
    <x v="2"/>
    <n v="180"/>
    <s v="办公用品"/>
    <s v="华东"/>
  </r>
  <r>
    <s v="US-3006-4733722"/>
    <x v="94"/>
    <d v="2021-09-26T10:06:25"/>
    <x v="1"/>
    <x v="39"/>
    <x v="5"/>
    <n v="11"/>
    <x v="4"/>
    <n v="55"/>
    <s v="家具"/>
    <s v="华东"/>
  </r>
  <r>
    <s v="US-3006-4733722"/>
    <x v="95"/>
    <d v="2021-09-26T02:14:14"/>
    <x v="1"/>
    <x v="39"/>
    <x v="7"/>
    <n v="75"/>
    <x v="4"/>
    <n v="375"/>
    <s v="办公用品"/>
    <s v="华东"/>
  </r>
  <r>
    <s v="US-3006-4733722"/>
    <x v="96"/>
    <d v="2021-09-26T01:50:00"/>
    <x v="1"/>
    <x v="39"/>
    <x v="1"/>
    <n v="38"/>
    <x v="2"/>
    <n v="114"/>
    <s v="办公用品"/>
    <s v="华东"/>
  </r>
  <r>
    <s v="US-3006-4733722"/>
    <x v="97"/>
    <d v="2021-09-26T06:20:46"/>
    <x v="1"/>
    <x v="39"/>
    <x v="15"/>
    <n v="65"/>
    <x v="0"/>
    <n v="130"/>
    <s v="办公用品"/>
    <s v="华东"/>
  </r>
  <r>
    <s v="CN-3179-5834341"/>
    <x v="98"/>
    <d v="2022-03-19T14:57:44"/>
    <x v="0"/>
    <x v="40"/>
    <x v="4"/>
    <n v="70"/>
    <x v="1"/>
    <n v="280"/>
    <s v="技术"/>
    <s v="中南"/>
  </r>
  <r>
    <s v="CN-2158-1973789"/>
    <x v="99"/>
    <d v="2022-05-31T10:08:35"/>
    <x v="1"/>
    <x v="41"/>
    <x v="0"/>
    <n v="49"/>
    <x v="2"/>
    <n v="147"/>
    <s v="办公用品"/>
    <s v="华东"/>
  </r>
  <r>
    <s v="CN-2158-1973789"/>
    <x v="100"/>
    <d v="2022-05-31T18:24:20"/>
    <x v="1"/>
    <x v="41"/>
    <x v="3"/>
    <n v="73"/>
    <x v="1"/>
    <n v="292"/>
    <s v="办公用品"/>
    <s v="华东"/>
  </r>
  <r>
    <s v="CN-3183-3766882"/>
    <x v="101"/>
    <d v="2022-03-23T07:53:07"/>
    <x v="2"/>
    <x v="42"/>
    <x v="0"/>
    <n v="64"/>
    <x v="0"/>
    <n v="128"/>
    <s v="办公用品"/>
    <s v="华北"/>
  </r>
  <r>
    <s v="CN-3161-3665640"/>
    <x v="102"/>
    <d v="2022-03-02T16:09:38"/>
    <x v="2"/>
    <x v="42"/>
    <x v="2"/>
    <n v="67"/>
    <x v="2"/>
    <n v="201"/>
    <s v="办公用品"/>
    <s v="华北"/>
  </r>
  <r>
    <s v="CN-3161-3665640"/>
    <x v="103"/>
    <d v="2022-03-02T19:04:41"/>
    <x v="2"/>
    <x v="42"/>
    <x v="13"/>
    <n v="70"/>
    <x v="3"/>
    <n v="630"/>
    <s v="家具"/>
    <s v="华北"/>
  </r>
  <r>
    <s v="CN-3161-3665640"/>
    <x v="104"/>
    <d v="2022-03-02T03:54:21"/>
    <x v="2"/>
    <x v="42"/>
    <x v="5"/>
    <n v="67"/>
    <x v="6"/>
    <n v="67"/>
    <s v="家具"/>
    <s v="华北"/>
  </r>
  <r>
    <s v="CN-2417-5378913"/>
    <x v="105"/>
    <d v="2023-02-13T12:13:26"/>
    <x v="2"/>
    <x v="43"/>
    <x v="5"/>
    <n v="16"/>
    <x v="5"/>
    <n v="112"/>
    <s v="家具"/>
    <s v="东北"/>
  </r>
  <r>
    <s v="CN-2417-5378913"/>
    <x v="106"/>
    <d v="2023-02-13T04:48:03"/>
    <x v="2"/>
    <x v="43"/>
    <x v="9"/>
    <n v="85"/>
    <x v="1"/>
    <n v="340"/>
    <s v="技术"/>
    <s v="东北"/>
  </r>
  <r>
    <s v="CN-2789-2045726"/>
    <x v="107"/>
    <d v="2021-02-19T21:00:03"/>
    <x v="0"/>
    <x v="8"/>
    <x v="0"/>
    <n v="27"/>
    <x v="4"/>
    <n v="135"/>
    <s v="办公用品"/>
    <s v="华东"/>
  </r>
  <r>
    <s v="CN-2789-2045726"/>
    <x v="108"/>
    <d v="2021-02-19T18:35:56"/>
    <x v="0"/>
    <x v="8"/>
    <x v="8"/>
    <n v="92"/>
    <x v="7"/>
    <n v="552"/>
    <s v="技术"/>
    <s v="华东"/>
  </r>
  <r>
    <s v="CN-3120-2328434"/>
    <x v="109"/>
    <d v="2022-01-18T02:15:04"/>
    <x v="1"/>
    <x v="44"/>
    <x v="6"/>
    <n v="36"/>
    <x v="2"/>
    <n v="108"/>
    <s v="办公用品"/>
    <s v="华东"/>
  </r>
  <r>
    <s v="CN-2716-3984376"/>
    <x v="110"/>
    <d v="2023-12-09T00:52:02"/>
    <x v="0"/>
    <x v="31"/>
    <x v="2"/>
    <n v="25"/>
    <x v="2"/>
    <n v="75"/>
    <s v="办公用品"/>
    <s v="华北"/>
  </r>
  <r>
    <s v="CN-2892-5057492"/>
    <x v="111"/>
    <d v="2021-06-06T10:23:06"/>
    <x v="1"/>
    <x v="45"/>
    <x v="3"/>
    <n v="47"/>
    <x v="6"/>
    <n v="47"/>
    <s v="办公用品"/>
    <s v="中南"/>
  </r>
  <r>
    <s v="CN-3005-1118317"/>
    <x v="112"/>
    <d v="2021-09-27T22:14:47"/>
    <x v="1"/>
    <x v="46"/>
    <x v="10"/>
    <n v="70"/>
    <x v="2"/>
    <n v="210"/>
    <s v="技术"/>
    <s v="东北"/>
  </r>
  <r>
    <s v="CN-2672-1498643"/>
    <x v="113"/>
    <d v="2023-10-24T17:18:25"/>
    <x v="1"/>
    <x v="47"/>
    <x v="9"/>
    <n v="21"/>
    <x v="0"/>
    <n v="42"/>
    <s v="技术"/>
    <s v="华东"/>
  </r>
  <r>
    <s v="CN-2672-1498643"/>
    <x v="114"/>
    <d v="2023-10-24T04:07:52"/>
    <x v="1"/>
    <x v="47"/>
    <x v="0"/>
    <n v="93"/>
    <x v="4"/>
    <n v="465"/>
    <s v="办公用品"/>
    <s v="华东"/>
  </r>
  <r>
    <s v="US-2916-4595101"/>
    <x v="115"/>
    <d v="2021-06-28T22:46:41"/>
    <x v="0"/>
    <x v="48"/>
    <x v="15"/>
    <n v="32"/>
    <x v="7"/>
    <n v="192"/>
    <s v="办公用品"/>
    <s v="华东"/>
  </r>
  <r>
    <s v="US-2916-4595101"/>
    <x v="116"/>
    <d v="2021-06-28T00:34:14"/>
    <x v="0"/>
    <x v="48"/>
    <x v="2"/>
    <n v="10"/>
    <x v="2"/>
    <n v="30"/>
    <s v="办公用品"/>
    <s v="华东"/>
  </r>
  <r>
    <s v="CN-2415-3269021"/>
    <x v="117"/>
    <d v="2023-02-09T19:30:15"/>
    <x v="1"/>
    <x v="2"/>
    <x v="1"/>
    <n v="78"/>
    <x v="7"/>
    <n v="468"/>
    <s v="办公用品"/>
    <s v="华东"/>
  </r>
  <r>
    <s v="CN-2415-3269021"/>
    <x v="118"/>
    <d v="2023-02-09T23:12:09"/>
    <x v="1"/>
    <x v="2"/>
    <x v="4"/>
    <n v="65"/>
    <x v="6"/>
    <n v="65"/>
    <s v="技术"/>
    <s v="华东"/>
  </r>
  <r>
    <s v="CN-2415-3269021"/>
    <x v="119"/>
    <d v="2023-02-09T15:48:56"/>
    <x v="1"/>
    <x v="2"/>
    <x v="1"/>
    <n v="48"/>
    <x v="0"/>
    <n v="96"/>
    <s v="办公用品"/>
    <s v="华东"/>
  </r>
  <r>
    <s v="CN-2415-3269021"/>
    <x v="120"/>
    <d v="2023-02-09T03:34:07"/>
    <x v="1"/>
    <x v="2"/>
    <x v="9"/>
    <n v="75"/>
    <x v="1"/>
    <n v="300"/>
    <s v="技术"/>
    <s v="华东"/>
  </r>
  <r>
    <s v="CN-2415-3269021"/>
    <x v="121"/>
    <d v="2023-02-09T22:50:32"/>
    <x v="1"/>
    <x v="2"/>
    <x v="10"/>
    <n v="73"/>
    <x v="5"/>
    <n v="511"/>
    <s v="技术"/>
    <s v="华东"/>
  </r>
  <r>
    <s v="CN-2415-3269021"/>
    <x v="122"/>
    <d v="2023-02-09T17:34:01"/>
    <x v="1"/>
    <x v="2"/>
    <x v="14"/>
    <n v="34"/>
    <x v="2"/>
    <n v="102"/>
    <s v="办公用品"/>
    <s v="华东"/>
  </r>
  <r>
    <s v="CN-2415-3269021"/>
    <x v="123"/>
    <d v="2023-02-09T12:43:42"/>
    <x v="1"/>
    <x v="2"/>
    <x v="1"/>
    <n v="11"/>
    <x v="1"/>
    <n v="44"/>
    <s v="办公用品"/>
    <s v="华东"/>
  </r>
  <r>
    <s v="CN-2415-3269021"/>
    <x v="124"/>
    <d v="2023-02-09T11:43:44"/>
    <x v="1"/>
    <x v="2"/>
    <x v="0"/>
    <n v="55"/>
    <x v="0"/>
    <n v="110"/>
    <s v="办公用品"/>
    <s v="华东"/>
  </r>
  <r>
    <s v="CN-2179-2594036"/>
    <x v="125"/>
    <d v="2022-06-24T20:11:29"/>
    <x v="1"/>
    <x v="0"/>
    <x v="5"/>
    <n v="44"/>
    <x v="0"/>
    <n v="88"/>
    <s v="家具"/>
    <s v="华东"/>
  </r>
  <r>
    <s v="US-2126-3737485"/>
    <x v="126"/>
    <d v="2022-04-28T04:02:49"/>
    <x v="0"/>
    <x v="0"/>
    <x v="9"/>
    <n v="13"/>
    <x v="4"/>
    <n v="65"/>
    <s v="技术"/>
    <s v="华东"/>
  </r>
  <r>
    <s v="CN-2557-3815654"/>
    <x v="127"/>
    <d v="2023-07-06T13:42:04"/>
    <x v="0"/>
    <x v="49"/>
    <x v="8"/>
    <n v="14"/>
    <x v="4"/>
    <n v="70"/>
    <s v="技术"/>
    <s v="中南"/>
  </r>
  <r>
    <s v="US-3119-2352370"/>
    <x v="128"/>
    <d v="2022-01-20T14:35:01"/>
    <x v="1"/>
    <x v="21"/>
    <x v="9"/>
    <n v="93"/>
    <x v="7"/>
    <n v="558"/>
    <s v="技术"/>
    <s v="东北"/>
  </r>
  <r>
    <s v="US-3119-2352370"/>
    <x v="129"/>
    <d v="2022-01-20T01:40:15"/>
    <x v="1"/>
    <x v="21"/>
    <x v="2"/>
    <n v="72"/>
    <x v="10"/>
    <n v="792"/>
    <s v="办公用品"/>
    <s v="东北"/>
  </r>
  <r>
    <s v="CN-2332-2554132"/>
    <x v="130"/>
    <d v="2022-11-18T17:22:00"/>
    <x v="2"/>
    <x v="50"/>
    <x v="11"/>
    <n v="14"/>
    <x v="3"/>
    <n v="126"/>
    <s v="办公用品"/>
    <s v="中南"/>
  </r>
  <r>
    <s v="CN-2815-4214287"/>
    <x v="131"/>
    <d v="2021-03-21T12:09:53"/>
    <x v="1"/>
    <x v="32"/>
    <x v="11"/>
    <n v="61"/>
    <x v="1"/>
    <n v="244"/>
    <s v="办公用品"/>
    <s v="西南"/>
  </r>
  <r>
    <s v="CN-2815-4214287"/>
    <x v="132"/>
    <d v="2021-03-21T09:49:36"/>
    <x v="1"/>
    <x v="32"/>
    <x v="2"/>
    <n v="46"/>
    <x v="1"/>
    <n v="184"/>
    <s v="办公用品"/>
    <s v="西南"/>
  </r>
  <r>
    <s v="US-2881-4736051"/>
    <x v="133"/>
    <d v="2021-05-26T20:58:51"/>
    <x v="1"/>
    <x v="51"/>
    <x v="2"/>
    <n v="40"/>
    <x v="1"/>
    <n v="160"/>
    <s v="办公用品"/>
    <s v="西北"/>
  </r>
  <r>
    <s v="CN-2412-2084652"/>
    <x v="134"/>
    <d v="2023-02-12T15:18:50"/>
    <x v="1"/>
    <x v="52"/>
    <x v="5"/>
    <n v="36"/>
    <x v="4"/>
    <n v="180"/>
    <s v="家具"/>
    <s v="华东"/>
  </r>
  <r>
    <s v="CN-2412-2084652"/>
    <x v="135"/>
    <d v="2023-02-12T08:02:51"/>
    <x v="1"/>
    <x v="52"/>
    <x v="13"/>
    <n v="94"/>
    <x v="2"/>
    <n v="282"/>
    <s v="家具"/>
    <s v="华东"/>
  </r>
  <r>
    <s v="CN-2412-2084652"/>
    <x v="136"/>
    <d v="2023-02-12T04:57:55"/>
    <x v="1"/>
    <x v="52"/>
    <x v="11"/>
    <n v="51"/>
    <x v="0"/>
    <n v="102"/>
    <s v="办公用品"/>
    <s v="华东"/>
  </r>
  <r>
    <s v="US-2180-1904299"/>
    <x v="137"/>
    <d v="2022-06-25T19:30:38"/>
    <x v="2"/>
    <x v="53"/>
    <x v="7"/>
    <n v="59"/>
    <x v="0"/>
    <n v="118"/>
    <s v="办公用品"/>
    <s v="华东"/>
  </r>
  <r>
    <s v="CN-2964-3211633"/>
    <x v="138"/>
    <d v="2021-08-13T04:57:46"/>
    <x v="0"/>
    <x v="54"/>
    <x v="12"/>
    <n v="19"/>
    <x v="0"/>
    <n v="38"/>
    <s v="家具"/>
    <s v="中南"/>
  </r>
  <r>
    <s v="CN-2964-3211633"/>
    <x v="139"/>
    <d v="2021-08-13T06:24:39"/>
    <x v="0"/>
    <x v="54"/>
    <x v="3"/>
    <n v="82"/>
    <x v="2"/>
    <n v="246"/>
    <s v="办公用品"/>
    <s v="中南"/>
  </r>
  <r>
    <s v="CN-2605-3988119"/>
    <x v="140"/>
    <d v="2023-08-22T17:35:28"/>
    <x v="0"/>
    <x v="55"/>
    <x v="1"/>
    <n v="30"/>
    <x v="8"/>
    <n v="240"/>
    <s v="办公用品"/>
    <s v="西南"/>
  </r>
  <r>
    <s v="CN-3203-3232413"/>
    <x v="141"/>
    <d v="2022-04-08T17:10:29"/>
    <x v="1"/>
    <x v="56"/>
    <x v="5"/>
    <n v="65"/>
    <x v="0"/>
    <n v="130"/>
    <s v="家具"/>
    <s v="东北"/>
  </r>
  <r>
    <s v="CN-3203-3232413"/>
    <x v="142"/>
    <d v="2022-04-08T15:52:46"/>
    <x v="1"/>
    <x v="56"/>
    <x v="14"/>
    <n v="13"/>
    <x v="2"/>
    <n v="39"/>
    <s v="办公用品"/>
    <s v="东北"/>
  </r>
  <r>
    <s v="CN-3203-3232413"/>
    <x v="143"/>
    <d v="2022-04-08T07:09:03"/>
    <x v="1"/>
    <x v="56"/>
    <x v="6"/>
    <n v="15"/>
    <x v="2"/>
    <n v="45"/>
    <s v="办公用品"/>
    <s v="东北"/>
  </r>
  <r>
    <s v="CN-3070-4680780"/>
    <x v="144"/>
    <d v="2021-12-03T11:29:50"/>
    <x v="1"/>
    <x v="57"/>
    <x v="11"/>
    <n v="99"/>
    <x v="2"/>
    <n v="297"/>
    <s v="办公用品"/>
    <s v="华东"/>
  </r>
  <r>
    <s v="CN-2807-1190387"/>
    <x v="145"/>
    <d v="2021-03-11T16:58:11"/>
    <x v="1"/>
    <x v="17"/>
    <x v="8"/>
    <n v="71"/>
    <x v="6"/>
    <n v="71"/>
    <s v="技术"/>
    <s v="东北"/>
  </r>
  <r>
    <s v="CN-2794-3230180"/>
    <x v="146"/>
    <d v="2021-03-01T21:16:12"/>
    <x v="1"/>
    <x v="58"/>
    <x v="0"/>
    <n v="76"/>
    <x v="0"/>
    <n v="152"/>
    <s v="办公用品"/>
    <s v="西南"/>
  </r>
  <r>
    <s v="CN-2794-3230180"/>
    <x v="147"/>
    <d v="2021-03-01T12:17:42"/>
    <x v="1"/>
    <x v="58"/>
    <x v="13"/>
    <n v="75"/>
    <x v="4"/>
    <n v="375"/>
    <s v="家具"/>
    <s v="西南"/>
  </r>
  <r>
    <s v="CN-2794-3230180"/>
    <x v="148"/>
    <d v="2021-03-01T19:27:54"/>
    <x v="1"/>
    <x v="58"/>
    <x v="1"/>
    <n v="94"/>
    <x v="6"/>
    <n v="94"/>
    <s v="办公用品"/>
    <s v="西南"/>
  </r>
  <r>
    <s v="CN-2422-5873075"/>
    <x v="149"/>
    <d v="2023-02-21T19:42:16"/>
    <x v="0"/>
    <x v="17"/>
    <x v="3"/>
    <n v="34"/>
    <x v="10"/>
    <n v="374"/>
    <s v="办公用品"/>
    <s v="东北"/>
  </r>
  <r>
    <s v="CN-2760-4544243"/>
    <x v="150"/>
    <d v="2021-01-22T10:24:01"/>
    <x v="1"/>
    <x v="59"/>
    <x v="1"/>
    <n v="47"/>
    <x v="0"/>
    <n v="94"/>
    <s v="办公用品"/>
    <s v="中南"/>
  </r>
  <r>
    <s v="CN-2760-4544243"/>
    <x v="151"/>
    <d v="2021-01-22T13:52:41"/>
    <x v="1"/>
    <x v="59"/>
    <x v="5"/>
    <n v="49"/>
    <x v="6"/>
    <n v="49"/>
    <s v="家具"/>
    <s v="中南"/>
  </r>
  <r>
    <s v="CN-2473-5173564"/>
    <x v="152"/>
    <d v="2023-04-13T03:47:08"/>
    <x v="0"/>
    <x v="60"/>
    <x v="15"/>
    <n v="42"/>
    <x v="1"/>
    <n v="168"/>
    <s v="办公用品"/>
    <s v="东北"/>
  </r>
  <r>
    <s v="CN-2991-4862116"/>
    <x v="153"/>
    <d v="2021-09-13T18:26:13"/>
    <x v="0"/>
    <x v="42"/>
    <x v="0"/>
    <n v="79"/>
    <x v="2"/>
    <n v="237"/>
    <s v="办公用品"/>
    <s v="华北"/>
  </r>
  <r>
    <s v="US-2621-2560726"/>
    <x v="154"/>
    <d v="2023-09-08T11:50:07"/>
    <x v="1"/>
    <x v="61"/>
    <x v="10"/>
    <n v="67"/>
    <x v="7"/>
    <n v="402"/>
    <s v="技术"/>
    <s v="华东"/>
  </r>
  <r>
    <s v="CN-3167-4950934"/>
    <x v="155"/>
    <d v="2022-03-08T14:53:48"/>
    <x v="1"/>
    <x v="62"/>
    <x v="13"/>
    <n v="81"/>
    <x v="2"/>
    <n v="243"/>
    <s v="家具"/>
    <s v="东北"/>
  </r>
  <r>
    <s v="CN-3167-4950934"/>
    <x v="156"/>
    <d v="2022-03-08T22:20:30"/>
    <x v="1"/>
    <x v="62"/>
    <x v="7"/>
    <n v="99"/>
    <x v="0"/>
    <n v="198"/>
    <s v="办公用品"/>
    <s v="东北"/>
  </r>
  <r>
    <s v="CN-2999-2866628"/>
    <x v="157"/>
    <d v="2021-09-22T08:00:50"/>
    <x v="1"/>
    <x v="63"/>
    <x v="10"/>
    <n v="16"/>
    <x v="4"/>
    <n v="80"/>
    <s v="技术"/>
    <s v="西南"/>
  </r>
  <r>
    <s v="CN-2999-2866628"/>
    <x v="158"/>
    <d v="2021-09-22T15:59:58"/>
    <x v="1"/>
    <x v="63"/>
    <x v="14"/>
    <n v="80"/>
    <x v="4"/>
    <n v="400"/>
    <s v="办公用品"/>
    <s v="西南"/>
  </r>
  <r>
    <s v="CN-2999-2866628"/>
    <x v="159"/>
    <d v="2021-09-22T19:49:51"/>
    <x v="1"/>
    <x v="63"/>
    <x v="9"/>
    <n v="42"/>
    <x v="0"/>
    <n v="84"/>
    <s v="技术"/>
    <s v="西南"/>
  </r>
  <r>
    <s v="CN-2274-2810282"/>
    <x v="160"/>
    <d v="2022-09-25T14:54:48"/>
    <x v="2"/>
    <x v="64"/>
    <x v="8"/>
    <n v="88"/>
    <x v="0"/>
    <n v="176"/>
    <s v="技术"/>
    <s v="华东"/>
  </r>
  <r>
    <s v="CN-2996-3381572"/>
    <x v="161"/>
    <d v="2021-09-13T02:28:40"/>
    <x v="1"/>
    <x v="65"/>
    <x v="7"/>
    <n v="53"/>
    <x v="6"/>
    <n v="53"/>
    <s v="办公用品"/>
    <s v="东北"/>
  </r>
  <r>
    <s v="CN-2996-3381572"/>
    <x v="162"/>
    <d v="2021-09-13T10:21:58"/>
    <x v="1"/>
    <x v="65"/>
    <x v="6"/>
    <n v="57"/>
    <x v="4"/>
    <n v="285"/>
    <s v="办公用品"/>
    <s v="东北"/>
  </r>
  <r>
    <s v="CN-2996-3381572"/>
    <x v="163"/>
    <d v="2021-09-13T04:24:37"/>
    <x v="1"/>
    <x v="65"/>
    <x v="3"/>
    <n v="24"/>
    <x v="0"/>
    <n v="48"/>
    <s v="办公用品"/>
    <s v="东北"/>
  </r>
  <r>
    <s v="CN-2996-3381572"/>
    <x v="164"/>
    <d v="2021-09-13T03:57:46"/>
    <x v="1"/>
    <x v="65"/>
    <x v="14"/>
    <n v="68"/>
    <x v="4"/>
    <n v="340"/>
    <s v="办公用品"/>
    <s v="东北"/>
  </r>
  <r>
    <s v="CN-2996-3381572"/>
    <x v="165"/>
    <d v="2021-09-13T10:56:14"/>
    <x v="1"/>
    <x v="65"/>
    <x v="3"/>
    <n v="64"/>
    <x v="4"/>
    <n v="320"/>
    <s v="办公用品"/>
    <s v="东北"/>
  </r>
  <r>
    <s v="CN-2996-3381572"/>
    <x v="166"/>
    <d v="2021-09-13T01:13:50"/>
    <x v="1"/>
    <x v="65"/>
    <x v="4"/>
    <n v="99"/>
    <x v="2"/>
    <n v="297"/>
    <s v="技术"/>
    <s v="东北"/>
  </r>
  <r>
    <s v="CN-2996-3381572"/>
    <x v="167"/>
    <d v="2021-09-13T08:29:19"/>
    <x v="1"/>
    <x v="65"/>
    <x v="10"/>
    <n v="22"/>
    <x v="0"/>
    <n v="44"/>
    <s v="技术"/>
    <s v="东北"/>
  </r>
  <r>
    <s v="CN-2996-3381572"/>
    <x v="168"/>
    <d v="2021-09-13T11:54:39"/>
    <x v="1"/>
    <x v="65"/>
    <x v="13"/>
    <n v="81"/>
    <x v="1"/>
    <n v="324"/>
    <s v="家具"/>
    <s v="东北"/>
  </r>
  <r>
    <s v="CN-2996-3381572"/>
    <x v="169"/>
    <d v="2021-09-13T03:00:25"/>
    <x v="1"/>
    <x v="65"/>
    <x v="5"/>
    <n v="41"/>
    <x v="2"/>
    <n v="123"/>
    <s v="家具"/>
    <s v="东北"/>
  </r>
  <r>
    <s v="CN-2996-3381572"/>
    <x v="170"/>
    <d v="2021-09-13T11:58:14"/>
    <x v="1"/>
    <x v="65"/>
    <x v="2"/>
    <n v="87"/>
    <x v="0"/>
    <n v="174"/>
    <s v="办公用品"/>
    <s v="东北"/>
  </r>
  <r>
    <s v="CN-2802-2491194"/>
    <x v="171"/>
    <d v="2021-03-08T12:46:28"/>
    <x v="0"/>
    <x v="66"/>
    <x v="15"/>
    <n v="11"/>
    <x v="2"/>
    <n v="33"/>
    <s v="办公用品"/>
    <s v="东北"/>
  </r>
  <r>
    <s v="CN-2215-5591357"/>
    <x v="172"/>
    <d v="2022-07-27T20:44:45"/>
    <x v="0"/>
    <x v="23"/>
    <x v="8"/>
    <n v="52"/>
    <x v="2"/>
    <n v="156"/>
    <s v="技术"/>
    <s v="西北"/>
  </r>
  <r>
    <s v="CN-2906-5816959"/>
    <x v="173"/>
    <d v="2021-06-20T08:41:43"/>
    <x v="0"/>
    <x v="67"/>
    <x v="11"/>
    <n v="69"/>
    <x v="6"/>
    <n v="69"/>
    <s v="办公用品"/>
    <s v="西南"/>
  </r>
  <r>
    <s v="CN-2906-5816959"/>
    <x v="174"/>
    <d v="2021-06-20T15:58:16"/>
    <x v="0"/>
    <x v="67"/>
    <x v="1"/>
    <n v="54"/>
    <x v="2"/>
    <n v="162"/>
    <s v="办公用品"/>
    <s v="西南"/>
  </r>
  <r>
    <s v="CN-2906-5816959"/>
    <x v="175"/>
    <d v="2021-06-20T12:56:04"/>
    <x v="0"/>
    <x v="67"/>
    <x v="2"/>
    <n v="21"/>
    <x v="8"/>
    <n v="168"/>
    <s v="办公用品"/>
    <s v="西南"/>
  </r>
  <r>
    <s v="CN-2557-1122727"/>
    <x v="176"/>
    <d v="2023-07-05T14:44:38"/>
    <x v="0"/>
    <x v="68"/>
    <x v="16"/>
    <n v="93"/>
    <x v="4"/>
    <n v="465"/>
    <s v="家具"/>
    <s v="华北"/>
  </r>
  <r>
    <s v="CN-2993-3122639"/>
    <x v="177"/>
    <d v="2021-09-13T10:58:25"/>
    <x v="0"/>
    <x v="69"/>
    <x v="9"/>
    <n v="47"/>
    <x v="2"/>
    <n v="141"/>
    <s v="技术"/>
    <s v="中南"/>
  </r>
  <r>
    <s v="CN-2993-3122639"/>
    <x v="178"/>
    <d v="2021-09-13T01:53:03"/>
    <x v="0"/>
    <x v="69"/>
    <x v="16"/>
    <n v="70"/>
    <x v="1"/>
    <n v="280"/>
    <s v="家具"/>
    <s v="中南"/>
  </r>
  <r>
    <s v="CN-2729-2866628"/>
    <x v="179"/>
    <d v="2023-12-24T00:11:53"/>
    <x v="1"/>
    <x v="0"/>
    <x v="14"/>
    <n v="69"/>
    <x v="4"/>
    <n v="345"/>
    <s v="办公用品"/>
    <s v="华东"/>
  </r>
  <r>
    <s v="CN-2641-2062805"/>
    <x v="180"/>
    <d v="2023-09-27T09:59:58"/>
    <x v="2"/>
    <x v="18"/>
    <x v="4"/>
    <n v="28"/>
    <x v="0"/>
    <n v="56"/>
    <s v="技术"/>
    <s v="华东"/>
  </r>
  <r>
    <s v="US-3119-5448418"/>
    <x v="181"/>
    <d v="2022-01-19T15:08:16"/>
    <x v="0"/>
    <x v="70"/>
    <x v="3"/>
    <n v="96"/>
    <x v="4"/>
    <n v="480"/>
    <s v="办公用品"/>
    <s v="东北"/>
  </r>
  <r>
    <s v="US-3119-5448418"/>
    <x v="182"/>
    <d v="2022-01-19T12:56:28"/>
    <x v="0"/>
    <x v="70"/>
    <x v="10"/>
    <n v="55"/>
    <x v="2"/>
    <n v="165"/>
    <s v="技术"/>
    <s v="东北"/>
  </r>
  <r>
    <s v="CN-3035-3022026"/>
    <x v="183"/>
    <d v="2021-10-26T14:32:50"/>
    <x v="1"/>
    <x v="71"/>
    <x v="7"/>
    <n v="10"/>
    <x v="2"/>
    <n v="30"/>
    <s v="办公用品"/>
    <s v="中南"/>
  </r>
  <r>
    <s v="CN-2024-1928578"/>
    <x v="184"/>
    <d v="2022-01-16T22:27:20"/>
    <x v="1"/>
    <x v="15"/>
    <x v="1"/>
    <n v="31"/>
    <x v="0"/>
    <n v="62"/>
    <s v="办公用品"/>
    <s v="西北"/>
  </r>
  <r>
    <s v="CN-2024-1928578"/>
    <x v="185"/>
    <d v="2022-01-16T01:39:47"/>
    <x v="1"/>
    <x v="15"/>
    <x v="7"/>
    <n v="72"/>
    <x v="11"/>
    <n v="720"/>
    <s v="办公用品"/>
    <s v="西北"/>
  </r>
  <r>
    <s v="CN-2024-1928578"/>
    <x v="186"/>
    <d v="2022-01-16T05:08:18"/>
    <x v="1"/>
    <x v="15"/>
    <x v="2"/>
    <n v="48"/>
    <x v="2"/>
    <n v="144"/>
    <s v="办公用品"/>
    <s v="西北"/>
  </r>
  <r>
    <s v="CN-2079-2648094"/>
    <x v="187"/>
    <d v="2022-03-15T23:04:40"/>
    <x v="1"/>
    <x v="72"/>
    <x v="8"/>
    <n v="41"/>
    <x v="7"/>
    <n v="246"/>
    <s v="技术"/>
    <s v="中南"/>
  </r>
  <r>
    <s v="CN-2079-2648094"/>
    <x v="188"/>
    <d v="2022-03-15T21:43:49"/>
    <x v="1"/>
    <x v="72"/>
    <x v="10"/>
    <n v="45"/>
    <x v="1"/>
    <n v="180"/>
    <s v="技术"/>
    <s v="中南"/>
  </r>
  <r>
    <s v="CN-2266-5172330"/>
    <x v="189"/>
    <d v="2022-09-19T18:08:01"/>
    <x v="0"/>
    <x v="73"/>
    <x v="6"/>
    <n v="11"/>
    <x v="0"/>
    <n v="22"/>
    <s v="办公用品"/>
    <s v="华北"/>
  </r>
  <r>
    <s v="US-2128-1900777"/>
    <x v="190"/>
    <d v="2022-05-03T04:32:34"/>
    <x v="2"/>
    <x v="74"/>
    <x v="7"/>
    <n v="70"/>
    <x v="2"/>
    <n v="210"/>
    <s v="办公用品"/>
    <s v="华北"/>
  </r>
  <r>
    <s v="US-2128-1900777"/>
    <x v="191"/>
    <d v="2022-05-03T00:15:42"/>
    <x v="2"/>
    <x v="74"/>
    <x v="2"/>
    <n v="26"/>
    <x v="2"/>
    <n v="78"/>
    <s v="办公用品"/>
    <s v="华北"/>
  </r>
  <r>
    <s v="US-2128-1900777"/>
    <x v="192"/>
    <d v="2022-05-03T18:28:11"/>
    <x v="2"/>
    <x v="74"/>
    <x v="14"/>
    <n v="82"/>
    <x v="0"/>
    <n v="164"/>
    <s v="办公用品"/>
    <s v="华北"/>
  </r>
  <r>
    <s v="US-2128-1900777"/>
    <x v="193"/>
    <d v="2022-05-03T00:36:15"/>
    <x v="2"/>
    <x v="74"/>
    <x v="14"/>
    <n v="70"/>
    <x v="4"/>
    <n v="350"/>
    <s v="办公用品"/>
    <s v="华北"/>
  </r>
  <r>
    <s v="US-2128-1900777"/>
    <x v="194"/>
    <d v="2022-05-03T08:05:49"/>
    <x v="2"/>
    <x v="74"/>
    <x v="1"/>
    <n v="75"/>
    <x v="4"/>
    <n v="375"/>
    <s v="办公用品"/>
    <s v="华北"/>
  </r>
  <r>
    <s v="US-2128-1900777"/>
    <x v="195"/>
    <d v="2022-05-03T22:55:08"/>
    <x v="2"/>
    <x v="74"/>
    <x v="4"/>
    <n v="86"/>
    <x v="6"/>
    <n v="86"/>
    <s v="技术"/>
    <s v="华北"/>
  </r>
  <r>
    <s v="CN-2200-2831197"/>
    <x v="196"/>
    <d v="2022-07-14T12:24:41"/>
    <x v="1"/>
    <x v="6"/>
    <x v="15"/>
    <n v="10"/>
    <x v="6"/>
    <n v="10"/>
    <s v="办公用品"/>
    <s v="东北"/>
  </r>
  <r>
    <s v="CN-2200-2831197"/>
    <x v="197"/>
    <d v="2022-07-14T15:12:34"/>
    <x v="1"/>
    <x v="6"/>
    <x v="0"/>
    <n v="69"/>
    <x v="2"/>
    <n v="207"/>
    <s v="办公用品"/>
    <s v="东北"/>
  </r>
  <r>
    <s v="US-2998-3405401"/>
    <x v="198"/>
    <d v="2021-09-20T03:30:07"/>
    <x v="0"/>
    <x v="37"/>
    <x v="9"/>
    <n v="76"/>
    <x v="1"/>
    <n v="304"/>
    <s v="技术"/>
    <s v="中南"/>
  </r>
  <r>
    <s v="US-2669-3065733"/>
    <x v="199"/>
    <d v="2023-10-26T15:54:29"/>
    <x v="2"/>
    <x v="75"/>
    <x v="16"/>
    <n v="81"/>
    <x v="2"/>
    <n v="243"/>
    <s v="家具"/>
    <s v="华东"/>
  </r>
  <r>
    <s v="US-1801-3069391"/>
    <x v="200"/>
    <d v="2023-06-10T23:35:18"/>
    <x v="1"/>
    <x v="76"/>
    <x v="5"/>
    <n v="78"/>
    <x v="0"/>
    <n v="156"/>
    <s v="家具"/>
    <s v="西南"/>
  </r>
  <r>
    <s v="US-1801-3069391"/>
    <x v="201"/>
    <d v="2023-06-10T20:12:23"/>
    <x v="1"/>
    <x v="76"/>
    <x v="9"/>
    <n v="15"/>
    <x v="1"/>
    <n v="60"/>
    <s v="技术"/>
    <s v="西南"/>
  </r>
  <r>
    <s v="CN-2136-3065733"/>
    <x v="202"/>
    <d v="2022-05-11T20:22:51"/>
    <x v="1"/>
    <x v="77"/>
    <x v="11"/>
    <n v="86"/>
    <x v="1"/>
    <n v="344"/>
    <s v="办公用品"/>
    <s v="华北"/>
  </r>
  <r>
    <s v="CN-2984-1628412"/>
    <x v="203"/>
    <d v="2021-09-03T03:04:54"/>
    <x v="1"/>
    <x v="9"/>
    <x v="2"/>
    <n v="96"/>
    <x v="0"/>
    <n v="192"/>
    <s v="办公用品"/>
    <s v="华东"/>
  </r>
  <r>
    <s v="CN-3007-2828219"/>
    <x v="204"/>
    <d v="2021-09-28T13:34:59"/>
    <x v="0"/>
    <x v="78"/>
    <x v="6"/>
    <n v="16"/>
    <x v="5"/>
    <n v="112"/>
    <s v="办公用品"/>
    <s v="华北"/>
  </r>
  <r>
    <s v="CN-3007-2828219"/>
    <x v="205"/>
    <d v="2021-09-28T17:07:57"/>
    <x v="0"/>
    <x v="78"/>
    <x v="10"/>
    <n v="22"/>
    <x v="4"/>
    <n v="110"/>
    <s v="技术"/>
    <s v="华北"/>
  </r>
  <r>
    <s v="US-2832-4870971"/>
    <x v="206"/>
    <d v="2021-04-06T18:56:00"/>
    <x v="0"/>
    <x v="79"/>
    <x v="9"/>
    <n v="62"/>
    <x v="8"/>
    <n v="496"/>
    <s v="技术"/>
    <s v="中南"/>
  </r>
  <r>
    <s v="US-2832-4870971"/>
    <x v="207"/>
    <d v="2021-04-06T09:40:01"/>
    <x v="0"/>
    <x v="79"/>
    <x v="10"/>
    <n v="42"/>
    <x v="1"/>
    <n v="168"/>
    <s v="技术"/>
    <s v="中南"/>
  </r>
  <r>
    <s v="US-2219-5033587"/>
    <x v="208"/>
    <d v="2022-08-04T05:29:11"/>
    <x v="2"/>
    <x v="51"/>
    <x v="0"/>
    <n v="30"/>
    <x v="3"/>
    <n v="270"/>
    <s v="办公用品"/>
    <s v="西北"/>
  </r>
  <r>
    <s v="US-2219-5033587"/>
    <x v="209"/>
    <d v="2022-08-04T14:37:25"/>
    <x v="2"/>
    <x v="51"/>
    <x v="14"/>
    <n v="62"/>
    <x v="2"/>
    <n v="186"/>
    <s v="办公用品"/>
    <s v="西北"/>
  </r>
  <r>
    <s v="CN-2599-5339863"/>
    <x v="210"/>
    <d v="2023-08-14T08:35:53"/>
    <x v="2"/>
    <x v="80"/>
    <x v="11"/>
    <n v="58"/>
    <x v="6"/>
    <n v="58"/>
    <s v="办公用品"/>
    <s v="华东"/>
  </r>
  <r>
    <s v="CN-2599-5339863"/>
    <x v="211"/>
    <d v="2023-08-14T21:02:50"/>
    <x v="2"/>
    <x v="80"/>
    <x v="14"/>
    <n v="67"/>
    <x v="2"/>
    <n v="201"/>
    <s v="办公用品"/>
    <s v="华东"/>
  </r>
  <r>
    <s v="CN-2716-2995973"/>
    <x v="212"/>
    <d v="2023-12-09T13:11:40"/>
    <x v="0"/>
    <x v="80"/>
    <x v="2"/>
    <n v="43"/>
    <x v="4"/>
    <n v="215"/>
    <s v="办公用品"/>
    <s v="华东"/>
  </r>
  <r>
    <s v="CN-2716-2995973"/>
    <x v="213"/>
    <d v="2023-12-09T01:06:46"/>
    <x v="0"/>
    <x v="80"/>
    <x v="2"/>
    <n v="27"/>
    <x v="1"/>
    <n v="108"/>
    <s v="办公用品"/>
    <s v="华东"/>
  </r>
  <r>
    <s v="CN-2716-2995973"/>
    <x v="214"/>
    <d v="2023-12-09T15:00:26"/>
    <x v="0"/>
    <x v="80"/>
    <x v="9"/>
    <n v="17"/>
    <x v="0"/>
    <n v="34"/>
    <s v="技术"/>
    <s v="华东"/>
  </r>
  <r>
    <s v="CN-2798-3266914"/>
    <x v="215"/>
    <d v="2021-03-01T12:55:54"/>
    <x v="1"/>
    <x v="81"/>
    <x v="9"/>
    <n v="58"/>
    <x v="0"/>
    <n v="116"/>
    <s v="技术"/>
    <s v="中南"/>
  </r>
  <r>
    <s v="CN-2798-3266914"/>
    <x v="216"/>
    <d v="2021-03-01T05:22:42"/>
    <x v="1"/>
    <x v="81"/>
    <x v="0"/>
    <n v="25"/>
    <x v="0"/>
    <n v="50"/>
    <s v="办公用品"/>
    <s v="中南"/>
  </r>
  <r>
    <s v="CN-2798-3266914"/>
    <x v="217"/>
    <d v="2021-03-01T06:51:05"/>
    <x v="1"/>
    <x v="81"/>
    <x v="9"/>
    <n v="24"/>
    <x v="2"/>
    <n v="72"/>
    <s v="技术"/>
    <s v="中南"/>
  </r>
  <r>
    <s v="CN-2798-3266914"/>
    <x v="218"/>
    <d v="2021-03-01T21:51:32"/>
    <x v="1"/>
    <x v="81"/>
    <x v="11"/>
    <n v="65"/>
    <x v="5"/>
    <n v="455"/>
    <s v="办公用品"/>
    <s v="中南"/>
  </r>
  <r>
    <s v="US-1799-1255631"/>
    <x v="219"/>
    <d v="2023-06-08T05:59:15"/>
    <x v="1"/>
    <x v="82"/>
    <x v="15"/>
    <n v="54"/>
    <x v="0"/>
    <n v="108"/>
    <s v="办公用品"/>
    <s v="东北"/>
  </r>
  <r>
    <s v="US-1799-1255631"/>
    <x v="220"/>
    <d v="2023-06-08T06:38:31"/>
    <x v="1"/>
    <x v="82"/>
    <x v="0"/>
    <n v="16"/>
    <x v="1"/>
    <n v="64"/>
    <s v="办公用品"/>
    <s v="东北"/>
  </r>
  <r>
    <s v="US-1799-1255631"/>
    <x v="221"/>
    <d v="2023-06-08T02:47:31"/>
    <x v="1"/>
    <x v="82"/>
    <x v="11"/>
    <n v="61"/>
    <x v="2"/>
    <n v="183"/>
    <s v="办公用品"/>
    <s v="东北"/>
  </r>
  <r>
    <s v="US-1799-1255631"/>
    <x v="222"/>
    <d v="2023-06-08T03:56:51"/>
    <x v="1"/>
    <x v="82"/>
    <x v="9"/>
    <n v="30"/>
    <x v="4"/>
    <n v="150"/>
    <s v="技术"/>
    <s v="东北"/>
  </r>
  <r>
    <s v="US-1799-1255631"/>
    <x v="223"/>
    <d v="2023-06-08T11:38:46"/>
    <x v="1"/>
    <x v="82"/>
    <x v="2"/>
    <n v="18"/>
    <x v="2"/>
    <n v="54"/>
    <s v="办公用品"/>
    <s v="东北"/>
  </r>
  <r>
    <s v="US-1799-1255631"/>
    <x v="224"/>
    <d v="2023-06-08T15:33:56"/>
    <x v="1"/>
    <x v="82"/>
    <x v="3"/>
    <n v="94"/>
    <x v="0"/>
    <n v="188"/>
    <s v="办公用品"/>
    <s v="东北"/>
  </r>
  <r>
    <s v="US-1799-1255631"/>
    <x v="225"/>
    <d v="2023-06-08T03:33:26"/>
    <x v="1"/>
    <x v="82"/>
    <x v="5"/>
    <n v="86"/>
    <x v="1"/>
    <n v="344"/>
    <s v="家具"/>
    <s v="东北"/>
  </r>
  <r>
    <s v="US-1799-1255631"/>
    <x v="226"/>
    <d v="2023-06-08T22:44:21"/>
    <x v="1"/>
    <x v="82"/>
    <x v="9"/>
    <n v="80"/>
    <x v="1"/>
    <n v="320"/>
    <s v="技术"/>
    <s v="东北"/>
  </r>
  <r>
    <s v="CN-2812-3253076"/>
    <x v="227"/>
    <d v="2021-03-17T03:46:19"/>
    <x v="2"/>
    <x v="83"/>
    <x v="4"/>
    <n v="76"/>
    <x v="2"/>
    <n v="228"/>
    <s v="技术"/>
    <s v="中南"/>
  </r>
  <r>
    <s v="CN-2812-3253076"/>
    <x v="228"/>
    <d v="2021-03-17T08:04:46"/>
    <x v="2"/>
    <x v="83"/>
    <x v="10"/>
    <n v="99"/>
    <x v="10"/>
    <n v="1089"/>
    <s v="技术"/>
    <s v="中南"/>
  </r>
  <r>
    <s v="US-2030-5555490"/>
    <x v="229"/>
    <d v="2022-01-26T20:30:34"/>
    <x v="1"/>
    <x v="84"/>
    <x v="10"/>
    <n v="59"/>
    <x v="2"/>
    <n v="177"/>
    <s v="技术"/>
    <s v="华北"/>
  </r>
  <r>
    <s v="US-2030-5555490"/>
    <x v="230"/>
    <d v="2022-01-26T17:23:39"/>
    <x v="1"/>
    <x v="84"/>
    <x v="11"/>
    <n v="71"/>
    <x v="6"/>
    <n v="71"/>
    <s v="办公用品"/>
    <s v="华北"/>
  </r>
  <r>
    <s v="CN-3067-4159546"/>
    <x v="231"/>
    <d v="2021-11-25T19:44:22"/>
    <x v="0"/>
    <x v="32"/>
    <x v="9"/>
    <n v="13"/>
    <x v="7"/>
    <n v="78"/>
    <s v="技术"/>
    <s v="西南"/>
  </r>
  <r>
    <s v="CN-3067-4159546"/>
    <x v="232"/>
    <d v="2021-11-25T08:51:03"/>
    <x v="0"/>
    <x v="32"/>
    <x v="2"/>
    <n v="62"/>
    <x v="0"/>
    <n v="124"/>
    <s v="办公用品"/>
    <s v="西南"/>
  </r>
  <r>
    <s v="CN-3067-4159546"/>
    <x v="233"/>
    <d v="2021-11-25T21:45:57"/>
    <x v="0"/>
    <x v="32"/>
    <x v="10"/>
    <n v="47"/>
    <x v="4"/>
    <n v="235"/>
    <s v="技术"/>
    <s v="西南"/>
  </r>
  <r>
    <s v="CN-1849-3174894"/>
    <x v="234"/>
    <d v="2023-07-29T22:24:55"/>
    <x v="1"/>
    <x v="85"/>
    <x v="11"/>
    <n v="84"/>
    <x v="0"/>
    <n v="168"/>
    <s v="办公用品"/>
    <s v="西南"/>
  </r>
  <r>
    <s v="CN-2119-5340374"/>
    <x v="235"/>
    <d v="2022-04-23T14:31:35"/>
    <x v="1"/>
    <x v="86"/>
    <x v="0"/>
    <n v="20"/>
    <x v="0"/>
    <n v="40"/>
    <s v="办公用品"/>
    <s v="华北"/>
  </r>
  <r>
    <s v="CN-2818-2862015"/>
    <x v="236"/>
    <d v="2021-03-22T09:48:16"/>
    <x v="1"/>
    <x v="50"/>
    <x v="14"/>
    <n v="96"/>
    <x v="2"/>
    <n v="288"/>
    <s v="办公用品"/>
    <s v="中南"/>
  </r>
  <r>
    <s v="CN-2531-2045726"/>
    <x v="237"/>
    <d v="2023-06-10T02:52:29"/>
    <x v="0"/>
    <x v="87"/>
    <x v="12"/>
    <n v="25"/>
    <x v="0"/>
    <n v="50"/>
    <s v="家具"/>
    <s v="东北"/>
  </r>
  <r>
    <s v="CN-2814-2662386"/>
    <x v="238"/>
    <d v="2021-03-17T23:19:28"/>
    <x v="0"/>
    <x v="88"/>
    <x v="11"/>
    <n v="20"/>
    <x v="2"/>
    <n v="60"/>
    <s v="办公用品"/>
    <s v="华北"/>
  </r>
  <r>
    <s v="US-3082-3189070"/>
    <x v="239"/>
    <d v="2021-12-12T21:55:21"/>
    <x v="0"/>
    <x v="89"/>
    <x v="3"/>
    <n v="12"/>
    <x v="0"/>
    <n v="24"/>
    <s v="办公用品"/>
    <s v="东北"/>
  </r>
  <r>
    <s v="US-2683-3585437"/>
    <x v="240"/>
    <d v="2023-11-06T20:15:08"/>
    <x v="1"/>
    <x v="90"/>
    <x v="7"/>
    <n v="13"/>
    <x v="2"/>
    <n v="39"/>
    <s v="办公用品"/>
    <s v="华北"/>
  </r>
  <r>
    <s v="US-2683-3585437"/>
    <x v="241"/>
    <d v="2023-11-06T00:24:35"/>
    <x v="1"/>
    <x v="90"/>
    <x v="2"/>
    <n v="52"/>
    <x v="6"/>
    <n v="52"/>
    <s v="办公用品"/>
    <s v="华北"/>
  </r>
  <r>
    <s v="CN-2842-4347413"/>
    <x v="242"/>
    <d v="2021-04-18T17:11:43"/>
    <x v="2"/>
    <x v="8"/>
    <x v="10"/>
    <n v="93"/>
    <x v="2"/>
    <n v="279"/>
    <s v="技术"/>
    <s v="华东"/>
  </r>
  <r>
    <s v="CN-2334-1255631"/>
    <x v="243"/>
    <d v="2022-11-24T20:13:56"/>
    <x v="1"/>
    <x v="91"/>
    <x v="11"/>
    <n v="70"/>
    <x v="7"/>
    <n v="420"/>
    <s v="办公用品"/>
    <s v="华东"/>
  </r>
  <r>
    <s v="CN-2334-1255631"/>
    <x v="244"/>
    <d v="2022-11-24T22:02:44"/>
    <x v="1"/>
    <x v="91"/>
    <x v="10"/>
    <n v="23"/>
    <x v="1"/>
    <n v="92"/>
    <s v="技术"/>
    <s v="华东"/>
  </r>
  <r>
    <s v="CN-2044-4590873"/>
    <x v="245"/>
    <d v="2022-02-08T21:45:01"/>
    <x v="1"/>
    <x v="92"/>
    <x v="6"/>
    <n v="51"/>
    <x v="2"/>
    <n v="153"/>
    <s v="办公用品"/>
    <s v="东北"/>
  </r>
  <r>
    <s v="CN-2044-4590873"/>
    <x v="246"/>
    <d v="2022-02-08T00:07:44"/>
    <x v="1"/>
    <x v="92"/>
    <x v="14"/>
    <n v="66"/>
    <x v="0"/>
    <n v="132"/>
    <s v="办公用品"/>
    <s v="东北"/>
  </r>
  <r>
    <s v="US-2776-1815663"/>
    <x v="247"/>
    <d v="2021-02-08T18:46:56"/>
    <x v="1"/>
    <x v="93"/>
    <x v="4"/>
    <n v="81"/>
    <x v="2"/>
    <n v="243"/>
    <s v="技术"/>
    <s v="中南"/>
  </r>
  <r>
    <s v="US-2776-1815663"/>
    <x v="248"/>
    <d v="2021-02-08T06:28:00"/>
    <x v="1"/>
    <x v="93"/>
    <x v="11"/>
    <n v="84"/>
    <x v="1"/>
    <n v="336"/>
    <s v="办公用品"/>
    <s v="中南"/>
  </r>
  <r>
    <s v="US-2776-1815663"/>
    <x v="249"/>
    <d v="2021-02-08T02:48:54"/>
    <x v="1"/>
    <x v="93"/>
    <x v="0"/>
    <n v="38"/>
    <x v="6"/>
    <n v="38"/>
    <s v="办公用品"/>
    <s v="中南"/>
  </r>
  <r>
    <s v="CN-2149-3694355"/>
    <x v="250"/>
    <d v="2022-05-23T12:42:42"/>
    <x v="1"/>
    <x v="23"/>
    <x v="7"/>
    <n v="62"/>
    <x v="7"/>
    <n v="372"/>
    <s v="办公用品"/>
    <s v="西北"/>
  </r>
  <r>
    <s v="CN-3143-2577941"/>
    <x v="251"/>
    <d v="2022-02-10T09:08:25"/>
    <x v="1"/>
    <x v="18"/>
    <x v="4"/>
    <n v="84"/>
    <x v="2"/>
    <n v="252"/>
    <s v="技术"/>
    <s v="华东"/>
  </r>
  <r>
    <s v="CN-3143-2577941"/>
    <x v="252"/>
    <d v="2022-02-10T17:53:57"/>
    <x v="1"/>
    <x v="18"/>
    <x v="9"/>
    <n v="87"/>
    <x v="0"/>
    <n v="174"/>
    <s v="技术"/>
    <s v="华东"/>
  </r>
  <r>
    <s v="CN-2562-2662386"/>
    <x v="253"/>
    <d v="2023-07-08T22:43:40"/>
    <x v="0"/>
    <x v="6"/>
    <x v="7"/>
    <n v="31"/>
    <x v="1"/>
    <n v="124"/>
    <s v="办公用品"/>
    <s v="东北"/>
  </r>
  <r>
    <s v="CN-2562-2662386"/>
    <x v="254"/>
    <d v="2023-07-08T05:04:31"/>
    <x v="0"/>
    <x v="6"/>
    <x v="10"/>
    <n v="78"/>
    <x v="5"/>
    <n v="546"/>
    <s v="技术"/>
    <s v="东北"/>
  </r>
  <r>
    <s v="US-2264-1388500"/>
    <x v="255"/>
    <d v="2022-09-15T05:52:26"/>
    <x v="0"/>
    <x v="94"/>
    <x v="0"/>
    <n v="54"/>
    <x v="2"/>
    <n v="162"/>
    <s v="办公用品"/>
    <s v="西南"/>
  </r>
  <r>
    <s v="CN-2975-2203847"/>
    <x v="256"/>
    <d v="2021-08-23T08:58:21"/>
    <x v="1"/>
    <x v="95"/>
    <x v="1"/>
    <n v="83"/>
    <x v="0"/>
    <n v="166"/>
    <s v="办公用品"/>
    <s v="东北"/>
  </r>
  <r>
    <s v="CN-2975-2203847"/>
    <x v="257"/>
    <d v="2021-08-23T21:26:17"/>
    <x v="1"/>
    <x v="95"/>
    <x v="5"/>
    <n v="34"/>
    <x v="1"/>
    <n v="136"/>
    <s v="家具"/>
    <s v="东北"/>
  </r>
  <r>
    <s v="CN-2221-3103245"/>
    <x v="258"/>
    <d v="2022-08-06T19:12:40"/>
    <x v="1"/>
    <x v="96"/>
    <x v="11"/>
    <n v="25"/>
    <x v="1"/>
    <n v="100"/>
    <s v="办公用品"/>
    <s v="华东"/>
  </r>
  <r>
    <s v="CN-2221-3103245"/>
    <x v="259"/>
    <d v="2022-08-06T08:10:01"/>
    <x v="1"/>
    <x v="96"/>
    <x v="6"/>
    <n v="32"/>
    <x v="6"/>
    <n v="32"/>
    <s v="办公用品"/>
    <s v="华东"/>
  </r>
  <r>
    <s v="CN-2863-4725073"/>
    <x v="260"/>
    <d v="2021-05-07T18:55:41"/>
    <x v="0"/>
    <x v="97"/>
    <x v="5"/>
    <n v="27"/>
    <x v="7"/>
    <n v="162"/>
    <s v="家具"/>
    <s v="华东"/>
  </r>
  <r>
    <s v="CN-2863-4725073"/>
    <x v="261"/>
    <d v="2021-05-07T00:17:50"/>
    <x v="0"/>
    <x v="97"/>
    <x v="14"/>
    <n v="74"/>
    <x v="1"/>
    <n v="296"/>
    <s v="办公用品"/>
    <s v="华东"/>
  </r>
  <r>
    <s v="CN-2863-4725073"/>
    <x v="262"/>
    <d v="2021-05-07T21:40:07"/>
    <x v="0"/>
    <x v="97"/>
    <x v="4"/>
    <n v="54"/>
    <x v="1"/>
    <n v="216"/>
    <s v="技术"/>
    <s v="华东"/>
  </r>
  <r>
    <s v="CN-2863-4725073"/>
    <x v="263"/>
    <d v="2021-05-07T12:02:00"/>
    <x v="0"/>
    <x v="97"/>
    <x v="5"/>
    <n v="93"/>
    <x v="4"/>
    <n v="465"/>
    <s v="家具"/>
    <s v="华东"/>
  </r>
  <r>
    <s v="CN-2755-4015472"/>
    <x v="264"/>
    <d v="2021-01-21T10:50:15"/>
    <x v="1"/>
    <x v="96"/>
    <x v="6"/>
    <n v="51"/>
    <x v="2"/>
    <n v="153"/>
    <s v="办公用品"/>
    <s v="华东"/>
  </r>
  <r>
    <s v="CN-2755-4015472"/>
    <x v="265"/>
    <d v="2021-01-21T04:25:20"/>
    <x v="1"/>
    <x v="96"/>
    <x v="10"/>
    <n v="84"/>
    <x v="2"/>
    <n v="252"/>
    <s v="技术"/>
    <s v="华东"/>
  </r>
  <r>
    <s v="US-1990-4650370"/>
    <x v="266"/>
    <d v="2023-12-14T15:59:10"/>
    <x v="0"/>
    <x v="76"/>
    <x v="10"/>
    <n v="26"/>
    <x v="0"/>
    <n v="52"/>
    <s v="技术"/>
    <s v="西南"/>
  </r>
  <r>
    <s v="US-2949-2998954"/>
    <x v="267"/>
    <d v="2021-07-30T10:06:00"/>
    <x v="0"/>
    <x v="44"/>
    <x v="13"/>
    <n v="15"/>
    <x v="0"/>
    <n v="30"/>
    <s v="家具"/>
    <s v="华东"/>
  </r>
  <r>
    <s v="CN-2282-4251154"/>
    <x v="268"/>
    <d v="2022-10-01T05:02:02"/>
    <x v="2"/>
    <x v="51"/>
    <x v="12"/>
    <n v="13"/>
    <x v="5"/>
    <n v="91"/>
    <s v="家具"/>
    <s v="西北"/>
  </r>
  <r>
    <s v="CN-2702-4992845"/>
    <x v="269"/>
    <d v="2023-11-27T19:15:26"/>
    <x v="1"/>
    <x v="98"/>
    <x v="1"/>
    <n v="95"/>
    <x v="7"/>
    <n v="570"/>
    <s v="办公用品"/>
    <s v="华东"/>
  </r>
  <r>
    <s v="CN-3152-1267778"/>
    <x v="270"/>
    <d v="2022-02-20T01:19:14"/>
    <x v="1"/>
    <x v="31"/>
    <x v="7"/>
    <n v="61"/>
    <x v="0"/>
    <n v="122"/>
    <s v="办公用品"/>
    <s v="华北"/>
  </r>
  <r>
    <s v="CN-3152-1267778"/>
    <x v="271"/>
    <d v="2022-02-20T15:19:51"/>
    <x v="1"/>
    <x v="31"/>
    <x v="12"/>
    <n v="73"/>
    <x v="0"/>
    <n v="146"/>
    <s v="家具"/>
    <s v="华北"/>
  </r>
  <r>
    <s v="CN-3200-4571372"/>
    <x v="272"/>
    <d v="2022-04-11T08:12:04"/>
    <x v="2"/>
    <x v="9"/>
    <x v="5"/>
    <n v="51"/>
    <x v="6"/>
    <n v="51"/>
    <s v="家具"/>
    <s v="华东"/>
  </r>
  <r>
    <s v="CN-3200-4571372"/>
    <x v="273"/>
    <d v="2022-04-11T16:54:22"/>
    <x v="2"/>
    <x v="9"/>
    <x v="11"/>
    <n v="38"/>
    <x v="2"/>
    <n v="114"/>
    <s v="办公用品"/>
    <s v="华东"/>
  </r>
  <r>
    <s v="CN-2790-1776641"/>
    <x v="274"/>
    <d v="2021-02-23T03:38:07"/>
    <x v="0"/>
    <x v="32"/>
    <x v="14"/>
    <n v="60"/>
    <x v="1"/>
    <n v="240"/>
    <s v="办公用品"/>
    <s v="西南"/>
  </r>
  <r>
    <s v="CN-2790-1776641"/>
    <x v="275"/>
    <d v="2021-02-23T21:52:53"/>
    <x v="0"/>
    <x v="32"/>
    <x v="0"/>
    <n v="85"/>
    <x v="1"/>
    <n v="340"/>
    <s v="办公用品"/>
    <s v="西南"/>
  </r>
  <r>
    <s v="CN-2097-2686699"/>
    <x v="276"/>
    <d v="2022-04-02T08:17:37"/>
    <x v="2"/>
    <x v="99"/>
    <x v="13"/>
    <n v="98"/>
    <x v="4"/>
    <n v="490"/>
    <s v="家具"/>
    <s v="东北"/>
  </r>
  <r>
    <s v="CN-2097-2686699"/>
    <x v="277"/>
    <d v="2022-04-02T01:05:26"/>
    <x v="2"/>
    <x v="99"/>
    <x v="9"/>
    <n v="22"/>
    <x v="0"/>
    <n v="44"/>
    <s v="技术"/>
    <s v="东北"/>
  </r>
  <r>
    <s v="CN-2620-1424056"/>
    <x v="278"/>
    <d v="2023-09-04T18:31:03"/>
    <x v="1"/>
    <x v="1"/>
    <x v="6"/>
    <n v="81"/>
    <x v="0"/>
    <n v="162"/>
    <s v="办公用品"/>
    <s v="西南"/>
  </r>
  <r>
    <s v="CN-2620-1424056"/>
    <x v="279"/>
    <d v="2023-09-04T06:55:45"/>
    <x v="1"/>
    <x v="1"/>
    <x v="2"/>
    <n v="35"/>
    <x v="2"/>
    <n v="105"/>
    <s v="办公用品"/>
    <s v="西南"/>
  </r>
  <r>
    <s v="CN-3125-1574908"/>
    <x v="280"/>
    <d v="2022-01-22T08:19:11"/>
    <x v="2"/>
    <x v="100"/>
    <x v="3"/>
    <n v="42"/>
    <x v="0"/>
    <n v="84"/>
    <s v="办公用品"/>
    <s v="华东"/>
  </r>
  <r>
    <s v="CN-3125-1574908"/>
    <x v="281"/>
    <d v="2022-01-22T16:07:19"/>
    <x v="2"/>
    <x v="100"/>
    <x v="14"/>
    <n v="45"/>
    <x v="0"/>
    <n v="90"/>
    <s v="办公用品"/>
    <s v="华东"/>
  </r>
  <r>
    <s v="CN-3125-1574908"/>
    <x v="282"/>
    <d v="2022-01-22T03:09:49"/>
    <x v="2"/>
    <x v="100"/>
    <x v="5"/>
    <n v="36"/>
    <x v="6"/>
    <n v="36"/>
    <s v="家具"/>
    <s v="华东"/>
  </r>
  <r>
    <s v="CN-3125-1574908"/>
    <x v="283"/>
    <d v="2022-01-22T04:47:17"/>
    <x v="2"/>
    <x v="100"/>
    <x v="5"/>
    <n v="59"/>
    <x v="0"/>
    <n v="118"/>
    <s v="家具"/>
    <s v="华东"/>
  </r>
  <r>
    <s v="CN-3125-1574908"/>
    <x v="284"/>
    <d v="2022-01-22T04:51:47"/>
    <x v="2"/>
    <x v="100"/>
    <x v="12"/>
    <n v="72"/>
    <x v="4"/>
    <n v="360"/>
    <s v="家具"/>
    <s v="华东"/>
  </r>
  <r>
    <s v="CN-2036-5171199"/>
    <x v="285"/>
    <d v="2022-01-31T07:23:17"/>
    <x v="0"/>
    <x v="13"/>
    <x v="10"/>
    <n v="80"/>
    <x v="0"/>
    <n v="160"/>
    <s v="技术"/>
    <s v="华东"/>
  </r>
  <r>
    <s v="CN-2036-5171199"/>
    <x v="286"/>
    <d v="2022-01-31T09:07:01"/>
    <x v="0"/>
    <x v="13"/>
    <x v="8"/>
    <n v="12"/>
    <x v="1"/>
    <n v="48"/>
    <s v="技术"/>
    <s v="华东"/>
  </r>
  <r>
    <s v="CN-2036-5171199"/>
    <x v="287"/>
    <d v="2022-01-31T18:29:26"/>
    <x v="0"/>
    <x v="13"/>
    <x v="12"/>
    <n v="42"/>
    <x v="0"/>
    <n v="84"/>
    <s v="家具"/>
    <s v="华东"/>
  </r>
  <r>
    <s v="CN-2036-5171199"/>
    <x v="288"/>
    <d v="2022-01-31T05:32:12"/>
    <x v="0"/>
    <x v="13"/>
    <x v="3"/>
    <n v="95"/>
    <x v="7"/>
    <n v="570"/>
    <s v="办公用品"/>
    <s v="华东"/>
  </r>
  <r>
    <s v="CN-2036-5171199"/>
    <x v="289"/>
    <d v="2022-01-31T21:22:15"/>
    <x v="0"/>
    <x v="13"/>
    <x v="7"/>
    <n v="47"/>
    <x v="0"/>
    <n v="94"/>
    <s v="办公用品"/>
    <s v="华东"/>
  </r>
  <r>
    <s v="CN-2036-5171199"/>
    <x v="290"/>
    <d v="2022-01-31T21:47:37"/>
    <x v="0"/>
    <x v="13"/>
    <x v="14"/>
    <n v="63"/>
    <x v="2"/>
    <n v="189"/>
    <s v="办公用品"/>
    <s v="华东"/>
  </r>
  <r>
    <s v="CN-2036-5171199"/>
    <x v="291"/>
    <d v="2022-01-31T16:45:08"/>
    <x v="0"/>
    <x v="13"/>
    <x v="5"/>
    <n v="75"/>
    <x v="5"/>
    <n v="525"/>
    <s v="家具"/>
    <s v="华东"/>
  </r>
  <r>
    <s v="CN-2036-5171199"/>
    <x v="292"/>
    <d v="2022-01-31T06:35:42"/>
    <x v="0"/>
    <x v="13"/>
    <x v="14"/>
    <n v="27"/>
    <x v="2"/>
    <n v="81"/>
    <s v="办公用品"/>
    <s v="华东"/>
  </r>
  <r>
    <s v="CN-2521-2505404"/>
    <x v="293"/>
    <d v="2023-05-30T19:10:06"/>
    <x v="0"/>
    <x v="92"/>
    <x v="14"/>
    <n v="75"/>
    <x v="6"/>
    <n v="75"/>
    <s v="办公用品"/>
    <s v="东北"/>
  </r>
  <r>
    <s v="CN-2356-3028018"/>
    <x v="294"/>
    <d v="2022-12-18T07:08:11"/>
    <x v="1"/>
    <x v="101"/>
    <x v="8"/>
    <n v="45"/>
    <x v="0"/>
    <n v="90"/>
    <s v="技术"/>
    <s v="西南"/>
  </r>
  <r>
    <s v="CN-2356-3028018"/>
    <x v="295"/>
    <d v="2022-12-18T16:48:53"/>
    <x v="1"/>
    <x v="101"/>
    <x v="10"/>
    <n v="10"/>
    <x v="2"/>
    <n v="30"/>
    <s v="技术"/>
    <s v="西南"/>
  </r>
  <r>
    <s v="CN-3123-3361827"/>
    <x v="296"/>
    <d v="2022-01-20T16:53:12"/>
    <x v="0"/>
    <x v="5"/>
    <x v="14"/>
    <n v="50"/>
    <x v="1"/>
    <n v="200"/>
    <s v="办公用品"/>
    <s v="西北"/>
  </r>
  <r>
    <s v="CN-3116-2693856"/>
    <x v="297"/>
    <d v="2022-01-13T13:37:07"/>
    <x v="2"/>
    <x v="99"/>
    <x v="3"/>
    <n v="39"/>
    <x v="2"/>
    <n v="117"/>
    <s v="办公用品"/>
    <s v="东北"/>
  </r>
  <r>
    <s v="CN-2619-1108121"/>
    <x v="298"/>
    <d v="2023-09-08T21:12:57"/>
    <x v="0"/>
    <x v="18"/>
    <x v="11"/>
    <n v="22"/>
    <x v="7"/>
    <n v="132"/>
    <s v="办公用品"/>
    <s v="华东"/>
  </r>
  <r>
    <s v="CN-2619-1108121"/>
    <x v="299"/>
    <d v="2023-09-08T19:29:07"/>
    <x v="0"/>
    <x v="18"/>
    <x v="5"/>
    <n v="25"/>
    <x v="2"/>
    <n v="75"/>
    <s v="家具"/>
    <s v="华东"/>
  </r>
  <r>
    <s v="CN-2832-4733722"/>
    <x v="300"/>
    <d v="2021-04-05T08:12:45"/>
    <x v="2"/>
    <x v="102"/>
    <x v="10"/>
    <n v="76"/>
    <x v="11"/>
    <n v="760"/>
    <s v="技术"/>
    <s v="中南"/>
  </r>
  <r>
    <s v="CN-2832-4733722"/>
    <x v="301"/>
    <d v="2021-04-05T05:45:25"/>
    <x v="2"/>
    <x v="102"/>
    <x v="4"/>
    <n v="21"/>
    <x v="2"/>
    <n v="63"/>
    <s v="技术"/>
    <s v="中南"/>
  </r>
  <r>
    <s v="CN-2832-4733722"/>
    <x v="302"/>
    <d v="2021-04-05T18:57:32"/>
    <x v="2"/>
    <x v="102"/>
    <x v="2"/>
    <n v="58"/>
    <x v="7"/>
    <n v="348"/>
    <s v="办公用品"/>
    <s v="中南"/>
  </r>
  <r>
    <s v="CN-2832-4733722"/>
    <x v="303"/>
    <d v="2021-04-05T08:18:39"/>
    <x v="2"/>
    <x v="102"/>
    <x v="13"/>
    <n v="76"/>
    <x v="2"/>
    <n v="228"/>
    <s v="家具"/>
    <s v="中南"/>
  </r>
  <r>
    <s v="CN-2832-4733722"/>
    <x v="304"/>
    <d v="2021-04-05T23:41:57"/>
    <x v="2"/>
    <x v="102"/>
    <x v="13"/>
    <n v="12"/>
    <x v="4"/>
    <n v="60"/>
    <s v="家具"/>
    <s v="中南"/>
  </r>
  <r>
    <s v="CN-2832-4733722"/>
    <x v="305"/>
    <d v="2021-04-05T13:33:32"/>
    <x v="2"/>
    <x v="102"/>
    <x v="1"/>
    <n v="43"/>
    <x v="1"/>
    <n v="172"/>
    <s v="办公用品"/>
    <s v="中南"/>
  </r>
  <r>
    <s v="CN-2585-1391849"/>
    <x v="306"/>
    <d v="2023-08-02T22:58:09"/>
    <x v="1"/>
    <x v="103"/>
    <x v="5"/>
    <n v="76"/>
    <x v="7"/>
    <n v="456"/>
    <s v="家具"/>
    <s v="中南"/>
  </r>
  <r>
    <s v="CN-2585-1391849"/>
    <x v="307"/>
    <d v="2023-08-02T21:12:48"/>
    <x v="1"/>
    <x v="103"/>
    <x v="14"/>
    <n v="14"/>
    <x v="2"/>
    <n v="42"/>
    <s v="办公用品"/>
    <s v="中南"/>
  </r>
  <r>
    <s v="US-3173-1947265"/>
    <x v="308"/>
    <d v="2022-03-15T08:51:15"/>
    <x v="1"/>
    <x v="21"/>
    <x v="5"/>
    <n v="55"/>
    <x v="6"/>
    <n v="55"/>
    <s v="家具"/>
    <s v="东北"/>
  </r>
  <r>
    <s v="CN-2951-2883758"/>
    <x v="309"/>
    <d v="2021-08-03T14:31:43"/>
    <x v="0"/>
    <x v="6"/>
    <x v="9"/>
    <n v="42"/>
    <x v="2"/>
    <n v="126"/>
    <s v="技术"/>
    <s v="东北"/>
  </r>
  <r>
    <s v="CN-2951-2883758"/>
    <x v="310"/>
    <d v="2021-08-03T02:51:59"/>
    <x v="0"/>
    <x v="6"/>
    <x v="2"/>
    <n v="69"/>
    <x v="2"/>
    <n v="207"/>
    <s v="办公用品"/>
    <s v="东北"/>
  </r>
  <r>
    <s v="CN-2970-2075002"/>
    <x v="311"/>
    <d v="2021-08-22T20:11:36"/>
    <x v="1"/>
    <x v="104"/>
    <x v="12"/>
    <n v="81"/>
    <x v="2"/>
    <n v="243"/>
    <s v="家具"/>
    <s v="华东"/>
  </r>
  <r>
    <s v="CN-3200-3184596"/>
    <x v="312"/>
    <d v="2022-04-11T07:47:33"/>
    <x v="1"/>
    <x v="105"/>
    <x v="1"/>
    <n v="99"/>
    <x v="2"/>
    <n v="297"/>
    <s v="办公用品"/>
    <s v="华北"/>
  </r>
  <r>
    <s v="CN-3200-3184596"/>
    <x v="313"/>
    <d v="2022-04-11T12:09:39"/>
    <x v="1"/>
    <x v="105"/>
    <x v="0"/>
    <n v="90"/>
    <x v="5"/>
    <n v="630"/>
    <s v="办公用品"/>
    <s v="华北"/>
  </r>
  <r>
    <s v="CN-3200-3184596"/>
    <x v="314"/>
    <d v="2022-04-11T02:44:14"/>
    <x v="1"/>
    <x v="105"/>
    <x v="11"/>
    <n v="67"/>
    <x v="3"/>
    <n v="603"/>
    <s v="办公用品"/>
    <s v="华北"/>
  </r>
  <r>
    <s v="CN-2803-2000071"/>
    <x v="315"/>
    <d v="2021-03-07T07:20:37"/>
    <x v="1"/>
    <x v="106"/>
    <x v="5"/>
    <n v="30"/>
    <x v="1"/>
    <n v="120"/>
    <s v="家具"/>
    <s v="华北"/>
  </r>
  <r>
    <s v="CN-2803-2000071"/>
    <x v="316"/>
    <d v="2021-03-07T04:07:59"/>
    <x v="1"/>
    <x v="106"/>
    <x v="15"/>
    <n v="36"/>
    <x v="4"/>
    <n v="180"/>
    <s v="办公用品"/>
    <s v="华北"/>
  </r>
  <r>
    <s v="CN-2803-2000071"/>
    <x v="317"/>
    <d v="2021-03-07T02:30:17"/>
    <x v="1"/>
    <x v="106"/>
    <x v="12"/>
    <n v="96"/>
    <x v="0"/>
    <n v="192"/>
    <s v="家具"/>
    <s v="华北"/>
  </r>
  <r>
    <s v="CN-3077-1501002"/>
    <x v="318"/>
    <d v="2021-12-08T16:15:30"/>
    <x v="1"/>
    <x v="107"/>
    <x v="6"/>
    <n v="33"/>
    <x v="1"/>
    <n v="132"/>
    <s v="办公用品"/>
    <s v="华北"/>
  </r>
  <r>
    <s v="CN-3077-1501002"/>
    <x v="319"/>
    <d v="2021-12-08T14:02:21"/>
    <x v="1"/>
    <x v="107"/>
    <x v="14"/>
    <n v="44"/>
    <x v="0"/>
    <n v="88"/>
    <s v="办公用品"/>
    <s v="华北"/>
  </r>
  <r>
    <s v="CN-3077-1501002"/>
    <x v="320"/>
    <d v="2021-12-08T09:57:55"/>
    <x v="1"/>
    <x v="107"/>
    <x v="12"/>
    <n v="52"/>
    <x v="0"/>
    <n v="104"/>
    <s v="家具"/>
    <s v="华北"/>
  </r>
  <r>
    <s v="CN-3077-1501002"/>
    <x v="321"/>
    <d v="2021-12-08T08:28:14"/>
    <x v="1"/>
    <x v="107"/>
    <x v="2"/>
    <n v="79"/>
    <x v="4"/>
    <n v="395"/>
    <s v="办公用品"/>
    <s v="华北"/>
  </r>
  <r>
    <s v="CN-3077-1501002"/>
    <x v="322"/>
    <d v="2021-12-08T00:41:38"/>
    <x v="1"/>
    <x v="107"/>
    <x v="1"/>
    <n v="97"/>
    <x v="3"/>
    <n v="873"/>
    <s v="办公用品"/>
    <s v="华北"/>
  </r>
  <r>
    <s v="CN-2577-1608087"/>
    <x v="323"/>
    <d v="2023-07-23T16:12:32"/>
    <x v="1"/>
    <x v="108"/>
    <x v="10"/>
    <n v="56"/>
    <x v="2"/>
    <n v="168"/>
    <s v="技术"/>
    <s v="中南"/>
  </r>
  <r>
    <s v="CN-1811-3095328"/>
    <x v="324"/>
    <d v="2023-06-22T08:27:47"/>
    <x v="1"/>
    <x v="109"/>
    <x v="13"/>
    <n v="43"/>
    <x v="0"/>
    <n v="86"/>
    <s v="家具"/>
    <s v="中南"/>
  </r>
  <r>
    <s v="CN-3010-4833083"/>
    <x v="325"/>
    <d v="2021-10-02T08:43:00"/>
    <x v="1"/>
    <x v="31"/>
    <x v="6"/>
    <n v="10"/>
    <x v="7"/>
    <n v="60"/>
    <s v="办公用品"/>
    <s v="华北"/>
  </r>
  <r>
    <s v="CN-2884-1108121"/>
    <x v="326"/>
    <d v="2021-05-29T08:42:50"/>
    <x v="1"/>
    <x v="110"/>
    <x v="6"/>
    <n v="19"/>
    <x v="1"/>
    <n v="76"/>
    <s v="办公用品"/>
    <s v="中南"/>
  </r>
  <r>
    <s v="CN-2957-3184596"/>
    <x v="327"/>
    <d v="2021-08-11T19:32:12"/>
    <x v="0"/>
    <x v="111"/>
    <x v="7"/>
    <n v="57"/>
    <x v="3"/>
    <n v="513"/>
    <s v="办公用品"/>
    <s v="东北"/>
  </r>
  <r>
    <s v="CN-2395-2556865"/>
    <x v="328"/>
    <d v="2023-01-22T01:14:52"/>
    <x v="2"/>
    <x v="42"/>
    <x v="1"/>
    <n v="35"/>
    <x v="1"/>
    <n v="140"/>
    <s v="办公用品"/>
    <s v="华北"/>
  </r>
  <r>
    <s v="CN-1901-1182921"/>
    <x v="329"/>
    <d v="2023-09-19T15:39:20"/>
    <x v="0"/>
    <x v="112"/>
    <x v="0"/>
    <n v="27"/>
    <x v="0"/>
    <n v="54"/>
    <s v="办公用品"/>
    <s v="华北"/>
  </r>
  <r>
    <s v="CN-1901-1182921"/>
    <x v="330"/>
    <d v="2023-09-19T20:53:31"/>
    <x v="0"/>
    <x v="112"/>
    <x v="16"/>
    <n v="33"/>
    <x v="10"/>
    <n v="363"/>
    <s v="家具"/>
    <s v="华北"/>
  </r>
  <r>
    <s v="CN-1901-1182921"/>
    <x v="331"/>
    <d v="2023-09-19T04:16:58"/>
    <x v="0"/>
    <x v="112"/>
    <x v="3"/>
    <n v="51"/>
    <x v="8"/>
    <n v="408"/>
    <s v="办公用品"/>
    <s v="华北"/>
  </r>
  <r>
    <s v="CN-2396-3819209"/>
    <x v="332"/>
    <d v="2023-01-25T23:59:27"/>
    <x v="1"/>
    <x v="113"/>
    <x v="10"/>
    <n v="43"/>
    <x v="0"/>
    <n v="86"/>
    <s v="技术"/>
    <s v="东北"/>
  </r>
  <r>
    <s v="CN-2776-2966078"/>
    <x v="333"/>
    <d v="2021-02-12T13:52:56"/>
    <x v="1"/>
    <x v="110"/>
    <x v="6"/>
    <n v="30"/>
    <x v="2"/>
    <n v="90"/>
    <s v="办公用品"/>
    <s v="中南"/>
  </r>
  <r>
    <s v="CN-2776-2966078"/>
    <x v="334"/>
    <d v="2021-02-12T09:35:19"/>
    <x v="1"/>
    <x v="110"/>
    <x v="8"/>
    <n v="22"/>
    <x v="6"/>
    <n v="22"/>
    <s v="技术"/>
    <s v="中南"/>
  </r>
  <r>
    <s v="CN-2724-4619981"/>
    <x v="335"/>
    <d v="2023-12-20T03:14:00"/>
    <x v="1"/>
    <x v="101"/>
    <x v="9"/>
    <n v="32"/>
    <x v="4"/>
    <n v="160"/>
    <s v="技术"/>
    <s v="西南"/>
  </r>
  <r>
    <s v="CN-2724-4619981"/>
    <x v="336"/>
    <d v="2023-12-20T12:38:17"/>
    <x v="1"/>
    <x v="101"/>
    <x v="5"/>
    <n v="86"/>
    <x v="1"/>
    <n v="344"/>
    <s v="家具"/>
    <s v="西南"/>
  </r>
  <r>
    <s v="CN-2864-3074981"/>
    <x v="337"/>
    <d v="2021-05-08T12:14:24"/>
    <x v="0"/>
    <x v="65"/>
    <x v="6"/>
    <n v="33"/>
    <x v="2"/>
    <n v="99"/>
    <s v="办公用品"/>
    <s v="东北"/>
  </r>
  <r>
    <s v="CN-2864-3074981"/>
    <x v="338"/>
    <d v="2021-05-08T15:49:26"/>
    <x v="0"/>
    <x v="65"/>
    <x v="14"/>
    <n v="41"/>
    <x v="3"/>
    <n v="369"/>
    <s v="办公用品"/>
    <s v="东北"/>
  </r>
  <r>
    <s v="CN-2864-3074981"/>
    <x v="339"/>
    <d v="2021-05-08T12:06:38"/>
    <x v="0"/>
    <x v="65"/>
    <x v="2"/>
    <n v="40"/>
    <x v="2"/>
    <n v="120"/>
    <s v="办公用品"/>
    <s v="东北"/>
  </r>
  <r>
    <s v="CN-2864-3074981"/>
    <x v="340"/>
    <d v="2021-05-08T18:05:48"/>
    <x v="0"/>
    <x v="65"/>
    <x v="7"/>
    <n v="74"/>
    <x v="2"/>
    <n v="222"/>
    <s v="办公用品"/>
    <s v="东北"/>
  </r>
  <r>
    <s v="CN-2864-3074981"/>
    <x v="341"/>
    <d v="2021-05-08T14:46:24"/>
    <x v="0"/>
    <x v="65"/>
    <x v="12"/>
    <n v="52"/>
    <x v="4"/>
    <n v="260"/>
    <s v="家具"/>
    <s v="东北"/>
  </r>
  <r>
    <s v="US-2585-2756371"/>
    <x v="342"/>
    <d v="2023-07-31T15:55:24"/>
    <x v="0"/>
    <x v="114"/>
    <x v="3"/>
    <n v="58"/>
    <x v="6"/>
    <n v="58"/>
    <s v="办公用品"/>
    <s v="华东"/>
  </r>
  <r>
    <s v="US-2692-5364655"/>
    <x v="343"/>
    <d v="2023-11-19T08:19:45"/>
    <x v="0"/>
    <x v="16"/>
    <x v="10"/>
    <n v="79"/>
    <x v="0"/>
    <n v="158"/>
    <s v="技术"/>
    <s v="华东"/>
  </r>
  <r>
    <s v="US-2692-5364655"/>
    <x v="344"/>
    <d v="2023-11-19T03:23:09"/>
    <x v="0"/>
    <x v="16"/>
    <x v="7"/>
    <n v="79"/>
    <x v="4"/>
    <n v="395"/>
    <s v="办公用品"/>
    <s v="华东"/>
  </r>
  <r>
    <s v="US-2692-5364655"/>
    <x v="345"/>
    <d v="2023-11-19T18:12:57"/>
    <x v="0"/>
    <x v="16"/>
    <x v="6"/>
    <n v="44"/>
    <x v="0"/>
    <n v="88"/>
    <s v="办公用品"/>
    <s v="华东"/>
  </r>
  <r>
    <s v="US-3188-5835982"/>
    <x v="346"/>
    <d v="2022-03-26T02:23:00"/>
    <x v="1"/>
    <x v="115"/>
    <x v="12"/>
    <n v="17"/>
    <x v="2"/>
    <n v="51"/>
    <s v="家具"/>
    <s v="东北"/>
  </r>
  <r>
    <s v="US-3188-5835982"/>
    <x v="347"/>
    <d v="2022-03-26T14:32:01"/>
    <x v="1"/>
    <x v="115"/>
    <x v="4"/>
    <n v="15"/>
    <x v="0"/>
    <n v="30"/>
    <s v="技术"/>
    <s v="东北"/>
  </r>
  <r>
    <s v="US-2514-3381572"/>
    <x v="348"/>
    <d v="2023-05-24T06:54:55"/>
    <x v="2"/>
    <x v="74"/>
    <x v="2"/>
    <n v="56"/>
    <x v="2"/>
    <n v="168"/>
    <s v="办公用品"/>
    <s v="华北"/>
  </r>
  <r>
    <s v="US-2514-3381572"/>
    <x v="349"/>
    <d v="2023-05-24T00:38:50"/>
    <x v="2"/>
    <x v="74"/>
    <x v="13"/>
    <n v="80"/>
    <x v="6"/>
    <n v="80"/>
    <s v="家具"/>
    <s v="华北"/>
  </r>
  <r>
    <s v="CN-2741-3476099"/>
    <x v="350"/>
    <d v="2021-01-05T06:46:17"/>
    <x v="0"/>
    <x v="116"/>
    <x v="12"/>
    <n v="52"/>
    <x v="7"/>
    <n v="312"/>
    <s v="家具"/>
    <s v="西南"/>
  </r>
  <r>
    <s v="CN-2741-3476099"/>
    <x v="351"/>
    <d v="2021-01-05T12:45:44"/>
    <x v="0"/>
    <x v="116"/>
    <x v="7"/>
    <n v="15"/>
    <x v="0"/>
    <n v="30"/>
    <s v="办公用品"/>
    <s v="西南"/>
  </r>
  <r>
    <s v="CN-2741-3476099"/>
    <x v="352"/>
    <d v="2021-01-05T13:50:51"/>
    <x v="0"/>
    <x v="116"/>
    <x v="0"/>
    <n v="97"/>
    <x v="2"/>
    <n v="291"/>
    <s v="办公用品"/>
    <s v="西南"/>
  </r>
  <r>
    <s v="CN-2600-1197917"/>
    <x v="353"/>
    <d v="2023-08-18T23:39:14"/>
    <x v="0"/>
    <x v="3"/>
    <x v="10"/>
    <n v="22"/>
    <x v="2"/>
    <n v="66"/>
    <s v="技术"/>
    <s v="中南"/>
  </r>
  <r>
    <s v="US-2079-4719760"/>
    <x v="354"/>
    <d v="2022-03-15T07:19:55"/>
    <x v="0"/>
    <x v="78"/>
    <x v="2"/>
    <n v="19"/>
    <x v="0"/>
    <n v="38"/>
    <s v="办公用品"/>
    <s v="华北"/>
  </r>
  <r>
    <s v="US-2079-4719760"/>
    <x v="355"/>
    <d v="2022-03-15T12:54:34"/>
    <x v="0"/>
    <x v="78"/>
    <x v="15"/>
    <n v="76"/>
    <x v="5"/>
    <n v="532"/>
    <s v="办公用品"/>
    <s v="华北"/>
  </r>
  <r>
    <s v="US-2079-4719760"/>
    <x v="356"/>
    <d v="2022-03-15T22:47:31"/>
    <x v="0"/>
    <x v="78"/>
    <x v="12"/>
    <n v="61"/>
    <x v="4"/>
    <n v="305"/>
    <s v="家具"/>
    <s v="华北"/>
  </r>
  <r>
    <s v="US-2079-4719760"/>
    <x v="357"/>
    <d v="2022-03-15T17:36:10"/>
    <x v="0"/>
    <x v="78"/>
    <x v="12"/>
    <n v="87"/>
    <x v="5"/>
    <n v="609"/>
    <s v="家具"/>
    <s v="华北"/>
  </r>
  <r>
    <s v="US-2079-4719760"/>
    <x v="358"/>
    <d v="2022-03-15T11:20:05"/>
    <x v="0"/>
    <x v="78"/>
    <x v="2"/>
    <n v="46"/>
    <x v="0"/>
    <n v="92"/>
    <s v="办公用品"/>
    <s v="华北"/>
  </r>
  <r>
    <s v="US-2079-4719760"/>
    <x v="359"/>
    <d v="2022-03-15T07:34:19"/>
    <x v="0"/>
    <x v="78"/>
    <x v="10"/>
    <n v="17"/>
    <x v="0"/>
    <n v="34"/>
    <s v="技术"/>
    <s v="华北"/>
  </r>
  <r>
    <s v="CN-3152-2102819"/>
    <x v="360"/>
    <d v="2022-02-20T21:19:50"/>
    <x v="0"/>
    <x v="117"/>
    <x v="11"/>
    <n v="15"/>
    <x v="4"/>
    <n v="75"/>
    <s v="办公用品"/>
    <s v="华东"/>
  </r>
  <r>
    <s v="US-2399-1964482"/>
    <x v="361"/>
    <d v="2023-01-28T10:47:42"/>
    <x v="1"/>
    <x v="118"/>
    <x v="8"/>
    <n v="87"/>
    <x v="1"/>
    <n v="348"/>
    <s v="技术"/>
    <s v="西南"/>
  </r>
  <r>
    <s v="US-2399-1964482"/>
    <x v="362"/>
    <d v="2023-01-28T12:09:16"/>
    <x v="1"/>
    <x v="118"/>
    <x v="15"/>
    <n v="92"/>
    <x v="2"/>
    <n v="276"/>
    <s v="办公用品"/>
    <s v="西南"/>
  </r>
  <r>
    <s v="CN-2384-1966706"/>
    <x v="363"/>
    <d v="2023-01-13T01:07:01"/>
    <x v="1"/>
    <x v="119"/>
    <x v="14"/>
    <n v="62"/>
    <x v="0"/>
    <n v="124"/>
    <s v="办公用品"/>
    <s v="东北"/>
  </r>
  <r>
    <s v="CN-2384-1966706"/>
    <x v="364"/>
    <d v="2023-01-13T00:59:35"/>
    <x v="1"/>
    <x v="119"/>
    <x v="1"/>
    <n v="29"/>
    <x v="0"/>
    <n v="58"/>
    <s v="办公用品"/>
    <s v="东北"/>
  </r>
  <r>
    <s v="CN-2998-4800042"/>
    <x v="365"/>
    <d v="2021-09-20T21:00:00"/>
    <x v="1"/>
    <x v="18"/>
    <x v="7"/>
    <n v="11"/>
    <x v="6"/>
    <n v="11"/>
    <s v="办公用品"/>
    <s v="华东"/>
  </r>
  <r>
    <s v="US-3146-2513055"/>
    <x v="366"/>
    <d v="2022-02-14T01:12:54"/>
    <x v="0"/>
    <x v="21"/>
    <x v="3"/>
    <n v="18"/>
    <x v="7"/>
    <n v="108"/>
    <s v="办公用品"/>
    <s v="东北"/>
  </r>
  <r>
    <s v="US-3146-2513055"/>
    <x v="367"/>
    <d v="2022-02-14T17:20:56"/>
    <x v="0"/>
    <x v="21"/>
    <x v="2"/>
    <n v="10"/>
    <x v="8"/>
    <n v="80"/>
    <s v="办公用品"/>
    <s v="东北"/>
  </r>
  <r>
    <s v="US-3146-2513055"/>
    <x v="368"/>
    <d v="2022-02-14T16:51:37"/>
    <x v="0"/>
    <x v="21"/>
    <x v="1"/>
    <n v="39"/>
    <x v="1"/>
    <n v="156"/>
    <s v="办公用品"/>
    <s v="东北"/>
  </r>
  <r>
    <s v="US-3146-2513055"/>
    <x v="369"/>
    <d v="2022-02-14T10:39:38"/>
    <x v="0"/>
    <x v="21"/>
    <x v="1"/>
    <n v="44"/>
    <x v="0"/>
    <n v="88"/>
    <s v="办公用品"/>
    <s v="东北"/>
  </r>
  <r>
    <s v="CN-2543-4347413"/>
    <x v="370"/>
    <d v="2023-06-21T03:10:54"/>
    <x v="1"/>
    <x v="0"/>
    <x v="2"/>
    <n v="100"/>
    <x v="1"/>
    <n v="400"/>
    <s v="办公用品"/>
    <s v="华东"/>
  </r>
  <r>
    <s v="CN-2543-4347413"/>
    <x v="371"/>
    <d v="2023-06-21T13:34:35"/>
    <x v="1"/>
    <x v="0"/>
    <x v="4"/>
    <n v="48"/>
    <x v="2"/>
    <n v="144"/>
    <s v="技术"/>
    <s v="华东"/>
  </r>
  <r>
    <s v="US-2842-3777715"/>
    <x v="372"/>
    <d v="2021-04-14T21:24:52"/>
    <x v="1"/>
    <x v="120"/>
    <x v="5"/>
    <n v="93"/>
    <x v="2"/>
    <n v="279"/>
    <s v="家具"/>
    <s v="华东"/>
  </r>
  <r>
    <s v="US-2842-3777715"/>
    <x v="373"/>
    <d v="2021-04-14T17:47:50"/>
    <x v="1"/>
    <x v="120"/>
    <x v="2"/>
    <n v="65"/>
    <x v="2"/>
    <n v="195"/>
    <s v="办公用品"/>
    <s v="华东"/>
  </r>
  <r>
    <s v="US-2842-3777715"/>
    <x v="374"/>
    <d v="2021-04-14T07:08:58"/>
    <x v="1"/>
    <x v="120"/>
    <x v="14"/>
    <n v="74"/>
    <x v="2"/>
    <n v="222"/>
    <s v="办公用品"/>
    <s v="华东"/>
  </r>
  <r>
    <s v="CN-2713-1715632"/>
    <x v="375"/>
    <d v="2023-12-08T18:07:23"/>
    <x v="1"/>
    <x v="121"/>
    <x v="9"/>
    <n v="38"/>
    <x v="0"/>
    <n v="76"/>
    <s v="技术"/>
    <s v="华东"/>
  </r>
  <r>
    <s v="CN-2002-2491194"/>
    <x v="376"/>
    <d v="2023-12-29T15:01:49"/>
    <x v="0"/>
    <x v="119"/>
    <x v="9"/>
    <n v="59"/>
    <x v="0"/>
    <n v="118"/>
    <s v="技术"/>
    <s v="东北"/>
  </r>
  <r>
    <s v="CN-2002-2491194"/>
    <x v="377"/>
    <d v="2023-12-29T07:09:01"/>
    <x v="0"/>
    <x v="119"/>
    <x v="2"/>
    <n v="64"/>
    <x v="1"/>
    <n v="256"/>
    <s v="办公用品"/>
    <s v="东北"/>
  </r>
  <r>
    <s v="US-3068-5444149"/>
    <x v="378"/>
    <d v="2021-11-28T06:50:51"/>
    <x v="2"/>
    <x v="0"/>
    <x v="7"/>
    <n v="58"/>
    <x v="4"/>
    <n v="290"/>
    <s v="办公用品"/>
    <s v="华东"/>
  </r>
  <r>
    <s v="CN-2744-1399832"/>
    <x v="379"/>
    <d v="2021-01-06T21:23:25"/>
    <x v="1"/>
    <x v="11"/>
    <x v="6"/>
    <n v="49"/>
    <x v="1"/>
    <n v="196"/>
    <s v="办公用品"/>
    <s v="华北"/>
  </r>
  <r>
    <s v="CN-2744-1399832"/>
    <x v="380"/>
    <d v="2021-01-06T10:33:19"/>
    <x v="1"/>
    <x v="11"/>
    <x v="13"/>
    <n v="65"/>
    <x v="0"/>
    <n v="130"/>
    <s v="家具"/>
    <s v="华北"/>
  </r>
  <r>
    <s v="CN-2744-1399832"/>
    <x v="381"/>
    <d v="2021-01-06T09:25:02"/>
    <x v="1"/>
    <x v="11"/>
    <x v="7"/>
    <n v="22"/>
    <x v="7"/>
    <n v="132"/>
    <s v="办公用品"/>
    <s v="华北"/>
  </r>
  <r>
    <s v="CN-2744-1399832"/>
    <x v="382"/>
    <d v="2021-01-06T11:24:14"/>
    <x v="1"/>
    <x v="11"/>
    <x v="0"/>
    <n v="62"/>
    <x v="2"/>
    <n v="186"/>
    <s v="办公用品"/>
    <s v="华北"/>
  </r>
  <r>
    <s v="CN-2744-1399832"/>
    <x v="383"/>
    <d v="2021-01-06T00:32:49"/>
    <x v="1"/>
    <x v="11"/>
    <x v="5"/>
    <n v="51"/>
    <x v="2"/>
    <n v="153"/>
    <s v="家具"/>
    <s v="华北"/>
  </r>
  <r>
    <s v="CN-2744-1399832"/>
    <x v="384"/>
    <d v="2021-01-06T14:19:41"/>
    <x v="1"/>
    <x v="11"/>
    <x v="2"/>
    <n v="51"/>
    <x v="1"/>
    <n v="204"/>
    <s v="办公用品"/>
    <s v="华北"/>
  </r>
  <r>
    <s v="CN-2744-1399832"/>
    <x v="385"/>
    <d v="2021-01-06T00:42:59"/>
    <x v="1"/>
    <x v="11"/>
    <x v="6"/>
    <n v="77"/>
    <x v="12"/>
    <n v="924"/>
    <s v="办公用品"/>
    <s v="华北"/>
  </r>
  <r>
    <s v="CN-3119-3132230"/>
    <x v="386"/>
    <d v="2022-01-18T23:56:49"/>
    <x v="1"/>
    <x v="122"/>
    <x v="13"/>
    <n v="71"/>
    <x v="1"/>
    <n v="284"/>
    <s v="家具"/>
    <s v="中南"/>
  </r>
  <r>
    <s v="CN-3119-3132230"/>
    <x v="387"/>
    <d v="2022-01-18T21:50:49"/>
    <x v="1"/>
    <x v="122"/>
    <x v="14"/>
    <n v="53"/>
    <x v="13"/>
    <n v="689"/>
    <s v="办公用品"/>
    <s v="中南"/>
  </r>
  <r>
    <s v="CN-3119-3132230"/>
    <x v="388"/>
    <d v="2022-01-18T20:41:38"/>
    <x v="1"/>
    <x v="122"/>
    <x v="2"/>
    <n v="88"/>
    <x v="0"/>
    <n v="176"/>
    <s v="办公用品"/>
    <s v="中南"/>
  </r>
  <r>
    <s v="CN-3220-1516102"/>
    <x v="389"/>
    <d v="2022-04-26T00:18:35"/>
    <x v="2"/>
    <x v="123"/>
    <x v="14"/>
    <n v="24"/>
    <x v="2"/>
    <n v="72"/>
    <s v="办公用品"/>
    <s v="东北"/>
  </r>
  <r>
    <s v="CN-3220-1516102"/>
    <x v="390"/>
    <d v="2022-04-26T12:14:36"/>
    <x v="2"/>
    <x v="123"/>
    <x v="5"/>
    <n v="58"/>
    <x v="0"/>
    <n v="116"/>
    <s v="家具"/>
    <s v="东北"/>
  </r>
  <r>
    <s v="CN-1919-5929986"/>
    <x v="391"/>
    <d v="2023-10-07T14:06:48"/>
    <x v="1"/>
    <x v="124"/>
    <x v="11"/>
    <n v="76"/>
    <x v="4"/>
    <n v="380"/>
    <s v="办公用品"/>
    <s v="中南"/>
  </r>
  <r>
    <s v="CN-2405-3381572"/>
    <x v="392"/>
    <d v="2023-02-03T12:47:16"/>
    <x v="1"/>
    <x v="125"/>
    <x v="3"/>
    <n v="79"/>
    <x v="1"/>
    <n v="316"/>
    <s v="办公用品"/>
    <s v="西南"/>
  </r>
  <r>
    <s v="CN-2405-3381572"/>
    <x v="393"/>
    <d v="2023-02-03T02:07:07"/>
    <x v="1"/>
    <x v="125"/>
    <x v="12"/>
    <n v="88"/>
    <x v="0"/>
    <n v="176"/>
    <s v="家具"/>
    <s v="西南"/>
  </r>
  <r>
    <s v="CN-2816-5648514"/>
    <x v="394"/>
    <d v="2021-03-22T15:35:33"/>
    <x v="1"/>
    <x v="45"/>
    <x v="5"/>
    <n v="39"/>
    <x v="7"/>
    <n v="234"/>
    <s v="家具"/>
    <s v="中南"/>
  </r>
  <r>
    <s v="CN-2816-5648514"/>
    <x v="395"/>
    <d v="2021-03-22T03:01:15"/>
    <x v="1"/>
    <x v="45"/>
    <x v="2"/>
    <n v="12"/>
    <x v="0"/>
    <n v="24"/>
    <s v="办公用品"/>
    <s v="中南"/>
  </r>
  <r>
    <s v="US-2096-4525677"/>
    <x v="396"/>
    <d v="2022-03-31T08:17:13"/>
    <x v="2"/>
    <x v="126"/>
    <x v="5"/>
    <n v="91"/>
    <x v="11"/>
    <n v="910"/>
    <s v="家具"/>
    <s v="华东"/>
  </r>
  <r>
    <s v="CN-2846-2698139"/>
    <x v="397"/>
    <d v="2021-04-23T19:26:33"/>
    <x v="0"/>
    <x v="101"/>
    <x v="0"/>
    <n v="52"/>
    <x v="4"/>
    <n v="260"/>
    <s v="办公用品"/>
    <s v="西南"/>
  </r>
  <r>
    <s v="CN-3083-2098822"/>
    <x v="398"/>
    <d v="2021-12-14T16:13:30"/>
    <x v="2"/>
    <x v="127"/>
    <x v="15"/>
    <n v="18"/>
    <x v="5"/>
    <n v="126"/>
    <s v="办公用品"/>
    <s v="东北"/>
  </r>
  <r>
    <s v="CN-3083-2098822"/>
    <x v="399"/>
    <d v="2021-12-14T12:04:25"/>
    <x v="2"/>
    <x v="127"/>
    <x v="3"/>
    <n v="18"/>
    <x v="3"/>
    <n v="162"/>
    <s v="办公用品"/>
    <s v="东北"/>
  </r>
  <r>
    <s v="CN-3083-2098822"/>
    <x v="400"/>
    <d v="2021-12-14T13:18:25"/>
    <x v="2"/>
    <x v="127"/>
    <x v="2"/>
    <n v="13"/>
    <x v="2"/>
    <n v="39"/>
    <s v="办公用品"/>
    <s v="东北"/>
  </r>
  <r>
    <s v="US-2464-1498643"/>
    <x v="401"/>
    <d v="2023-04-04T09:27:19"/>
    <x v="0"/>
    <x v="128"/>
    <x v="3"/>
    <n v="66"/>
    <x v="5"/>
    <n v="462"/>
    <s v="办公用品"/>
    <s v="东北"/>
  </r>
  <r>
    <s v="US-2464-1498643"/>
    <x v="402"/>
    <d v="2023-04-04T13:56:32"/>
    <x v="0"/>
    <x v="128"/>
    <x v="7"/>
    <n v="67"/>
    <x v="1"/>
    <n v="268"/>
    <s v="办公用品"/>
    <s v="东北"/>
  </r>
  <r>
    <s v="US-2464-1498643"/>
    <x v="403"/>
    <d v="2023-04-04T04:28:54"/>
    <x v="0"/>
    <x v="128"/>
    <x v="1"/>
    <n v="90"/>
    <x v="5"/>
    <n v="630"/>
    <s v="办公用品"/>
    <s v="东北"/>
  </r>
  <r>
    <s v="US-2464-1498643"/>
    <x v="404"/>
    <d v="2023-04-04T16:48:07"/>
    <x v="0"/>
    <x v="128"/>
    <x v="9"/>
    <n v="97"/>
    <x v="0"/>
    <n v="194"/>
    <s v="技术"/>
    <s v="东北"/>
  </r>
  <r>
    <s v="US-2464-1498643"/>
    <x v="405"/>
    <d v="2023-04-04T01:11:19"/>
    <x v="0"/>
    <x v="128"/>
    <x v="10"/>
    <n v="29"/>
    <x v="5"/>
    <n v="203"/>
    <s v="技术"/>
    <s v="东北"/>
  </r>
  <r>
    <s v="US-2464-1498643"/>
    <x v="406"/>
    <d v="2023-04-04T17:05:57"/>
    <x v="0"/>
    <x v="128"/>
    <x v="1"/>
    <n v="10"/>
    <x v="2"/>
    <n v="30"/>
    <s v="办公用品"/>
    <s v="东北"/>
  </r>
  <r>
    <s v="US-2464-1498643"/>
    <x v="407"/>
    <d v="2023-04-04T07:51:50"/>
    <x v="0"/>
    <x v="128"/>
    <x v="15"/>
    <n v="55"/>
    <x v="4"/>
    <n v="275"/>
    <s v="办公用品"/>
    <s v="东北"/>
  </r>
  <r>
    <s v="US-2789-1399108"/>
    <x v="408"/>
    <d v="2021-02-22T00:45:08"/>
    <x v="1"/>
    <x v="129"/>
    <x v="8"/>
    <n v="36"/>
    <x v="2"/>
    <n v="108"/>
    <s v="技术"/>
    <s v="东北"/>
  </r>
  <r>
    <s v="US-2789-1399108"/>
    <x v="409"/>
    <d v="2021-02-22T05:16:37"/>
    <x v="1"/>
    <x v="129"/>
    <x v="9"/>
    <n v="44"/>
    <x v="0"/>
    <n v="88"/>
    <s v="技术"/>
    <s v="东北"/>
  </r>
  <r>
    <s v="US-2789-1399108"/>
    <x v="410"/>
    <d v="2021-02-22T16:46:42"/>
    <x v="1"/>
    <x v="129"/>
    <x v="2"/>
    <n v="31"/>
    <x v="4"/>
    <n v="155"/>
    <s v="办公用品"/>
    <s v="东北"/>
  </r>
  <r>
    <s v="US-2789-1399108"/>
    <x v="411"/>
    <d v="2021-02-22T01:08:39"/>
    <x v="1"/>
    <x v="129"/>
    <x v="0"/>
    <n v="85"/>
    <x v="1"/>
    <n v="340"/>
    <s v="办公用品"/>
    <s v="东北"/>
  </r>
  <r>
    <s v="US-2789-1399108"/>
    <x v="412"/>
    <d v="2021-02-22T23:44:04"/>
    <x v="1"/>
    <x v="129"/>
    <x v="13"/>
    <n v="26"/>
    <x v="1"/>
    <n v="104"/>
    <s v="家具"/>
    <s v="东北"/>
  </r>
  <r>
    <s v="US-2789-1399108"/>
    <x v="413"/>
    <d v="2021-02-22T10:14:39"/>
    <x v="1"/>
    <x v="129"/>
    <x v="15"/>
    <n v="99"/>
    <x v="6"/>
    <n v="99"/>
    <s v="办公用品"/>
    <s v="东北"/>
  </r>
  <r>
    <s v="CN-2886-3694355"/>
    <x v="414"/>
    <d v="2021-06-01T12:28:04"/>
    <x v="0"/>
    <x v="23"/>
    <x v="15"/>
    <n v="95"/>
    <x v="7"/>
    <n v="570"/>
    <s v="办公用品"/>
    <s v="西北"/>
  </r>
  <r>
    <s v="CN-2776-2075782"/>
    <x v="415"/>
    <d v="2021-02-08T01:40:35"/>
    <x v="1"/>
    <x v="130"/>
    <x v="13"/>
    <n v="19"/>
    <x v="0"/>
    <n v="38"/>
    <s v="家具"/>
    <s v="东北"/>
  </r>
  <r>
    <s v="CN-2011-2829745"/>
    <x v="416"/>
    <d v="2022-01-07T09:38:41"/>
    <x v="2"/>
    <x v="131"/>
    <x v="2"/>
    <n v="86"/>
    <x v="5"/>
    <n v="602"/>
    <s v="办公用品"/>
    <s v="中南"/>
  </r>
  <r>
    <s v="CN-2011-2829745"/>
    <x v="417"/>
    <d v="2022-01-07T19:23:42"/>
    <x v="2"/>
    <x v="131"/>
    <x v="15"/>
    <n v="68"/>
    <x v="4"/>
    <n v="340"/>
    <s v="办公用品"/>
    <s v="中南"/>
  </r>
  <r>
    <s v="CN-2011-2829745"/>
    <x v="418"/>
    <d v="2022-01-07T08:09:13"/>
    <x v="2"/>
    <x v="131"/>
    <x v="12"/>
    <n v="20"/>
    <x v="2"/>
    <n v="60"/>
    <s v="家具"/>
    <s v="中南"/>
  </r>
  <r>
    <s v="CN-2011-2829745"/>
    <x v="419"/>
    <d v="2022-01-07T14:15:38"/>
    <x v="2"/>
    <x v="131"/>
    <x v="14"/>
    <n v="88"/>
    <x v="5"/>
    <n v="616"/>
    <s v="办公用品"/>
    <s v="中南"/>
  </r>
  <r>
    <s v="CN-2011-2829745"/>
    <x v="420"/>
    <d v="2022-01-07T17:30:37"/>
    <x v="2"/>
    <x v="131"/>
    <x v="3"/>
    <n v="58"/>
    <x v="12"/>
    <n v="696"/>
    <s v="办公用品"/>
    <s v="中南"/>
  </r>
  <r>
    <s v="CN-2083-2477297"/>
    <x v="421"/>
    <d v="2022-03-18T02:29:18"/>
    <x v="2"/>
    <x v="19"/>
    <x v="2"/>
    <n v="36"/>
    <x v="0"/>
    <n v="72"/>
    <s v="办公用品"/>
    <s v="华东"/>
  </r>
  <r>
    <s v="US-2085-5552260"/>
    <x v="422"/>
    <d v="2022-03-20T05:50:43"/>
    <x v="1"/>
    <x v="0"/>
    <x v="0"/>
    <n v="89"/>
    <x v="4"/>
    <n v="445"/>
    <s v="办公用品"/>
    <s v="华东"/>
  </r>
  <r>
    <s v="US-3151-4764837"/>
    <x v="423"/>
    <d v="2022-02-19T14:44:38"/>
    <x v="1"/>
    <x v="98"/>
    <x v="9"/>
    <n v="70"/>
    <x v="2"/>
    <n v="210"/>
    <s v="技术"/>
    <s v="华东"/>
  </r>
  <r>
    <s v="US-3151-4764837"/>
    <x v="424"/>
    <d v="2022-02-19T09:35:28"/>
    <x v="1"/>
    <x v="98"/>
    <x v="14"/>
    <n v="67"/>
    <x v="1"/>
    <n v="268"/>
    <s v="办公用品"/>
    <s v="华东"/>
  </r>
  <r>
    <s v="US-3151-4764837"/>
    <x v="425"/>
    <d v="2022-02-19T18:25:43"/>
    <x v="1"/>
    <x v="98"/>
    <x v="9"/>
    <n v="31"/>
    <x v="0"/>
    <n v="62"/>
    <s v="技术"/>
    <s v="华东"/>
  </r>
  <r>
    <s v="CN-2444-4725073"/>
    <x v="426"/>
    <d v="2023-03-12T14:24:13"/>
    <x v="2"/>
    <x v="132"/>
    <x v="2"/>
    <n v="75"/>
    <x v="2"/>
    <n v="225"/>
    <s v="办公用品"/>
    <s v="中南"/>
  </r>
  <r>
    <s v="CN-2444-4725073"/>
    <x v="427"/>
    <d v="2023-03-12T04:17:49"/>
    <x v="2"/>
    <x v="132"/>
    <x v="8"/>
    <n v="71"/>
    <x v="3"/>
    <n v="639"/>
    <s v="技术"/>
    <s v="中南"/>
  </r>
  <r>
    <s v="US-2653-3694355"/>
    <x v="428"/>
    <d v="2023-10-09T03:17:34"/>
    <x v="1"/>
    <x v="8"/>
    <x v="3"/>
    <n v="28"/>
    <x v="1"/>
    <n v="112"/>
    <s v="办公用品"/>
    <s v="华东"/>
  </r>
  <r>
    <s v="CN-3029-2805987"/>
    <x v="429"/>
    <d v="2021-10-18T07:23:02"/>
    <x v="1"/>
    <x v="133"/>
    <x v="10"/>
    <n v="12"/>
    <x v="4"/>
    <n v="60"/>
    <s v="技术"/>
    <s v="西南"/>
  </r>
  <r>
    <s v="US-2060-2531621"/>
    <x v="430"/>
    <d v="2022-02-24T14:31:19"/>
    <x v="1"/>
    <x v="51"/>
    <x v="9"/>
    <n v="14"/>
    <x v="5"/>
    <n v="98"/>
    <s v="技术"/>
    <s v="西北"/>
  </r>
  <r>
    <s v="US-2060-2531621"/>
    <x v="431"/>
    <d v="2022-02-24T16:43:29"/>
    <x v="1"/>
    <x v="51"/>
    <x v="4"/>
    <n v="99"/>
    <x v="4"/>
    <n v="495"/>
    <s v="技术"/>
    <s v="西北"/>
  </r>
  <r>
    <s v="US-2060-2531621"/>
    <x v="432"/>
    <d v="2022-02-24T17:24:16"/>
    <x v="1"/>
    <x v="51"/>
    <x v="5"/>
    <n v="21"/>
    <x v="2"/>
    <n v="63"/>
    <s v="家具"/>
    <s v="西北"/>
  </r>
  <r>
    <s v="CN-2644-3769666"/>
    <x v="433"/>
    <d v="2023-09-29T14:48:21"/>
    <x v="1"/>
    <x v="134"/>
    <x v="10"/>
    <n v="60"/>
    <x v="6"/>
    <n v="60"/>
    <s v="技术"/>
    <s v="东北"/>
  </r>
  <r>
    <s v="CN-2644-3769666"/>
    <x v="434"/>
    <d v="2023-09-29T19:43:37"/>
    <x v="1"/>
    <x v="134"/>
    <x v="8"/>
    <n v="44"/>
    <x v="6"/>
    <n v="44"/>
    <s v="技术"/>
    <s v="东北"/>
  </r>
  <r>
    <s v="CN-2188-3656854"/>
    <x v="435"/>
    <d v="2022-07-01T18:38:59"/>
    <x v="0"/>
    <x v="99"/>
    <x v="10"/>
    <n v="50"/>
    <x v="3"/>
    <n v="450"/>
    <s v="技术"/>
    <s v="东北"/>
  </r>
  <r>
    <s v="CN-2188-3656854"/>
    <x v="436"/>
    <d v="2022-07-01T08:40:46"/>
    <x v="0"/>
    <x v="99"/>
    <x v="3"/>
    <n v="95"/>
    <x v="0"/>
    <n v="190"/>
    <s v="办公用品"/>
    <s v="东北"/>
  </r>
  <r>
    <s v="CN-2188-3656854"/>
    <x v="437"/>
    <d v="2022-07-01T20:03:26"/>
    <x v="0"/>
    <x v="99"/>
    <x v="7"/>
    <n v="88"/>
    <x v="1"/>
    <n v="352"/>
    <s v="办公用品"/>
    <s v="东北"/>
  </r>
  <r>
    <s v="CN-2188-3656854"/>
    <x v="438"/>
    <d v="2022-07-01T20:45:47"/>
    <x v="0"/>
    <x v="99"/>
    <x v="7"/>
    <n v="81"/>
    <x v="1"/>
    <n v="324"/>
    <s v="办公用品"/>
    <s v="东北"/>
  </r>
  <r>
    <s v="CN-2188-3656854"/>
    <x v="439"/>
    <d v="2022-07-01T16:08:56"/>
    <x v="0"/>
    <x v="99"/>
    <x v="12"/>
    <n v="54"/>
    <x v="5"/>
    <n v="378"/>
    <s v="家具"/>
    <s v="东北"/>
  </r>
  <r>
    <s v="CN-2188-3656854"/>
    <x v="440"/>
    <d v="2022-07-01T12:39:35"/>
    <x v="0"/>
    <x v="99"/>
    <x v="6"/>
    <n v="27"/>
    <x v="0"/>
    <n v="54"/>
    <s v="办公用品"/>
    <s v="东北"/>
  </r>
  <r>
    <s v="CN-2829-3010037"/>
    <x v="441"/>
    <d v="2021-04-02T08:49:59"/>
    <x v="1"/>
    <x v="135"/>
    <x v="5"/>
    <n v="13"/>
    <x v="1"/>
    <n v="52"/>
    <s v="家具"/>
    <s v="东北"/>
  </r>
  <r>
    <s v="CN-2829-3010037"/>
    <x v="442"/>
    <d v="2021-04-02T14:18:39"/>
    <x v="1"/>
    <x v="135"/>
    <x v="6"/>
    <n v="32"/>
    <x v="0"/>
    <n v="64"/>
    <s v="办公用品"/>
    <s v="东北"/>
  </r>
  <r>
    <s v="CN-2829-3010037"/>
    <x v="443"/>
    <d v="2021-04-02T22:39:49"/>
    <x v="1"/>
    <x v="135"/>
    <x v="7"/>
    <n v="12"/>
    <x v="0"/>
    <n v="24"/>
    <s v="办公用品"/>
    <s v="东北"/>
  </r>
  <r>
    <s v="CN-2829-3010037"/>
    <x v="444"/>
    <d v="2021-04-02T08:03:29"/>
    <x v="1"/>
    <x v="135"/>
    <x v="12"/>
    <n v="11"/>
    <x v="0"/>
    <n v="22"/>
    <s v="家具"/>
    <s v="东北"/>
  </r>
  <r>
    <s v="CN-2829-3010037"/>
    <x v="445"/>
    <d v="2021-04-02T02:58:37"/>
    <x v="1"/>
    <x v="135"/>
    <x v="8"/>
    <n v="99"/>
    <x v="7"/>
    <n v="594"/>
    <s v="技术"/>
    <s v="东北"/>
  </r>
  <r>
    <s v="CN-2829-3010037"/>
    <x v="446"/>
    <d v="2021-04-02T12:37:00"/>
    <x v="1"/>
    <x v="135"/>
    <x v="6"/>
    <n v="53"/>
    <x v="4"/>
    <n v="265"/>
    <s v="办公用品"/>
    <s v="东北"/>
  </r>
  <r>
    <s v="CN-2829-3010037"/>
    <x v="447"/>
    <d v="2021-04-02T10:39:11"/>
    <x v="1"/>
    <x v="135"/>
    <x v="3"/>
    <n v="23"/>
    <x v="0"/>
    <n v="46"/>
    <s v="办公用品"/>
    <s v="东北"/>
  </r>
  <r>
    <s v="US-3145-1184235"/>
    <x v="448"/>
    <d v="2022-02-14T07:20:11"/>
    <x v="2"/>
    <x v="76"/>
    <x v="10"/>
    <n v="98"/>
    <x v="7"/>
    <n v="588"/>
    <s v="技术"/>
    <s v="西南"/>
  </r>
  <r>
    <s v="CN-2538-5731370"/>
    <x v="449"/>
    <d v="2023-06-17T03:12:08"/>
    <x v="0"/>
    <x v="134"/>
    <x v="7"/>
    <n v="65"/>
    <x v="0"/>
    <n v="130"/>
    <s v="办公用品"/>
    <s v="东北"/>
  </r>
  <r>
    <s v="US-2746-5082514"/>
    <x v="450"/>
    <d v="2021-01-06T02:54:12"/>
    <x v="0"/>
    <x v="136"/>
    <x v="2"/>
    <n v="56"/>
    <x v="3"/>
    <n v="504"/>
    <s v="办公用品"/>
    <s v="中南"/>
  </r>
  <r>
    <s v="CN-2159-5740094"/>
    <x v="451"/>
    <d v="2022-05-31T18:13:48"/>
    <x v="1"/>
    <x v="9"/>
    <x v="14"/>
    <n v="93"/>
    <x v="10"/>
    <n v="1023"/>
    <s v="办公用品"/>
    <s v="华东"/>
  </r>
  <r>
    <s v="CN-2159-5740094"/>
    <x v="452"/>
    <d v="2022-05-31T05:18:01"/>
    <x v="1"/>
    <x v="9"/>
    <x v="15"/>
    <n v="78"/>
    <x v="5"/>
    <n v="546"/>
    <s v="办公用品"/>
    <s v="华东"/>
  </r>
  <r>
    <s v="CN-2159-5740094"/>
    <x v="453"/>
    <d v="2022-05-31T18:33:36"/>
    <x v="1"/>
    <x v="9"/>
    <x v="5"/>
    <n v="93"/>
    <x v="6"/>
    <n v="93"/>
    <s v="家具"/>
    <s v="华东"/>
  </r>
  <r>
    <s v="CN-2159-5740094"/>
    <x v="454"/>
    <d v="2022-05-31T00:14:31"/>
    <x v="1"/>
    <x v="9"/>
    <x v="5"/>
    <n v="32"/>
    <x v="7"/>
    <n v="192"/>
    <s v="家具"/>
    <s v="华东"/>
  </r>
  <r>
    <s v="CN-2097-3883671"/>
    <x v="455"/>
    <d v="2022-04-03T15:04:28"/>
    <x v="0"/>
    <x v="18"/>
    <x v="15"/>
    <n v="89"/>
    <x v="13"/>
    <n v="1157"/>
    <s v="办公用品"/>
    <s v="华东"/>
  </r>
  <r>
    <s v="CN-2097-3883671"/>
    <x v="456"/>
    <d v="2022-04-03T01:43:54"/>
    <x v="0"/>
    <x v="18"/>
    <x v="8"/>
    <n v="22"/>
    <x v="2"/>
    <n v="66"/>
    <s v="技术"/>
    <s v="华东"/>
  </r>
  <r>
    <s v="CN-2471-4214931"/>
    <x v="457"/>
    <d v="2023-04-10T15:27:16"/>
    <x v="2"/>
    <x v="137"/>
    <x v="14"/>
    <n v="78"/>
    <x v="6"/>
    <n v="78"/>
    <s v="办公用品"/>
    <s v="中南"/>
  </r>
  <r>
    <s v="CN-2912-3585437"/>
    <x v="458"/>
    <d v="2021-06-26T13:57:44"/>
    <x v="1"/>
    <x v="138"/>
    <x v="13"/>
    <n v="45"/>
    <x v="10"/>
    <n v="495"/>
    <s v="家具"/>
    <s v="西北"/>
  </r>
  <r>
    <s v="CN-2912-3585437"/>
    <x v="459"/>
    <d v="2021-06-26T00:49:30"/>
    <x v="1"/>
    <x v="138"/>
    <x v="5"/>
    <n v="66"/>
    <x v="2"/>
    <n v="198"/>
    <s v="家具"/>
    <s v="西北"/>
  </r>
  <r>
    <s v="US-2032-5434393"/>
    <x v="460"/>
    <d v="2022-01-27T10:21:21"/>
    <x v="1"/>
    <x v="139"/>
    <x v="12"/>
    <n v="46"/>
    <x v="1"/>
    <n v="184"/>
    <s v="家具"/>
    <s v="东北"/>
  </r>
  <r>
    <s v="US-2032-5434393"/>
    <x v="461"/>
    <d v="2022-01-27T03:45:51"/>
    <x v="1"/>
    <x v="139"/>
    <x v="16"/>
    <n v="75"/>
    <x v="2"/>
    <n v="225"/>
    <s v="家具"/>
    <s v="东北"/>
  </r>
  <r>
    <s v="US-3186-4420382"/>
    <x v="462"/>
    <d v="2022-03-25T02:14:39"/>
    <x v="1"/>
    <x v="140"/>
    <x v="10"/>
    <n v="33"/>
    <x v="6"/>
    <n v="33"/>
    <s v="技术"/>
    <s v="华东"/>
  </r>
  <r>
    <s v="CN-3155-4719760"/>
    <x v="463"/>
    <d v="2022-02-24T09:51:16"/>
    <x v="0"/>
    <x v="141"/>
    <x v="13"/>
    <n v="23"/>
    <x v="2"/>
    <n v="69"/>
    <s v="家具"/>
    <s v="华北"/>
  </r>
  <r>
    <s v="CN-3155-4719760"/>
    <x v="464"/>
    <d v="2022-02-24T19:34:10"/>
    <x v="0"/>
    <x v="141"/>
    <x v="4"/>
    <n v="54"/>
    <x v="0"/>
    <n v="108"/>
    <s v="技术"/>
    <s v="华北"/>
  </r>
  <r>
    <s v="CN-3179-5036114"/>
    <x v="465"/>
    <d v="2022-03-21T06:52:46"/>
    <x v="1"/>
    <x v="142"/>
    <x v="2"/>
    <n v="68"/>
    <x v="0"/>
    <n v="136"/>
    <s v="办公用品"/>
    <s v="华东"/>
  </r>
  <r>
    <s v="CN-3179-5036114"/>
    <x v="466"/>
    <d v="2022-03-21T07:58:38"/>
    <x v="1"/>
    <x v="142"/>
    <x v="16"/>
    <n v="68"/>
    <x v="2"/>
    <n v="204"/>
    <s v="家具"/>
    <s v="华东"/>
  </r>
  <r>
    <s v="CN-3179-5036114"/>
    <x v="467"/>
    <d v="2022-03-21T13:52:14"/>
    <x v="1"/>
    <x v="142"/>
    <x v="3"/>
    <n v="33"/>
    <x v="1"/>
    <n v="132"/>
    <s v="办公用品"/>
    <s v="华东"/>
  </r>
  <r>
    <s v="CN-3179-5036114"/>
    <x v="468"/>
    <d v="2022-03-21T01:21:03"/>
    <x v="1"/>
    <x v="142"/>
    <x v="5"/>
    <n v="16"/>
    <x v="2"/>
    <n v="48"/>
    <s v="家具"/>
    <s v="华东"/>
  </r>
  <r>
    <s v="CN-2989-5816959"/>
    <x v="469"/>
    <d v="2021-09-11T02:52:14"/>
    <x v="0"/>
    <x v="107"/>
    <x v="2"/>
    <n v="29"/>
    <x v="1"/>
    <n v="116"/>
    <s v="办公用品"/>
    <s v="华北"/>
  </r>
  <r>
    <s v="CN-2989-5816959"/>
    <x v="470"/>
    <d v="2021-09-11T11:49:16"/>
    <x v="0"/>
    <x v="107"/>
    <x v="8"/>
    <n v="13"/>
    <x v="0"/>
    <n v="26"/>
    <s v="技术"/>
    <s v="华北"/>
  </r>
  <r>
    <s v="CN-2075-2146974"/>
    <x v="471"/>
    <d v="2022-03-11T14:14:57"/>
    <x v="0"/>
    <x v="143"/>
    <x v="10"/>
    <n v="17"/>
    <x v="4"/>
    <n v="85"/>
    <s v="技术"/>
    <s v="西南"/>
  </r>
  <r>
    <s v="CN-2075-2146974"/>
    <x v="472"/>
    <d v="2022-03-11T09:51:40"/>
    <x v="0"/>
    <x v="143"/>
    <x v="8"/>
    <n v="11"/>
    <x v="4"/>
    <n v="55"/>
    <s v="技术"/>
    <s v="西南"/>
  </r>
  <r>
    <s v="CN-2839-2166981"/>
    <x v="473"/>
    <d v="2021-04-13T03:29:19"/>
    <x v="1"/>
    <x v="144"/>
    <x v="7"/>
    <n v="57"/>
    <x v="2"/>
    <n v="171"/>
    <s v="办公用品"/>
    <s v="华东"/>
  </r>
  <r>
    <s v="CN-3117-4936120"/>
    <x v="474"/>
    <d v="2022-01-17T19:04:12"/>
    <x v="1"/>
    <x v="71"/>
    <x v="6"/>
    <n v="60"/>
    <x v="0"/>
    <n v="120"/>
    <s v="办公用品"/>
    <s v="中南"/>
  </r>
  <r>
    <s v="CN-3117-4936120"/>
    <x v="475"/>
    <d v="2022-01-17T13:16:01"/>
    <x v="1"/>
    <x v="71"/>
    <x v="7"/>
    <n v="34"/>
    <x v="4"/>
    <n v="170"/>
    <s v="办公用品"/>
    <s v="中南"/>
  </r>
  <r>
    <s v="CN-3117-4936120"/>
    <x v="476"/>
    <d v="2022-01-17T23:52:36"/>
    <x v="1"/>
    <x v="71"/>
    <x v="1"/>
    <n v="26"/>
    <x v="7"/>
    <n v="156"/>
    <s v="办公用品"/>
    <s v="中南"/>
  </r>
  <r>
    <s v="CN-3117-4936120"/>
    <x v="477"/>
    <d v="2022-01-17T12:18:31"/>
    <x v="1"/>
    <x v="71"/>
    <x v="4"/>
    <n v="11"/>
    <x v="6"/>
    <n v="11"/>
    <s v="技术"/>
    <s v="中南"/>
  </r>
  <r>
    <s v="CN-2536-3174894"/>
    <x v="478"/>
    <d v="2023-06-15T18:02:27"/>
    <x v="0"/>
    <x v="143"/>
    <x v="2"/>
    <n v="12"/>
    <x v="4"/>
    <n v="60"/>
    <s v="办公用品"/>
    <s v="西南"/>
  </r>
  <r>
    <s v="CN-2795-4288435"/>
    <x v="479"/>
    <d v="2021-02-26T03:32:27"/>
    <x v="1"/>
    <x v="29"/>
    <x v="13"/>
    <n v="42"/>
    <x v="2"/>
    <n v="126"/>
    <s v="家具"/>
    <s v="中南"/>
  </r>
  <r>
    <s v="CN-2393-4214287"/>
    <x v="480"/>
    <d v="2023-01-22T03:51:04"/>
    <x v="1"/>
    <x v="30"/>
    <x v="0"/>
    <n v="97"/>
    <x v="0"/>
    <n v="194"/>
    <s v="办公用品"/>
    <s v="华东"/>
  </r>
  <r>
    <s v="CN-3155-3922494"/>
    <x v="481"/>
    <d v="2022-02-23T14:48:07"/>
    <x v="0"/>
    <x v="145"/>
    <x v="12"/>
    <n v="32"/>
    <x v="2"/>
    <n v="96"/>
    <s v="家具"/>
    <s v="华北"/>
  </r>
  <r>
    <s v="CN-3228-4150128"/>
    <x v="482"/>
    <d v="2022-05-08T17:49:06"/>
    <x v="1"/>
    <x v="146"/>
    <x v="1"/>
    <n v="70"/>
    <x v="0"/>
    <n v="140"/>
    <s v="办公用品"/>
    <s v="中南"/>
  </r>
  <r>
    <s v="CN-3228-4150128"/>
    <x v="483"/>
    <d v="2022-05-08T02:11:43"/>
    <x v="1"/>
    <x v="146"/>
    <x v="2"/>
    <n v="66"/>
    <x v="2"/>
    <n v="198"/>
    <s v="办公用品"/>
    <s v="中南"/>
  </r>
  <r>
    <s v="CN-3049-1376899"/>
    <x v="484"/>
    <d v="2021-11-12T02:48:51"/>
    <x v="0"/>
    <x v="147"/>
    <x v="0"/>
    <n v="99"/>
    <x v="0"/>
    <n v="198"/>
    <s v="办公用品"/>
    <s v="东北"/>
  </r>
  <r>
    <s v="CN-3049-1376899"/>
    <x v="485"/>
    <d v="2021-11-12T12:18:49"/>
    <x v="0"/>
    <x v="147"/>
    <x v="5"/>
    <n v="26"/>
    <x v="8"/>
    <n v="208"/>
    <s v="家具"/>
    <s v="东北"/>
  </r>
  <r>
    <s v="US-2693-5956361"/>
    <x v="486"/>
    <d v="2023-11-18T10:23:45"/>
    <x v="1"/>
    <x v="148"/>
    <x v="9"/>
    <n v="10"/>
    <x v="0"/>
    <n v="20"/>
    <s v="技术"/>
    <s v="中南"/>
  </r>
  <r>
    <s v="US-2693-5956361"/>
    <x v="487"/>
    <d v="2023-11-18T23:19:52"/>
    <x v="1"/>
    <x v="148"/>
    <x v="8"/>
    <n v="90"/>
    <x v="1"/>
    <n v="360"/>
    <s v="技术"/>
    <s v="中南"/>
  </r>
  <r>
    <s v="US-2693-5956361"/>
    <x v="488"/>
    <d v="2023-11-18T05:42:25"/>
    <x v="1"/>
    <x v="148"/>
    <x v="14"/>
    <n v="43"/>
    <x v="2"/>
    <n v="129"/>
    <s v="办公用品"/>
    <s v="中南"/>
  </r>
  <r>
    <s v="US-2693-5956361"/>
    <x v="489"/>
    <d v="2023-11-18T17:00:17"/>
    <x v="1"/>
    <x v="148"/>
    <x v="13"/>
    <n v="49"/>
    <x v="2"/>
    <n v="147"/>
    <s v="家具"/>
    <s v="中南"/>
  </r>
  <r>
    <s v="US-2693-5956361"/>
    <x v="490"/>
    <d v="2023-11-18T13:45:30"/>
    <x v="1"/>
    <x v="148"/>
    <x v="9"/>
    <n v="37"/>
    <x v="2"/>
    <n v="111"/>
    <s v="技术"/>
    <s v="中南"/>
  </r>
  <r>
    <s v="CN-1989-2121055"/>
    <x v="491"/>
    <d v="2023-12-15T17:18:39"/>
    <x v="0"/>
    <x v="71"/>
    <x v="3"/>
    <n v="39"/>
    <x v="0"/>
    <n v="78"/>
    <s v="办公用品"/>
    <s v="中南"/>
  </r>
  <r>
    <s v="CN-1989-2121055"/>
    <x v="492"/>
    <d v="2023-12-15T10:19:53"/>
    <x v="0"/>
    <x v="71"/>
    <x v="1"/>
    <n v="89"/>
    <x v="1"/>
    <n v="356"/>
    <s v="办公用品"/>
    <s v="中南"/>
  </r>
  <r>
    <s v="CN-1989-2121055"/>
    <x v="493"/>
    <d v="2023-12-15T17:51:00"/>
    <x v="0"/>
    <x v="71"/>
    <x v="0"/>
    <n v="77"/>
    <x v="0"/>
    <n v="154"/>
    <s v="办公用品"/>
    <s v="中南"/>
  </r>
  <r>
    <s v="CN-1989-2121055"/>
    <x v="494"/>
    <d v="2023-12-15T17:12:58"/>
    <x v="0"/>
    <x v="71"/>
    <x v="16"/>
    <n v="40"/>
    <x v="0"/>
    <n v="80"/>
    <s v="家具"/>
    <s v="中南"/>
  </r>
  <r>
    <s v="CN-2851-4662338"/>
    <x v="495"/>
    <d v="2021-04-24T14:15:04"/>
    <x v="1"/>
    <x v="149"/>
    <x v="2"/>
    <n v="83"/>
    <x v="0"/>
    <n v="166"/>
    <s v="办公用品"/>
    <s v="华东"/>
  </r>
  <r>
    <s v="CN-2851-4662338"/>
    <x v="496"/>
    <d v="2021-04-24T21:14:47"/>
    <x v="1"/>
    <x v="149"/>
    <x v="4"/>
    <n v="59"/>
    <x v="4"/>
    <n v="295"/>
    <s v="技术"/>
    <s v="华东"/>
  </r>
  <r>
    <s v="CN-2851-4662338"/>
    <x v="497"/>
    <d v="2021-04-24T22:49:36"/>
    <x v="1"/>
    <x v="149"/>
    <x v="1"/>
    <n v="63"/>
    <x v="0"/>
    <n v="126"/>
    <s v="办公用品"/>
    <s v="华东"/>
  </r>
  <r>
    <s v="CN-2851-4662338"/>
    <x v="498"/>
    <d v="2021-04-24T20:03:01"/>
    <x v="1"/>
    <x v="149"/>
    <x v="0"/>
    <n v="35"/>
    <x v="7"/>
    <n v="210"/>
    <s v="办公用品"/>
    <s v="华东"/>
  </r>
  <r>
    <s v="CN-2851-4662338"/>
    <x v="499"/>
    <d v="2021-04-24T00:19:33"/>
    <x v="1"/>
    <x v="149"/>
    <x v="6"/>
    <n v="62"/>
    <x v="0"/>
    <n v="124"/>
    <s v="办公用品"/>
    <s v="华东"/>
  </r>
  <r>
    <s v="CN-2851-4662338"/>
    <x v="500"/>
    <d v="2021-04-24T16:51:27"/>
    <x v="1"/>
    <x v="149"/>
    <x v="9"/>
    <n v="32"/>
    <x v="0"/>
    <n v="64"/>
    <s v="技术"/>
    <s v="华东"/>
  </r>
  <r>
    <s v="CN-2851-4662338"/>
    <x v="501"/>
    <d v="2021-04-24T13:42:50"/>
    <x v="1"/>
    <x v="149"/>
    <x v="14"/>
    <n v="55"/>
    <x v="2"/>
    <n v="165"/>
    <s v="办公用品"/>
    <s v="华东"/>
  </r>
  <r>
    <s v="CN-3187-3232918"/>
    <x v="502"/>
    <d v="2022-03-23T18:02:08"/>
    <x v="1"/>
    <x v="32"/>
    <x v="13"/>
    <n v="32"/>
    <x v="1"/>
    <n v="128"/>
    <s v="家具"/>
    <s v="西南"/>
  </r>
  <r>
    <s v="CN-3187-3232918"/>
    <x v="503"/>
    <d v="2022-03-23T21:57:37"/>
    <x v="1"/>
    <x v="32"/>
    <x v="13"/>
    <n v="26"/>
    <x v="0"/>
    <n v="52"/>
    <s v="家具"/>
    <s v="西南"/>
  </r>
  <r>
    <s v="US-2622-4774798"/>
    <x v="504"/>
    <d v="2023-09-08T00:12:44"/>
    <x v="1"/>
    <x v="140"/>
    <x v="7"/>
    <n v="89"/>
    <x v="1"/>
    <n v="356"/>
    <s v="办公用品"/>
    <s v="华东"/>
  </r>
  <r>
    <s v="US-3005-2312244"/>
    <x v="505"/>
    <d v="2021-09-27T16:42:23"/>
    <x v="2"/>
    <x v="150"/>
    <x v="15"/>
    <n v="47"/>
    <x v="4"/>
    <n v="235"/>
    <s v="办公用品"/>
    <s v="华东"/>
  </r>
  <r>
    <s v="CN-1937-5781167"/>
    <x v="506"/>
    <d v="2023-10-22T12:36:57"/>
    <x v="1"/>
    <x v="151"/>
    <x v="11"/>
    <n v="30"/>
    <x v="2"/>
    <n v="90"/>
    <s v="办公用品"/>
    <s v="东北"/>
  </r>
  <r>
    <s v="CN-2789-2647402"/>
    <x v="507"/>
    <d v="2021-02-25T17:24:51"/>
    <x v="2"/>
    <x v="42"/>
    <x v="4"/>
    <n v="65"/>
    <x v="2"/>
    <n v="195"/>
    <s v="技术"/>
    <s v="华北"/>
  </r>
  <r>
    <s v="CN-3130-1574908"/>
    <x v="508"/>
    <d v="2022-01-29T17:37:13"/>
    <x v="0"/>
    <x v="152"/>
    <x v="13"/>
    <n v="61"/>
    <x v="2"/>
    <n v="183"/>
    <s v="家具"/>
    <s v="东北"/>
  </r>
  <r>
    <s v="CN-2574-5848215"/>
    <x v="509"/>
    <d v="2023-07-22T22:53:01"/>
    <x v="1"/>
    <x v="151"/>
    <x v="9"/>
    <n v="32"/>
    <x v="2"/>
    <n v="96"/>
    <s v="技术"/>
    <s v="东北"/>
  </r>
  <r>
    <s v="CN-2574-5848215"/>
    <x v="510"/>
    <d v="2023-07-22T12:08:27"/>
    <x v="1"/>
    <x v="151"/>
    <x v="0"/>
    <n v="36"/>
    <x v="4"/>
    <n v="180"/>
    <s v="办公用品"/>
    <s v="东北"/>
  </r>
  <r>
    <s v="CN-2601-4998591"/>
    <x v="511"/>
    <d v="2023-08-18T02:04:30"/>
    <x v="1"/>
    <x v="118"/>
    <x v="9"/>
    <n v="39"/>
    <x v="2"/>
    <n v="117"/>
    <s v="技术"/>
    <s v="西南"/>
  </r>
  <r>
    <s v="CN-2626-4246507"/>
    <x v="512"/>
    <d v="2023-09-12T06:15:24"/>
    <x v="1"/>
    <x v="153"/>
    <x v="3"/>
    <n v="34"/>
    <x v="1"/>
    <n v="136"/>
    <s v="办公用品"/>
    <s v="华东"/>
  </r>
  <r>
    <s v="CN-2626-4246507"/>
    <x v="513"/>
    <d v="2023-09-12T12:35:59"/>
    <x v="1"/>
    <x v="153"/>
    <x v="7"/>
    <n v="82"/>
    <x v="1"/>
    <n v="328"/>
    <s v="办公用品"/>
    <s v="华东"/>
  </r>
  <r>
    <s v="CN-2626-4246507"/>
    <x v="514"/>
    <d v="2023-09-12T13:46:52"/>
    <x v="1"/>
    <x v="153"/>
    <x v="5"/>
    <n v="97"/>
    <x v="2"/>
    <n v="291"/>
    <s v="家具"/>
    <s v="华东"/>
  </r>
  <r>
    <s v="CN-2626-4246507"/>
    <x v="515"/>
    <d v="2023-09-12T02:03:20"/>
    <x v="1"/>
    <x v="153"/>
    <x v="6"/>
    <n v="41"/>
    <x v="2"/>
    <n v="123"/>
    <s v="办公用品"/>
    <s v="华东"/>
  </r>
  <r>
    <s v="CN-2422-2770008"/>
    <x v="516"/>
    <d v="2023-02-16T22:40:08"/>
    <x v="1"/>
    <x v="69"/>
    <x v="1"/>
    <n v="19"/>
    <x v="2"/>
    <n v="57"/>
    <s v="办公用品"/>
    <s v="中南"/>
  </r>
  <r>
    <s v="CN-2422-2770008"/>
    <x v="517"/>
    <d v="2023-02-16T15:35:57"/>
    <x v="1"/>
    <x v="69"/>
    <x v="6"/>
    <n v="73"/>
    <x v="5"/>
    <n v="511"/>
    <s v="办公用品"/>
    <s v="中南"/>
  </r>
  <r>
    <s v="CN-2154-3589017"/>
    <x v="518"/>
    <d v="2022-05-29T10:32:58"/>
    <x v="1"/>
    <x v="14"/>
    <x v="15"/>
    <n v="62"/>
    <x v="0"/>
    <n v="124"/>
    <s v="办公用品"/>
    <s v="华东"/>
  </r>
  <r>
    <s v="US-3105-1346492"/>
    <x v="519"/>
    <d v="2022-01-02T03:55:41"/>
    <x v="1"/>
    <x v="154"/>
    <x v="8"/>
    <n v="22"/>
    <x v="4"/>
    <n v="110"/>
    <s v="技术"/>
    <s v="中南"/>
  </r>
  <r>
    <s v="CN-2443-4870971"/>
    <x v="520"/>
    <d v="2023-03-15T02:24:44"/>
    <x v="0"/>
    <x v="99"/>
    <x v="0"/>
    <n v="39"/>
    <x v="7"/>
    <n v="234"/>
    <s v="办公用品"/>
    <s v="东北"/>
  </r>
  <r>
    <s v="CN-2671-3010037"/>
    <x v="521"/>
    <d v="2023-10-29T20:17:29"/>
    <x v="1"/>
    <x v="155"/>
    <x v="8"/>
    <n v="26"/>
    <x v="0"/>
    <n v="52"/>
    <s v="技术"/>
    <s v="华北"/>
  </r>
  <r>
    <s v="CN-3041-2979175"/>
    <x v="522"/>
    <d v="2021-11-04T10:14:26"/>
    <x v="1"/>
    <x v="156"/>
    <x v="1"/>
    <n v="18"/>
    <x v="2"/>
    <n v="54"/>
    <s v="办公用品"/>
    <s v="中南"/>
  </r>
  <r>
    <s v="CN-1814-1776641"/>
    <x v="523"/>
    <d v="2023-06-19T22:27:19"/>
    <x v="0"/>
    <x v="157"/>
    <x v="2"/>
    <n v="15"/>
    <x v="2"/>
    <n v="45"/>
    <s v="办公用品"/>
    <s v="中南"/>
  </r>
  <r>
    <s v="US-3182-2477297"/>
    <x v="524"/>
    <d v="2022-03-23T10:49:02"/>
    <x v="2"/>
    <x v="33"/>
    <x v="15"/>
    <n v="35"/>
    <x v="6"/>
    <n v="35"/>
    <s v="办公用品"/>
    <s v="华东"/>
  </r>
  <r>
    <s v="US-2055-5672005"/>
    <x v="525"/>
    <d v="2022-02-20T11:01:47"/>
    <x v="0"/>
    <x v="37"/>
    <x v="5"/>
    <n v="68"/>
    <x v="1"/>
    <n v="272"/>
    <s v="家具"/>
    <s v="中南"/>
  </r>
  <r>
    <s v="US-2055-5672005"/>
    <x v="526"/>
    <d v="2022-02-20T10:16:43"/>
    <x v="0"/>
    <x v="37"/>
    <x v="14"/>
    <n v="14"/>
    <x v="6"/>
    <n v="14"/>
    <s v="办公用品"/>
    <s v="中南"/>
  </r>
  <r>
    <s v="US-2055-5672005"/>
    <x v="527"/>
    <d v="2022-02-20T20:52:27"/>
    <x v="0"/>
    <x v="37"/>
    <x v="13"/>
    <n v="78"/>
    <x v="6"/>
    <n v="78"/>
    <s v="家具"/>
    <s v="中南"/>
  </r>
  <r>
    <s v="CN-2863-5477816"/>
    <x v="528"/>
    <d v="2021-05-06T07:49:29"/>
    <x v="0"/>
    <x v="158"/>
    <x v="11"/>
    <n v="46"/>
    <x v="5"/>
    <n v="322"/>
    <s v="办公用品"/>
    <s v="华东"/>
  </r>
  <r>
    <s v="US-2993-1715632"/>
    <x v="529"/>
    <d v="2021-09-14T04:41:57"/>
    <x v="0"/>
    <x v="28"/>
    <x v="15"/>
    <n v="43"/>
    <x v="6"/>
    <n v="43"/>
    <s v="办公用品"/>
    <s v="中南"/>
  </r>
  <r>
    <s v="US-2993-1715632"/>
    <x v="530"/>
    <d v="2021-09-14T05:06:54"/>
    <x v="0"/>
    <x v="28"/>
    <x v="2"/>
    <n v="39"/>
    <x v="2"/>
    <n v="117"/>
    <s v="办公用品"/>
    <s v="中南"/>
  </r>
  <r>
    <s v="CN-2970-2964244"/>
    <x v="531"/>
    <d v="2021-08-23T17:27:54"/>
    <x v="1"/>
    <x v="159"/>
    <x v="13"/>
    <n v="16"/>
    <x v="2"/>
    <n v="48"/>
    <s v="家具"/>
    <s v="东北"/>
  </r>
  <r>
    <s v="CN-2970-2964244"/>
    <x v="532"/>
    <d v="2021-08-23T16:12:32"/>
    <x v="1"/>
    <x v="159"/>
    <x v="10"/>
    <n v="84"/>
    <x v="0"/>
    <n v="168"/>
    <s v="技术"/>
    <s v="东北"/>
  </r>
  <r>
    <s v="CN-2373-5308381"/>
    <x v="533"/>
    <d v="2022-12-31T21:51:41"/>
    <x v="1"/>
    <x v="160"/>
    <x v="1"/>
    <n v="68"/>
    <x v="8"/>
    <n v="544"/>
    <s v="办公用品"/>
    <s v="东北"/>
  </r>
  <r>
    <s v="CN-2373-5308381"/>
    <x v="534"/>
    <d v="2022-12-31T17:21:23"/>
    <x v="1"/>
    <x v="160"/>
    <x v="5"/>
    <n v="97"/>
    <x v="4"/>
    <n v="485"/>
    <s v="家具"/>
    <s v="东北"/>
  </r>
  <r>
    <s v="CN-2373-5308381"/>
    <x v="535"/>
    <d v="2022-12-31T00:21:26"/>
    <x v="1"/>
    <x v="160"/>
    <x v="5"/>
    <n v="76"/>
    <x v="6"/>
    <n v="76"/>
    <s v="家具"/>
    <s v="东北"/>
  </r>
  <r>
    <s v="CN-2692-2146974"/>
    <x v="536"/>
    <d v="2023-11-17T03:19:39"/>
    <x v="0"/>
    <x v="21"/>
    <x v="6"/>
    <n v="45"/>
    <x v="2"/>
    <n v="135"/>
    <s v="办公用品"/>
    <s v="东北"/>
  </r>
  <r>
    <s v="CN-2692-2146974"/>
    <x v="537"/>
    <d v="2023-11-17T10:13:18"/>
    <x v="0"/>
    <x v="21"/>
    <x v="11"/>
    <n v="96"/>
    <x v="7"/>
    <n v="576"/>
    <s v="办公用品"/>
    <s v="东北"/>
  </r>
  <r>
    <s v="CN-2692-2146974"/>
    <x v="538"/>
    <d v="2023-11-17T01:26:36"/>
    <x v="0"/>
    <x v="21"/>
    <x v="1"/>
    <n v="28"/>
    <x v="0"/>
    <n v="56"/>
    <s v="办公用品"/>
    <s v="东北"/>
  </r>
  <r>
    <s v="CN-2692-2146974"/>
    <x v="539"/>
    <d v="2023-11-17T06:37:25"/>
    <x v="0"/>
    <x v="21"/>
    <x v="10"/>
    <n v="97"/>
    <x v="2"/>
    <n v="291"/>
    <s v="技术"/>
    <s v="东北"/>
  </r>
  <r>
    <s v="CN-2692-2146974"/>
    <x v="540"/>
    <d v="2023-11-17T02:33:53"/>
    <x v="0"/>
    <x v="21"/>
    <x v="5"/>
    <n v="100"/>
    <x v="6"/>
    <n v="100"/>
    <s v="家具"/>
    <s v="东北"/>
  </r>
  <r>
    <s v="US-1992-1597983"/>
    <x v="541"/>
    <d v="2023-12-16T21:00:01"/>
    <x v="1"/>
    <x v="0"/>
    <x v="9"/>
    <n v="96"/>
    <x v="1"/>
    <n v="384"/>
    <s v="技术"/>
    <s v="华东"/>
  </r>
  <r>
    <s v="US-1992-1597983"/>
    <x v="542"/>
    <d v="2023-12-16T05:09:47"/>
    <x v="1"/>
    <x v="0"/>
    <x v="10"/>
    <n v="28"/>
    <x v="2"/>
    <n v="84"/>
    <s v="技术"/>
    <s v="华东"/>
  </r>
  <r>
    <s v="CN-2520-3807036"/>
    <x v="543"/>
    <d v="2023-05-29T15:57:30"/>
    <x v="0"/>
    <x v="161"/>
    <x v="11"/>
    <n v="40"/>
    <x v="4"/>
    <n v="200"/>
    <s v="办公用品"/>
    <s v="华东"/>
  </r>
  <r>
    <s v="CN-2520-3807036"/>
    <x v="544"/>
    <d v="2023-05-29T15:51:21"/>
    <x v="0"/>
    <x v="161"/>
    <x v="3"/>
    <n v="60"/>
    <x v="0"/>
    <n v="120"/>
    <s v="办公用品"/>
    <s v="华东"/>
  </r>
  <r>
    <s v="CN-2520-3807036"/>
    <x v="545"/>
    <d v="2023-05-29T13:02:57"/>
    <x v="0"/>
    <x v="161"/>
    <x v="15"/>
    <n v="98"/>
    <x v="0"/>
    <n v="196"/>
    <s v="办公用品"/>
    <s v="华东"/>
  </r>
  <r>
    <s v="CN-3124-3706710"/>
    <x v="546"/>
    <d v="2022-01-24T14:41:54"/>
    <x v="0"/>
    <x v="54"/>
    <x v="9"/>
    <n v="84"/>
    <x v="4"/>
    <n v="420"/>
    <s v="技术"/>
    <s v="中南"/>
  </r>
  <r>
    <s v="CN-3124-3706710"/>
    <x v="547"/>
    <d v="2022-01-24T14:38:19"/>
    <x v="0"/>
    <x v="54"/>
    <x v="3"/>
    <n v="67"/>
    <x v="10"/>
    <n v="737"/>
    <s v="办公用品"/>
    <s v="中南"/>
  </r>
  <r>
    <s v="CN-2480-3420308"/>
    <x v="548"/>
    <d v="2023-04-19T13:47:19"/>
    <x v="0"/>
    <x v="162"/>
    <x v="12"/>
    <n v="39"/>
    <x v="0"/>
    <n v="78"/>
    <s v="家具"/>
    <s v="中南"/>
  </r>
  <r>
    <s v="CN-2480-3420308"/>
    <x v="549"/>
    <d v="2023-04-19T13:20:37"/>
    <x v="0"/>
    <x v="162"/>
    <x v="12"/>
    <n v="100"/>
    <x v="1"/>
    <n v="400"/>
    <s v="家具"/>
    <s v="中南"/>
  </r>
  <r>
    <s v="CN-2480-3420308"/>
    <x v="550"/>
    <d v="2023-04-19T13:22:54"/>
    <x v="0"/>
    <x v="162"/>
    <x v="12"/>
    <n v="75"/>
    <x v="2"/>
    <n v="225"/>
    <s v="家具"/>
    <s v="中南"/>
  </r>
  <r>
    <s v="CN-3042-5592498"/>
    <x v="551"/>
    <d v="2021-11-05T22:29:07"/>
    <x v="0"/>
    <x v="73"/>
    <x v="8"/>
    <n v="19"/>
    <x v="0"/>
    <n v="38"/>
    <s v="技术"/>
    <s v="华北"/>
  </r>
  <r>
    <s v="CN-2490-1021233"/>
    <x v="552"/>
    <d v="2023-04-29T15:33:43"/>
    <x v="0"/>
    <x v="6"/>
    <x v="15"/>
    <n v="94"/>
    <x v="7"/>
    <n v="564"/>
    <s v="办公用品"/>
    <s v="东北"/>
  </r>
  <r>
    <s v="CN-1815-5477816"/>
    <x v="553"/>
    <d v="2023-06-23T19:54:55"/>
    <x v="2"/>
    <x v="163"/>
    <x v="13"/>
    <n v="33"/>
    <x v="1"/>
    <n v="132"/>
    <s v="家具"/>
    <s v="东北"/>
  </r>
  <r>
    <s v="CN-1815-5477816"/>
    <x v="554"/>
    <d v="2023-06-23T18:31:34"/>
    <x v="2"/>
    <x v="163"/>
    <x v="11"/>
    <n v="77"/>
    <x v="1"/>
    <n v="308"/>
    <s v="办公用品"/>
    <s v="东北"/>
  </r>
  <r>
    <s v="CN-1815-5477816"/>
    <x v="555"/>
    <d v="2023-06-23T05:19:16"/>
    <x v="2"/>
    <x v="163"/>
    <x v="9"/>
    <n v="34"/>
    <x v="0"/>
    <n v="68"/>
    <s v="技术"/>
    <s v="东北"/>
  </r>
  <r>
    <s v="CN-2094-5278404"/>
    <x v="556"/>
    <d v="2022-03-25T09:53:40"/>
    <x v="0"/>
    <x v="105"/>
    <x v="8"/>
    <n v="59"/>
    <x v="3"/>
    <n v="531"/>
    <s v="技术"/>
    <s v="华北"/>
  </r>
  <r>
    <s v="CN-2109-2560726"/>
    <x v="557"/>
    <d v="2022-04-13T14:52:18"/>
    <x v="1"/>
    <x v="161"/>
    <x v="2"/>
    <n v="61"/>
    <x v="2"/>
    <n v="183"/>
    <s v="办公用品"/>
    <s v="华东"/>
  </r>
  <r>
    <s v="US-2300-5007229"/>
    <x v="558"/>
    <d v="2022-10-23T15:52:38"/>
    <x v="1"/>
    <x v="0"/>
    <x v="5"/>
    <n v="57"/>
    <x v="0"/>
    <n v="114"/>
    <s v="家具"/>
    <s v="华东"/>
  </r>
  <r>
    <s v="US-2300-5007229"/>
    <x v="559"/>
    <d v="2022-10-23T05:27:19"/>
    <x v="1"/>
    <x v="0"/>
    <x v="1"/>
    <n v="67"/>
    <x v="0"/>
    <n v="134"/>
    <s v="办公用品"/>
    <s v="华东"/>
  </r>
  <r>
    <s v="CN-2227-2919347"/>
    <x v="560"/>
    <d v="2022-08-07T21:16:16"/>
    <x v="1"/>
    <x v="13"/>
    <x v="4"/>
    <n v="41"/>
    <x v="1"/>
    <n v="164"/>
    <s v="技术"/>
    <s v="华东"/>
  </r>
  <r>
    <s v="CN-2724-3434056"/>
    <x v="561"/>
    <d v="2023-12-21T21:13:02"/>
    <x v="1"/>
    <x v="15"/>
    <x v="5"/>
    <n v="85"/>
    <x v="4"/>
    <n v="425"/>
    <s v="家具"/>
    <s v="西北"/>
  </r>
  <r>
    <s v="US-2739-3678373"/>
    <x v="562"/>
    <d v="2021-01-04T18:04:38"/>
    <x v="0"/>
    <x v="164"/>
    <x v="9"/>
    <n v="87"/>
    <x v="2"/>
    <n v="261"/>
    <s v="技术"/>
    <s v="华东"/>
  </r>
  <r>
    <s v="US-2739-3678373"/>
    <x v="563"/>
    <d v="2021-01-04T20:19:56"/>
    <x v="0"/>
    <x v="164"/>
    <x v="3"/>
    <n v="66"/>
    <x v="4"/>
    <n v="330"/>
    <s v="办公用品"/>
    <s v="华东"/>
  </r>
  <r>
    <s v="CN-3102-3569535"/>
    <x v="564"/>
    <d v="2021-12-30T00:59:40"/>
    <x v="1"/>
    <x v="108"/>
    <x v="11"/>
    <n v="59"/>
    <x v="0"/>
    <n v="118"/>
    <s v="办公用品"/>
    <s v="中南"/>
  </r>
  <r>
    <s v="CN-3102-3569535"/>
    <x v="565"/>
    <d v="2021-12-30T02:24:03"/>
    <x v="1"/>
    <x v="108"/>
    <x v="8"/>
    <n v="48"/>
    <x v="7"/>
    <n v="288"/>
    <s v="技术"/>
    <s v="中南"/>
  </r>
  <r>
    <s v="CN-3102-3569535"/>
    <x v="566"/>
    <d v="2021-12-30T15:59:03"/>
    <x v="1"/>
    <x v="108"/>
    <x v="8"/>
    <n v="35"/>
    <x v="2"/>
    <n v="105"/>
    <s v="技术"/>
    <s v="中南"/>
  </r>
  <r>
    <s v="CN-3102-3569535"/>
    <x v="567"/>
    <d v="2021-12-30T05:31:44"/>
    <x v="1"/>
    <x v="108"/>
    <x v="5"/>
    <n v="58"/>
    <x v="2"/>
    <n v="174"/>
    <s v="家具"/>
    <s v="中南"/>
  </r>
  <r>
    <s v="CN-2899-2210906"/>
    <x v="568"/>
    <d v="2021-06-12T18:30:15"/>
    <x v="1"/>
    <x v="165"/>
    <x v="4"/>
    <n v="82"/>
    <x v="0"/>
    <n v="164"/>
    <s v="技术"/>
    <s v="中南"/>
  </r>
  <r>
    <s v="CN-2899-2210906"/>
    <x v="569"/>
    <d v="2021-06-12T10:16:07"/>
    <x v="1"/>
    <x v="165"/>
    <x v="10"/>
    <n v="21"/>
    <x v="2"/>
    <n v="63"/>
    <s v="技术"/>
    <s v="中南"/>
  </r>
  <r>
    <s v="CN-2899-2210906"/>
    <x v="570"/>
    <d v="2021-06-12T05:54:02"/>
    <x v="1"/>
    <x v="165"/>
    <x v="14"/>
    <n v="82"/>
    <x v="2"/>
    <n v="246"/>
    <s v="办公用品"/>
    <s v="中南"/>
  </r>
  <r>
    <s v="CN-3189-3381572"/>
    <x v="571"/>
    <d v="2022-03-31T22:01:21"/>
    <x v="0"/>
    <x v="39"/>
    <x v="1"/>
    <n v="82"/>
    <x v="0"/>
    <n v="164"/>
    <s v="办公用品"/>
    <s v="华东"/>
  </r>
  <r>
    <s v="US-3175-3325239"/>
    <x v="572"/>
    <d v="2022-03-13T20:08:54"/>
    <x v="1"/>
    <x v="166"/>
    <x v="0"/>
    <n v="37"/>
    <x v="1"/>
    <n v="148"/>
    <s v="办公用品"/>
    <s v="西北"/>
  </r>
  <r>
    <s v="US-3175-3325239"/>
    <x v="573"/>
    <d v="2022-03-13T14:21:01"/>
    <x v="1"/>
    <x v="166"/>
    <x v="9"/>
    <n v="53"/>
    <x v="5"/>
    <n v="371"/>
    <s v="技术"/>
    <s v="西北"/>
  </r>
  <r>
    <s v="US-3175-3325239"/>
    <x v="574"/>
    <d v="2022-03-13T01:27:16"/>
    <x v="1"/>
    <x v="166"/>
    <x v="16"/>
    <n v="67"/>
    <x v="5"/>
    <n v="469"/>
    <s v="家具"/>
    <s v="西北"/>
  </r>
  <r>
    <s v="US-3175-3325239"/>
    <x v="575"/>
    <d v="2022-03-13T14:50:20"/>
    <x v="1"/>
    <x v="166"/>
    <x v="5"/>
    <n v="94"/>
    <x v="5"/>
    <n v="658"/>
    <s v="家具"/>
    <s v="西北"/>
  </r>
  <r>
    <s v="CN-3180-3904829"/>
    <x v="576"/>
    <d v="2022-03-18T02:24:20"/>
    <x v="0"/>
    <x v="76"/>
    <x v="6"/>
    <n v="21"/>
    <x v="4"/>
    <n v="105"/>
    <s v="办公用品"/>
    <s v="西南"/>
  </r>
  <r>
    <s v="CN-2311-4292548"/>
    <x v="577"/>
    <d v="2022-10-30T01:07:09"/>
    <x v="0"/>
    <x v="167"/>
    <x v="3"/>
    <n v="44"/>
    <x v="0"/>
    <n v="88"/>
    <s v="办公用品"/>
    <s v="华东"/>
  </r>
  <r>
    <s v="CN-2311-4292548"/>
    <x v="578"/>
    <d v="2022-10-30T20:08:53"/>
    <x v="0"/>
    <x v="167"/>
    <x v="15"/>
    <n v="30"/>
    <x v="0"/>
    <n v="60"/>
    <s v="办公用品"/>
    <s v="华东"/>
  </r>
  <r>
    <s v="CN-2311-4292548"/>
    <x v="579"/>
    <d v="2022-10-30T14:19:47"/>
    <x v="0"/>
    <x v="167"/>
    <x v="13"/>
    <n v="11"/>
    <x v="2"/>
    <n v="33"/>
    <s v="家具"/>
    <s v="华东"/>
  </r>
  <r>
    <s v="CN-2311-4292548"/>
    <x v="580"/>
    <d v="2022-10-30T11:51:19"/>
    <x v="0"/>
    <x v="167"/>
    <x v="12"/>
    <n v="94"/>
    <x v="13"/>
    <n v="1222"/>
    <s v="家具"/>
    <s v="华东"/>
  </r>
  <r>
    <s v="CN-2311-4292548"/>
    <x v="581"/>
    <d v="2022-10-30T21:52:17"/>
    <x v="0"/>
    <x v="167"/>
    <x v="1"/>
    <n v="46"/>
    <x v="2"/>
    <n v="138"/>
    <s v="办公用品"/>
    <s v="华东"/>
  </r>
  <r>
    <s v="CN-2311-4292548"/>
    <x v="582"/>
    <d v="2022-10-30T15:59:39"/>
    <x v="0"/>
    <x v="167"/>
    <x v="6"/>
    <n v="71"/>
    <x v="2"/>
    <n v="213"/>
    <s v="办公用品"/>
    <s v="华东"/>
  </r>
  <r>
    <s v="CN-2311-4292548"/>
    <x v="583"/>
    <d v="2022-10-30T05:08:28"/>
    <x v="0"/>
    <x v="167"/>
    <x v="8"/>
    <n v="52"/>
    <x v="0"/>
    <n v="104"/>
    <s v="技术"/>
    <s v="华东"/>
  </r>
  <r>
    <s v="CN-2796-3360134"/>
    <x v="584"/>
    <d v="2021-03-02T14:47:39"/>
    <x v="0"/>
    <x v="124"/>
    <x v="12"/>
    <n v="38"/>
    <x v="2"/>
    <n v="114"/>
    <s v="家具"/>
    <s v="中南"/>
  </r>
  <r>
    <s v="CN-2796-3360134"/>
    <x v="585"/>
    <d v="2021-03-02T04:40:01"/>
    <x v="0"/>
    <x v="124"/>
    <x v="0"/>
    <n v="97"/>
    <x v="0"/>
    <n v="194"/>
    <s v="办公用品"/>
    <s v="中南"/>
  </r>
  <r>
    <s v="CN-2747-3767771"/>
    <x v="586"/>
    <d v="2021-01-11T21:48:08"/>
    <x v="2"/>
    <x v="168"/>
    <x v="1"/>
    <n v="65"/>
    <x v="4"/>
    <n v="325"/>
    <s v="办公用品"/>
    <s v="西南"/>
  </r>
  <r>
    <s v="US-2966-4339927"/>
    <x v="587"/>
    <d v="2021-08-19T04:54:02"/>
    <x v="1"/>
    <x v="15"/>
    <x v="10"/>
    <n v="81"/>
    <x v="0"/>
    <n v="162"/>
    <s v="技术"/>
    <s v="西北"/>
  </r>
  <r>
    <s v="CN-2763-5102195"/>
    <x v="588"/>
    <d v="2021-01-28T17:40:34"/>
    <x v="1"/>
    <x v="169"/>
    <x v="0"/>
    <n v="43"/>
    <x v="1"/>
    <n v="172"/>
    <s v="办公用品"/>
    <s v="西南"/>
  </r>
  <r>
    <s v="CN-2763-5102195"/>
    <x v="589"/>
    <d v="2021-01-28T12:31:17"/>
    <x v="1"/>
    <x v="169"/>
    <x v="0"/>
    <n v="90"/>
    <x v="0"/>
    <n v="180"/>
    <s v="办公用品"/>
    <s v="西南"/>
  </r>
  <r>
    <s v="CN-2763-5102195"/>
    <x v="590"/>
    <d v="2021-01-28T01:18:05"/>
    <x v="1"/>
    <x v="169"/>
    <x v="4"/>
    <n v="96"/>
    <x v="1"/>
    <n v="384"/>
    <s v="技术"/>
    <s v="西南"/>
  </r>
  <r>
    <s v="CN-2763-5102195"/>
    <x v="591"/>
    <d v="2021-01-28T10:27:33"/>
    <x v="1"/>
    <x v="169"/>
    <x v="5"/>
    <n v="30"/>
    <x v="6"/>
    <n v="30"/>
    <s v="家具"/>
    <s v="西南"/>
  </r>
  <r>
    <s v="CN-2763-5102195"/>
    <x v="592"/>
    <d v="2021-01-28T14:02:50"/>
    <x v="1"/>
    <x v="169"/>
    <x v="2"/>
    <n v="82"/>
    <x v="2"/>
    <n v="246"/>
    <s v="办公用品"/>
    <s v="西南"/>
  </r>
  <r>
    <s v="CN-2763-5102195"/>
    <x v="593"/>
    <d v="2021-01-28T01:45:21"/>
    <x v="1"/>
    <x v="169"/>
    <x v="10"/>
    <n v="55"/>
    <x v="2"/>
    <n v="165"/>
    <s v="技术"/>
    <s v="西南"/>
  </r>
  <r>
    <s v="CN-3037-4195213"/>
    <x v="594"/>
    <d v="2021-10-25T03:35:35"/>
    <x v="1"/>
    <x v="170"/>
    <x v="1"/>
    <n v="87"/>
    <x v="2"/>
    <n v="261"/>
    <s v="办公用品"/>
    <s v="西南"/>
  </r>
  <r>
    <s v="CN-3037-4195213"/>
    <x v="595"/>
    <d v="2021-10-25T13:02:23"/>
    <x v="1"/>
    <x v="170"/>
    <x v="9"/>
    <n v="14"/>
    <x v="0"/>
    <n v="28"/>
    <s v="技术"/>
    <s v="西南"/>
  </r>
  <r>
    <s v="CN-3037-4195213"/>
    <x v="596"/>
    <d v="2021-10-25T11:54:20"/>
    <x v="1"/>
    <x v="170"/>
    <x v="11"/>
    <n v="86"/>
    <x v="0"/>
    <n v="172"/>
    <s v="办公用品"/>
    <s v="西南"/>
  </r>
  <r>
    <s v="CN-3037-4195213"/>
    <x v="597"/>
    <d v="2021-10-25T20:31:09"/>
    <x v="1"/>
    <x v="170"/>
    <x v="10"/>
    <n v="56"/>
    <x v="2"/>
    <n v="168"/>
    <s v="技术"/>
    <s v="西南"/>
  </r>
  <r>
    <s v="CN-3197-5844177"/>
    <x v="598"/>
    <d v="2022-04-06T20:55:52"/>
    <x v="0"/>
    <x v="31"/>
    <x v="7"/>
    <n v="15"/>
    <x v="7"/>
    <n v="90"/>
    <s v="办公用品"/>
    <s v="华北"/>
  </r>
  <r>
    <s v="CN-3197-5844177"/>
    <x v="599"/>
    <d v="2022-04-06T20:00:27"/>
    <x v="0"/>
    <x v="31"/>
    <x v="2"/>
    <n v="28"/>
    <x v="0"/>
    <n v="56"/>
    <s v="办公用品"/>
    <s v="华北"/>
  </r>
  <r>
    <s v="US-3041-1594949"/>
    <x v="600"/>
    <d v="2021-11-02T05:24:13"/>
    <x v="1"/>
    <x v="70"/>
    <x v="3"/>
    <n v="24"/>
    <x v="2"/>
    <n v="72"/>
    <s v="办公用品"/>
    <s v="东北"/>
  </r>
  <r>
    <s v="US-3041-1594949"/>
    <x v="601"/>
    <d v="2021-11-02T19:26:07"/>
    <x v="1"/>
    <x v="70"/>
    <x v="5"/>
    <n v="43"/>
    <x v="7"/>
    <n v="258"/>
    <s v="家具"/>
    <s v="东北"/>
  </r>
  <r>
    <s v="CN-2516-2171205"/>
    <x v="602"/>
    <d v="2023-05-24T04:02:44"/>
    <x v="1"/>
    <x v="171"/>
    <x v="9"/>
    <n v="69"/>
    <x v="4"/>
    <n v="345"/>
    <s v="技术"/>
    <s v="华东"/>
  </r>
  <r>
    <s v="CN-2516-2171205"/>
    <x v="603"/>
    <d v="2023-05-24T07:33:36"/>
    <x v="1"/>
    <x v="171"/>
    <x v="13"/>
    <n v="81"/>
    <x v="2"/>
    <n v="243"/>
    <s v="家具"/>
    <s v="华东"/>
  </r>
  <r>
    <s v="CN-3013-1182921"/>
    <x v="604"/>
    <d v="2021-10-02T11:58:44"/>
    <x v="1"/>
    <x v="80"/>
    <x v="14"/>
    <n v="100"/>
    <x v="6"/>
    <n v="100"/>
    <s v="办公用品"/>
    <s v="华东"/>
  </r>
  <r>
    <s v="CN-3013-1182921"/>
    <x v="605"/>
    <d v="2021-10-02T21:46:19"/>
    <x v="1"/>
    <x v="80"/>
    <x v="0"/>
    <n v="24"/>
    <x v="4"/>
    <n v="120"/>
    <s v="办公用品"/>
    <s v="华东"/>
  </r>
  <r>
    <s v="CN-3039-1129627"/>
    <x v="606"/>
    <d v="2021-10-30T06:30:37"/>
    <x v="1"/>
    <x v="172"/>
    <x v="5"/>
    <n v="65"/>
    <x v="8"/>
    <n v="520"/>
    <s v="家具"/>
    <s v="华东"/>
  </r>
  <r>
    <s v="CN-3039-1129627"/>
    <x v="607"/>
    <d v="2021-10-30T05:24:59"/>
    <x v="1"/>
    <x v="172"/>
    <x v="2"/>
    <n v="10"/>
    <x v="4"/>
    <n v="50"/>
    <s v="办公用品"/>
    <s v="华东"/>
  </r>
  <r>
    <s v="CN-3039-1129627"/>
    <x v="608"/>
    <d v="2021-10-30T17:51:17"/>
    <x v="1"/>
    <x v="172"/>
    <x v="9"/>
    <n v="11"/>
    <x v="1"/>
    <n v="44"/>
    <s v="技术"/>
    <s v="华东"/>
  </r>
  <r>
    <s v="CN-3039-1129627"/>
    <x v="609"/>
    <d v="2021-10-30T04:05:51"/>
    <x v="1"/>
    <x v="172"/>
    <x v="6"/>
    <n v="86"/>
    <x v="2"/>
    <n v="258"/>
    <s v="办公用品"/>
    <s v="华东"/>
  </r>
  <r>
    <s v="CN-2019-2252147"/>
    <x v="610"/>
    <d v="2022-01-10T06:57:13"/>
    <x v="1"/>
    <x v="173"/>
    <x v="2"/>
    <n v="97"/>
    <x v="0"/>
    <n v="194"/>
    <s v="办公用品"/>
    <s v="中南"/>
  </r>
  <r>
    <s v="CN-2019-2252147"/>
    <x v="611"/>
    <d v="2022-01-10T22:22:00"/>
    <x v="1"/>
    <x v="173"/>
    <x v="2"/>
    <n v="29"/>
    <x v="1"/>
    <n v="116"/>
    <s v="办公用品"/>
    <s v="中南"/>
  </r>
  <r>
    <s v="CN-2019-2252147"/>
    <x v="612"/>
    <d v="2022-01-10T22:50:34"/>
    <x v="1"/>
    <x v="173"/>
    <x v="7"/>
    <n v="58"/>
    <x v="1"/>
    <n v="232"/>
    <s v="办公用品"/>
    <s v="中南"/>
  </r>
  <r>
    <s v="CN-2019-2252147"/>
    <x v="613"/>
    <d v="2022-01-10T20:23:40"/>
    <x v="1"/>
    <x v="173"/>
    <x v="3"/>
    <n v="39"/>
    <x v="1"/>
    <n v="156"/>
    <s v="办公用品"/>
    <s v="中南"/>
  </r>
  <r>
    <s v="CN-2674-5908054"/>
    <x v="614"/>
    <d v="2023-11-01T02:03:54"/>
    <x v="1"/>
    <x v="174"/>
    <x v="2"/>
    <n v="35"/>
    <x v="3"/>
    <n v="315"/>
    <s v="办公用品"/>
    <s v="中南"/>
  </r>
  <r>
    <s v="CN-2453-4944475"/>
    <x v="615"/>
    <d v="2023-03-26T20:50:36"/>
    <x v="1"/>
    <x v="161"/>
    <x v="16"/>
    <n v="28"/>
    <x v="2"/>
    <n v="84"/>
    <s v="家具"/>
    <s v="华东"/>
  </r>
  <r>
    <s v="CN-2035-5754536"/>
    <x v="616"/>
    <d v="2022-01-28T12:50:41"/>
    <x v="0"/>
    <x v="11"/>
    <x v="0"/>
    <n v="80"/>
    <x v="7"/>
    <n v="480"/>
    <s v="办公用品"/>
    <s v="华北"/>
  </r>
  <r>
    <s v="CN-2035-5754536"/>
    <x v="617"/>
    <d v="2022-01-28T05:08:08"/>
    <x v="0"/>
    <x v="11"/>
    <x v="6"/>
    <n v="30"/>
    <x v="0"/>
    <n v="60"/>
    <s v="办公用品"/>
    <s v="华北"/>
  </r>
  <r>
    <s v="CN-2035-5754536"/>
    <x v="618"/>
    <d v="2022-01-28T06:54:05"/>
    <x v="0"/>
    <x v="11"/>
    <x v="12"/>
    <n v="36"/>
    <x v="0"/>
    <n v="72"/>
    <s v="家具"/>
    <s v="华北"/>
  </r>
  <r>
    <s v="CN-2035-5754536"/>
    <x v="619"/>
    <d v="2022-01-28T07:29:35"/>
    <x v="0"/>
    <x v="11"/>
    <x v="6"/>
    <n v="67"/>
    <x v="2"/>
    <n v="201"/>
    <s v="办公用品"/>
    <s v="华北"/>
  </r>
  <r>
    <s v="CN-2714-1424056"/>
    <x v="620"/>
    <d v="2023-12-11T03:48:28"/>
    <x v="0"/>
    <x v="74"/>
    <x v="14"/>
    <n v="90"/>
    <x v="2"/>
    <n v="270"/>
    <s v="办公用品"/>
    <s v="华北"/>
  </r>
  <r>
    <s v="CN-2714-1424056"/>
    <x v="621"/>
    <d v="2023-12-11T23:40:52"/>
    <x v="0"/>
    <x v="74"/>
    <x v="4"/>
    <n v="18"/>
    <x v="0"/>
    <n v="36"/>
    <s v="技术"/>
    <s v="华北"/>
  </r>
  <r>
    <s v="CN-2714-1424056"/>
    <x v="622"/>
    <d v="2023-12-11T04:57:23"/>
    <x v="0"/>
    <x v="74"/>
    <x v="5"/>
    <n v="48"/>
    <x v="0"/>
    <n v="96"/>
    <s v="家具"/>
    <s v="华北"/>
  </r>
  <r>
    <s v="CN-2754-2190451"/>
    <x v="623"/>
    <d v="2021-01-16T09:31:51"/>
    <x v="1"/>
    <x v="175"/>
    <x v="9"/>
    <n v="24"/>
    <x v="1"/>
    <n v="96"/>
    <s v="技术"/>
    <s v="华东"/>
  </r>
  <r>
    <s v="CN-2754-2190451"/>
    <x v="624"/>
    <d v="2021-01-16T23:14:53"/>
    <x v="1"/>
    <x v="175"/>
    <x v="1"/>
    <n v="96"/>
    <x v="2"/>
    <n v="288"/>
    <s v="办公用品"/>
    <s v="华东"/>
  </r>
  <r>
    <s v="CN-2754-2190451"/>
    <x v="625"/>
    <d v="2021-01-16T08:57:59"/>
    <x v="1"/>
    <x v="175"/>
    <x v="15"/>
    <n v="98"/>
    <x v="8"/>
    <n v="784"/>
    <s v="办公用品"/>
    <s v="华东"/>
  </r>
  <r>
    <s v="CN-2754-2190451"/>
    <x v="626"/>
    <d v="2021-01-16T08:29:54"/>
    <x v="1"/>
    <x v="175"/>
    <x v="6"/>
    <n v="22"/>
    <x v="4"/>
    <n v="110"/>
    <s v="办公用品"/>
    <s v="华东"/>
  </r>
  <r>
    <s v="CN-2754-2190451"/>
    <x v="627"/>
    <d v="2021-01-16T09:42:35"/>
    <x v="1"/>
    <x v="175"/>
    <x v="4"/>
    <n v="35"/>
    <x v="0"/>
    <n v="70"/>
    <s v="技术"/>
    <s v="华东"/>
  </r>
  <r>
    <s v="CN-2216-5128542"/>
    <x v="628"/>
    <d v="2022-07-31T11:36:31"/>
    <x v="0"/>
    <x v="176"/>
    <x v="4"/>
    <n v="68"/>
    <x v="1"/>
    <n v="272"/>
    <s v="技术"/>
    <s v="西北"/>
  </r>
  <r>
    <s v="CN-2216-5128542"/>
    <x v="629"/>
    <d v="2022-07-31T03:30:32"/>
    <x v="0"/>
    <x v="176"/>
    <x v="6"/>
    <n v="12"/>
    <x v="2"/>
    <n v="36"/>
    <s v="办公用品"/>
    <s v="西北"/>
  </r>
  <r>
    <s v="CN-2216-5128542"/>
    <x v="630"/>
    <d v="2022-07-31T22:34:10"/>
    <x v="0"/>
    <x v="176"/>
    <x v="6"/>
    <n v="69"/>
    <x v="0"/>
    <n v="138"/>
    <s v="办公用品"/>
    <s v="西北"/>
  </r>
  <r>
    <s v="CN-2172-2975416"/>
    <x v="631"/>
    <d v="2022-06-14T11:17:02"/>
    <x v="1"/>
    <x v="101"/>
    <x v="13"/>
    <n v="40"/>
    <x v="0"/>
    <n v="80"/>
    <s v="家具"/>
    <s v="西南"/>
  </r>
  <r>
    <s v="CN-2048-3969050"/>
    <x v="632"/>
    <d v="2022-02-10T12:16:18"/>
    <x v="2"/>
    <x v="177"/>
    <x v="15"/>
    <n v="87"/>
    <x v="0"/>
    <n v="174"/>
    <s v="办公用品"/>
    <s v="西北"/>
  </r>
  <r>
    <s v="CN-2767-1067897"/>
    <x v="633"/>
    <d v="2021-02-03T18:13:27"/>
    <x v="0"/>
    <x v="0"/>
    <x v="13"/>
    <n v="37"/>
    <x v="6"/>
    <n v="37"/>
    <s v="家具"/>
    <s v="华东"/>
  </r>
  <r>
    <s v="CN-2767-1067897"/>
    <x v="634"/>
    <d v="2021-02-03T01:41:26"/>
    <x v="0"/>
    <x v="0"/>
    <x v="4"/>
    <n v="40"/>
    <x v="0"/>
    <n v="80"/>
    <s v="技术"/>
    <s v="华东"/>
  </r>
  <r>
    <s v="US-2665-2373769"/>
    <x v="635"/>
    <d v="2023-10-20T12:47:01"/>
    <x v="1"/>
    <x v="178"/>
    <x v="3"/>
    <n v="20"/>
    <x v="0"/>
    <n v="40"/>
    <s v="办公用品"/>
    <s v="华北"/>
  </r>
  <r>
    <s v="CN-2818-2328434"/>
    <x v="636"/>
    <d v="2021-03-19T05:23:19"/>
    <x v="2"/>
    <x v="179"/>
    <x v="11"/>
    <n v="51"/>
    <x v="0"/>
    <n v="102"/>
    <s v="办公用品"/>
    <s v="华东"/>
  </r>
  <r>
    <s v="CN-2397-3378788"/>
    <x v="637"/>
    <d v="2023-01-24T08:24:03"/>
    <x v="0"/>
    <x v="31"/>
    <x v="14"/>
    <n v="42"/>
    <x v="4"/>
    <n v="210"/>
    <s v="办公用品"/>
    <s v="华北"/>
  </r>
  <r>
    <s v="CN-2397-3378788"/>
    <x v="638"/>
    <d v="2023-01-24T02:45:01"/>
    <x v="0"/>
    <x v="31"/>
    <x v="14"/>
    <n v="33"/>
    <x v="0"/>
    <n v="66"/>
    <s v="办公用品"/>
    <s v="华北"/>
  </r>
  <r>
    <s v="CN-2397-3378788"/>
    <x v="639"/>
    <d v="2023-01-24T10:23:55"/>
    <x v="0"/>
    <x v="31"/>
    <x v="10"/>
    <n v="72"/>
    <x v="0"/>
    <n v="144"/>
    <s v="技术"/>
    <s v="华北"/>
  </r>
  <r>
    <s v="CN-3029-5468349"/>
    <x v="640"/>
    <d v="2021-10-19T16:29:38"/>
    <x v="1"/>
    <x v="180"/>
    <x v="10"/>
    <n v="59"/>
    <x v="7"/>
    <n v="354"/>
    <s v="技术"/>
    <s v="中南"/>
  </r>
  <r>
    <s v="CN-3029-5468349"/>
    <x v="641"/>
    <d v="2021-10-19T11:14:58"/>
    <x v="1"/>
    <x v="180"/>
    <x v="4"/>
    <n v="50"/>
    <x v="5"/>
    <n v="350"/>
    <s v="技术"/>
    <s v="中南"/>
  </r>
  <r>
    <s v="CN-2471-5450028"/>
    <x v="642"/>
    <d v="2023-04-11T00:21:28"/>
    <x v="0"/>
    <x v="40"/>
    <x v="1"/>
    <n v="64"/>
    <x v="2"/>
    <n v="192"/>
    <s v="办公用品"/>
    <s v="中南"/>
  </r>
  <r>
    <s v="CN-2471-5450028"/>
    <x v="643"/>
    <d v="2023-04-11T17:14:32"/>
    <x v="0"/>
    <x v="40"/>
    <x v="11"/>
    <n v="57"/>
    <x v="5"/>
    <n v="399"/>
    <s v="办公用品"/>
    <s v="中南"/>
  </r>
  <r>
    <s v="US-2950-1070056"/>
    <x v="644"/>
    <d v="2021-07-29T12:27:30"/>
    <x v="0"/>
    <x v="53"/>
    <x v="2"/>
    <n v="44"/>
    <x v="3"/>
    <n v="396"/>
    <s v="办公用品"/>
    <s v="华东"/>
  </r>
  <r>
    <s v="US-2950-1070056"/>
    <x v="645"/>
    <d v="2021-07-29T00:17:24"/>
    <x v="0"/>
    <x v="53"/>
    <x v="5"/>
    <n v="27"/>
    <x v="4"/>
    <n v="135"/>
    <s v="家具"/>
    <s v="华东"/>
  </r>
  <r>
    <s v="US-2950-1070056"/>
    <x v="646"/>
    <d v="2021-07-29T05:53:59"/>
    <x v="0"/>
    <x v="53"/>
    <x v="0"/>
    <n v="69"/>
    <x v="4"/>
    <n v="345"/>
    <s v="办公用品"/>
    <s v="华东"/>
  </r>
  <r>
    <s v="CN-3151-2211607"/>
    <x v="647"/>
    <d v="2022-02-17T08:10:11"/>
    <x v="1"/>
    <x v="181"/>
    <x v="14"/>
    <n v="43"/>
    <x v="0"/>
    <n v="86"/>
    <s v="办公用品"/>
    <s v="华东"/>
  </r>
  <r>
    <s v="CN-3151-2211607"/>
    <x v="648"/>
    <d v="2022-02-17T20:04:08"/>
    <x v="1"/>
    <x v="181"/>
    <x v="14"/>
    <n v="23"/>
    <x v="0"/>
    <n v="46"/>
    <s v="办公用品"/>
    <s v="华东"/>
  </r>
  <r>
    <s v="CN-2649-3690158"/>
    <x v="649"/>
    <d v="2023-10-06T01:42:19"/>
    <x v="1"/>
    <x v="42"/>
    <x v="13"/>
    <n v="56"/>
    <x v="4"/>
    <n v="280"/>
    <s v="家具"/>
    <s v="华北"/>
  </r>
  <r>
    <s v="CN-2649-3690158"/>
    <x v="650"/>
    <d v="2023-10-06T06:29:11"/>
    <x v="1"/>
    <x v="42"/>
    <x v="11"/>
    <n v="43"/>
    <x v="0"/>
    <n v="86"/>
    <s v="办公用品"/>
    <s v="华北"/>
  </r>
  <r>
    <s v="CN-2649-3690158"/>
    <x v="651"/>
    <d v="2023-10-06T13:44:08"/>
    <x v="1"/>
    <x v="42"/>
    <x v="3"/>
    <n v="15"/>
    <x v="0"/>
    <n v="30"/>
    <s v="办公用品"/>
    <s v="华北"/>
  </r>
  <r>
    <s v="CN-2649-3690158"/>
    <x v="652"/>
    <d v="2023-10-06T05:03:31"/>
    <x v="1"/>
    <x v="42"/>
    <x v="12"/>
    <n v="10"/>
    <x v="6"/>
    <n v="10"/>
    <s v="家具"/>
    <s v="华北"/>
  </r>
  <r>
    <s v="CN-1922-1137701"/>
    <x v="653"/>
    <d v="2023-10-09T12:41:05"/>
    <x v="0"/>
    <x v="182"/>
    <x v="9"/>
    <n v="98"/>
    <x v="0"/>
    <n v="196"/>
    <s v="技术"/>
    <s v="华东"/>
  </r>
  <r>
    <s v="CN-2734-5180154"/>
    <x v="654"/>
    <d v="2023-12-30T01:48:01"/>
    <x v="1"/>
    <x v="161"/>
    <x v="4"/>
    <n v="87"/>
    <x v="4"/>
    <n v="435"/>
    <s v="技术"/>
    <s v="华东"/>
  </r>
  <r>
    <s v="CN-2734-5180154"/>
    <x v="655"/>
    <d v="2023-12-30T04:41:06"/>
    <x v="1"/>
    <x v="161"/>
    <x v="9"/>
    <n v="58"/>
    <x v="4"/>
    <n v="290"/>
    <s v="技术"/>
    <s v="华东"/>
  </r>
  <r>
    <s v="CN-2464-4150128"/>
    <x v="656"/>
    <d v="2023-04-02T15:27:55"/>
    <x v="1"/>
    <x v="183"/>
    <x v="13"/>
    <n v="65"/>
    <x v="2"/>
    <n v="195"/>
    <s v="家具"/>
    <s v="华东"/>
  </r>
  <r>
    <s v="CN-2464-4150128"/>
    <x v="657"/>
    <d v="2023-04-02T16:29:12"/>
    <x v="1"/>
    <x v="183"/>
    <x v="14"/>
    <n v="88"/>
    <x v="1"/>
    <n v="352"/>
    <s v="办公用品"/>
    <s v="华东"/>
  </r>
  <r>
    <s v="CN-2464-4150128"/>
    <x v="658"/>
    <d v="2023-04-02T05:51:37"/>
    <x v="1"/>
    <x v="183"/>
    <x v="14"/>
    <n v="52"/>
    <x v="0"/>
    <n v="104"/>
    <s v="办公用品"/>
    <s v="华东"/>
  </r>
  <r>
    <s v="CN-2464-4150128"/>
    <x v="659"/>
    <d v="2023-04-02T14:30:38"/>
    <x v="1"/>
    <x v="183"/>
    <x v="5"/>
    <n v="50"/>
    <x v="5"/>
    <n v="350"/>
    <s v="家具"/>
    <s v="华东"/>
  </r>
  <r>
    <s v="CN-2464-4150128"/>
    <x v="660"/>
    <d v="2023-04-02T00:38:57"/>
    <x v="1"/>
    <x v="183"/>
    <x v="15"/>
    <n v="32"/>
    <x v="0"/>
    <n v="64"/>
    <s v="办公用品"/>
    <s v="华东"/>
  </r>
  <r>
    <s v="CN-2464-4150128"/>
    <x v="661"/>
    <d v="2023-04-02T18:18:44"/>
    <x v="1"/>
    <x v="183"/>
    <x v="14"/>
    <n v="62"/>
    <x v="4"/>
    <n v="310"/>
    <s v="办公用品"/>
    <s v="华东"/>
  </r>
  <r>
    <s v="CN-2464-4150128"/>
    <x v="662"/>
    <d v="2023-04-02T13:57:57"/>
    <x v="1"/>
    <x v="183"/>
    <x v="7"/>
    <n v="33"/>
    <x v="4"/>
    <n v="165"/>
    <s v="办公用品"/>
    <s v="华东"/>
  </r>
  <r>
    <s v="CN-2464-4150128"/>
    <x v="663"/>
    <d v="2023-04-02T20:18:36"/>
    <x v="1"/>
    <x v="183"/>
    <x v="11"/>
    <n v="19"/>
    <x v="4"/>
    <n v="95"/>
    <s v="办公用品"/>
    <s v="华东"/>
  </r>
  <r>
    <s v="CN-2464-4150128"/>
    <x v="664"/>
    <d v="2023-04-02T13:05:47"/>
    <x v="1"/>
    <x v="183"/>
    <x v="4"/>
    <n v="83"/>
    <x v="6"/>
    <n v="83"/>
    <s v="技术"/>
    <s v="华东"/>
  </r>
  <r>
    <s v="CN-3036-2328434"/>
    <x v="665"/>
    <d v="2021-10-26T08:13:57"/>
    <x v="0"/>
    <x v="184"/>
    <x v="3"/>
    <n v="28"/>
    <x v="4"/>
    <n v="140"/>
    <s v="办公用品"/>
    <s v="东北"/>
  </r>
  <r>
    <s v="CN-3036-2328434"/>
    <x v="666"/>
    <d v="2021-10-26T19:13:46"/>
    <x v="0"/>
    <x v="184"/>
    <x v="11"/>
    <n v="36"/>
    <x v="1"/>
    <n v="144"/>
    <s v="办公用品"/>
    <s v="东北"/>
  </r>
  <r>
    <s v="CN-2438-3781425"/>
    <x v="667"/>
    <d v="2023-03-08T13:02:19"/>
    <x v="2"/>
    <x v="32"/>
    <x v="15"/>
    <n v="97"/>
    <x v="8"/>
    <n v="776"/>
    <s v="办公用品"/>
    <s v="西南"/>
  </r>
  <r>
    <s v="CN-3126-4433229"/>
    <x v="668"/>
    <d v="2022-01-23T09:06:32"/>
    <x v="0"/>
    <x v="152"/>
    <x v="9"/>
    <n v="86"/>
    <x v="6"/>
    <n v="86"/>
    <s v="技术"/>
    <s v="东北"/>
  </r>
  <r>
    <s v="CN-3126-4433229"/>
    <x v="669"/>
    <d v="2022-01-23T16:51:23"/>
    <x v="0"/>
    <x v="152"/>
    <x v="10"/>
    <n v="82"/>
    <x v="0"/>
    <n v="164"/>
    <s v="技术"/>
    <s v="东北"/>
  </r>
  <r>
    <s v="US-2688-4200185"/>
    <x v="670"/>
    <d v="2023-11-14T08:01:14"/>
    <x v="1"/>
    <x v="21"/>
    <x v="10"/>
    <n v="29"/>
    <x v="4"/>
    <n v="145"/>
    <s v="技术"/>
    <s v="东北"/>
  </r>
  <r>
    <s v="US-2688-4200185"/>
    <x v="671"/>
    <d v="2023-11-14T20:47:51"/>
    <x v="1"/>
    <x v="21"/>
    <x v="7"/>
    <n v="70"/>
    <x v="2"/>
    <n v="210"/>
    <s v="办公用品"/>
    <s v="东北"/>
  </r>
  <r>
    <s v="CN-2079-3834707"/>
    <x v="672"/>
    <d v="2022-03-14T14:23:25"/>
    <x v="0"/>
    <x v="15"/>
    <x v="6"/>
    <n v="98"/>
    <x v="1"/>
    <n v="392"/>
    <s v="办公用品"/>
    <s v="西北"/>
  </r>
  <r>
    <s v="CN-2079-3834707"/>
    <x v="673"/>
    <d v="2022-03-14T03:30:00"/>
    <x v="0"/>
    <x v="15"/>
    <x v="5"/>
    <n v="23"/>
    <x v="6"/>
    <n v="23"/>
    <s v="家具"/>
    <s v="西北"/>
  </r>
  <r>
    <s v="CN-1855-4451680"/>
    <x v="674"/>
    <d v="2023-08-04T18:13:22"/>
    <x v="0"/>
    <x v="78"/>
    <x v="4"/>
    <n v="54"/>
    <x v="2"/>
    <n v="162"/>
    <s v="技术"/>
    <s v="华北"/>
  </r>
  <r>
    <s v="CN-2774-2312244"/>
    <x v="675"/>
    <d v="2021-02-05T12:29:44"/>
    <x v="0"/>
    <x v="58"/>
    <x v="12"/>
    <n v="18"/>
    <x v="0"/>
    <n v="36"/>
    <s v="家具"/>
    <s v="西南"/>
  </r>
  <r>
    <s v="CN-2774-2312244"/>
    <x v="676"/>
    <d v="2021-02-05T09:36:36"/>
    <x v="0"/>
    <x v="58"/>
    <x v="0"/>
    <n v="22"/>
    <x v="2"/>
    <n v="66"/>
    <s v="办公用品"/>
    <s v="西南"/>
  </r>
  <r>
    <s v="CN-2774-2312244"/>
    <x v="677"/>
    <d v="2021-02-05T04:24:40"/>
    <x v="0"/>
    <x v="58"/>
    <x v="11"/>
    <n v="83"/>
    <x v="0"/>
    <n v="166"/>
    <s v="办公用品"/>
    <s v="西南"/>
  </r>
  <r>
    <s v="CN-3179-3108642"/>
    <x v="678"/>
    <d v="2022-03-21T10:53:27"/>
    <x v="2"/>
    <x v="106"/>
    <x v="14"/>
    <n v="39"/>
    <x v="0"/>
    <n v="78"/>
    <s v="办公用品"/>
    <s v="华北"/>
  </r>
  <r>
    <s v="CN-3179-3108642"/>
    <x v="679"/>
    <d v="2022-03-21T12:52:37"/>
    <x v="2"/>
    <x v="106"/>
    <x v="8"/>
    <n v="48"/>
    <x v="4"/>
    <n v="240"/>
    <s v="技术"/>
    <s v="华北"/>
  </r>
  <r>
    <s v="CN-2391-3297567"/>
    <x v="680"/>
    <d v="2023-01-23T10:23:14"/>
    <x v="1"/>
    <x v="185"/>
    <x v="11"/>
    <n v="54"/>
    <x v="5"/>
    <n v="378"/>
    <s v="办公用品"/>
    <s v="中南"/>
  </r>
  <r>
    <s v="CN-2391-3297567"/>
    <x v="681"/>
    <d v="2023-01-23T00:53:50"/>
    <x v="1"/>
    <x v="185"/>
    <x v="6"/>
    <n v="65"/>
    <x v="3"/>
    <n v="585"/>
    <s v="办公用品"/>
    <s v="中南"/>
  </r>
  <r>
    <s v="CN-1791-4217149"/>
    <x v="682"/>
    <d v="2023-06-01T02:17:30"/>
    <x v="0"/>
    <x v="23"/>
    <x v="14"/>
    <n v="37"/>
    <x v="7"/>
    <n v="222"/>
    <s v="办公用品"/>
    <s v="西北"/>
  </r>
  <r>
    <s v="CN-1791-4217149"/>
    <x v="683"/>
    <d v="2023-06-01T16:21:49"/>
    <x v="0"/>
    <x v="23"/>
    <x v="2"/>
    <n v="51"/>
    <x v="0"/>
    <n v="102"/>
    <s v="办公用品"/>
    <s v="西北"/>
  </r>
  <r>
    <s v="CN-2479-1564715"/>
    <x v="684"/>
    <d v="2023-04-19T06:13:19"/>
    <x v="0"/>
    <x v="57"/>
    <x v="1"/>
    <n v="48"/>
    <x v="0"/>
    <n v="96"/>
    <s v="办公用品"/>
    <s v="华东"/>
  </r>
  <r>
    <s v="CN-3223-3281446"/>
    <x v="685"/>
    <d v="2022-05-02T17:14:30"/>
    <x v="2"/>
    <x v="9"/>
    <x v="2"/>
    <n v="54"/>
    <x v="0"/>
    <n v="108"/>
    <s v="办公用品"/>
    <s v="华东"/>
  </r>
  <r>
    <s v="CN-3223-3281446"/>
    <x v="686"/>
    <d v="2022-05-02T13:49:30"/>
    <x v="2"/>
    <x v="9"/>
    <x v="2"/>
    <n v="13"/>
    <x v="2"/>
    <n v="39"/>
    <s v="办公用品"/>
    <s v="华东"/>
  </r>
  <r>
    <s v="CN-1951-1529712"/>
    <x v="687"/>
    <d v="2023-11-08T21:53:21"/>
    <x v="2"/>
    <x v="186"/>
    <x v="4"/>
    <n v="43"/>
    <x v="4"/>
    <n v="215"/>
    <s v="技术"/>
    <s v="东北"/>
  </r>
  <r>
    <s v="CN-2783-4075015"/>
    <x v="688"/>
    <d v="2021-02-16T01:56:11"/>
    <x v="1"/>
    <x v="62"/>
    <x v="5"/>
    <n v="58"/>
    <x v="0"/>
    <n v="116"/>
    <s v="家具"/>
    <s v="东北"/>
  </r>
  <r>
    <s v="CN-2783-4075015"/>
    <x v="689"/>
    <d v="2021-02-16T11:52:14"/>
    <x v="1"/>
    <x v="62"/>
    <x v="2"/>
    <n v="37"/>
    <x v="1"/>
    <n v="148"/>
    <s v="办公用品"/>
    <s v="东北"/>
  </r>
  <r>
    <s v="CN-2783-4075015"/>
    <x v="690"/>
    <d v="2021-02-16T06:44:15"/>
    <x v="1"/>
    <x v="62"/>
    <x v="5"/>
    <n v="81"/>
    <x v="7"/>
    <n v="486"/>
    <s v="家具"/>
    <s v="东北"/>
  </r>
  <r>
    <s v="US-2830-5146329"/>
    <x v="691"/>
    <d v="2021-04-04T02:51:14"/>
    <x v="2"/>
    <x v="187"/>
    <x v="15"/>
    <n v="88"/>
    <x v="0"/>
    <n v="176"/>
    <s v="办公用品"/>
    <s v="中南"/>
  </r>
  <r>
    <s v="US-3129-1231498"/>
    <x v="692"/>
    <d v="2022-01-29T14:43:00"/>
    <x v="1"/>
    <x v="188"/>
    <x v="10"/>
    <n v="77"/>
    <x v="11"/>
    <n v="770"/>
    <s v="技术"/>
    <s v="华东"/>
  </r>
  <r>
    <s v="US-3129-1231498"/>
    <x v="693"/>
    <d v="2022-01-29T17:51:12"/>
    <x v="1"/>
    <x v="188"/>
    <x v="2"/>
    <n v="50"/>
    <x v="3"/>
    <n v="450"/>
    <s v="办公用品"/>
    <s v="华东"/>
  </r>
  <r>
    <s v="CN-2737-2852208"/>
    <x v="694"/>
    <d v="2021-01-01T20:47:50"/>
    <x v="1"/>
    <x v="9"/>
    <x v="9"/>
    <n v="98"/>
    <x v="1"/>
    <n v="392"/>
    <s v="技术"/>
    <s v="华东"/>
  </r>
  <r>
    <s v="US-2308-4246507"/>
    <x v="695"/>
    <d v="2022-10-29T11:39:39"/>
    <x v="0"/>
    <x v="189"/>
    <x v="3"/>
    <n v="51"/>
    <x v="2"/>
    <n v="153"/>
    <s v="办公用品"/>
    <s v="东北"/>
  </r>
  <r>
    <s v="US-2308-4246507"/>
    <x v="696"/>
    <d v="2022-10-29T03:44:42"/>
    <x v="0"/>
    <x v="189"/>
    <x v="12"/>
    <n v="19"/>
    <x v="6"/>
    <n v="19"/>
    <s v="家具"/>
    <s v="东北"/>
  </r>
  <r>
    <s v="US-2308-4246507"/>
    <x v="697"/>
    <d v="2022-10-29T00:29:21"/>
    <x v="0"/>
    <x v="189"/>
    <x v="6"/>
    <n v="39"/>
    <x v="6"/>
    <n v="39"/>
    <s v="办公用品"/>
    <s v="东北"/>
  </r>
  <r>
    <s v="US-2308-4246507"/>
    <x v="698"/>
    <d v="2022-10-29T00:14:41"/>
    <x v="0"/>
    <x v="189"/>
    <x v="11"/>
    <n v="89"/>
    <x v="0"/>
    <n v="178"/>
    <s v="办公用品"/>
    <s v="东北"/>
  </r>
  <r>
    <s v="US-2308-4246507"/>
    <x v="699"/>
    <d v="2022-10-29T06:12:32"/>
    <x v="0"/>
    <x v="189"/>
    <x v="12"/>
    <n v="64"/>
    <x v="4"/>
    <n v="320"/>
    <s v="家具"/>
    <s v="东北"/>
  </r>
  <r>
    <s v="US-3004-4217149"/>
    <x v="700"/>
    <d v="2021-09-26T23:04:12"/>
    <x v="1"/>
    <x v="7"/>
    <x v="16"/>
    <n v="62"/>
    <x v="1"/>
    <n v="248"/>
    <s v="家具"/>
    <s v="华东"/>
  </r>
  <r>
    <s v="CN-2389-4302272"/>
    <x v="701"/>
    <d v="2023-01-18T03:05:37"/>
    <x v="1"/>
    <x v="83"/>
    <x v="6"/>
    <n v="12"/>
    <x v="0"/>
    <n v="24"/>
    <s v="办公用品"/>
    <s v="中南"/>
  </r>
  <r>
    <s v="US-2999-3769666"/>
    <x v="702"/>
    <d v="2021-09-18T05:42:33"/>
    <x v="1"/>
    <x v="15"/>
    <x v="15"/>
    <n v="24"/>
    <x v="0"/>
    <n v="48"/>
    <s v="办公用品"/>
    <s v="西北"/>
  </r>
  <r>
    <s v="CN-3047-3367931"/>
    <x v="703"/>
    <d v="2021-11-05T08:24:23"/>
    <x v="1"/>
    <x v="31"/>
    <x v="15"/>
    <n v="34"/>
    <x v="1"/>
    <n v="136"/>
    <s v="办公用品"/>
    <s v="华北"/>
  </r>
  <r>
    <s v="CN-2083-3874208"/>
    <x v="704"/>
    <d v="2022-03-20T10:22:58"/>
    <x v="0"/>
    <x v="190"/>
    <x v="7"/>
    <n v="82"/>
    <x v="0"/>
    <n v="164"/>
    <s v="办公用品"/>
    <s v="西北"/>
  </r>
  <r>
    <s v="CN-2531-3636322"/>
    <x v="705"/>
    <d v="2023-06-12T04:33:18"/>
    <x v="0"/>
    <x v="191"/>
    <x v="1"/>
    <n v="85"/>
    <x v="0"/>
    <n v="170"/>
    <s v="办公用品"/>
    <s v="华北"/>
  </r>
  <r>
    <s v="US-3214-1184235"/>
    <x v="706"/>
    <d v="2022-04-23T22:29:57"/>
    <x v="1"/>
    <x v="192"/>
    <x v="11"/>
    <n v="37"/>
    <x v="4"/>
    <n v="185"/>
    <s v="办公用品"/>
    <s v="中南"/>
  </r>
  <r>
    <s v="CN-3026-1511005"/>
    <x v="707"/>
    <d v="2021-10-15T19:41:30"/>
    <x v="0"/>
    <x v="193"/>
    <x v="8"/>
    <n v="75"/>
    <x v="2"/>
    <n v="225"/>
    <s v="技术"/>
    <s v="华北"/>
  </r>
  <r>
    <s v="CN-3026-1511005"/>
    <x v="708"/>
    <d v="2021-10-15T08:33:39"/>
    <x v="0"/>
    <x v="193"/>
    <x v="0"/>
    <n v="82"/>
    <x v="2"/>
    <n v="246"/>
    <s v="办公用品"/>
    <s v="华北"/>
  </r>
  <r>
    <s v="CN-3026-1511005"/>
    <x v="709"/>
    <d v="2021-10-15T11:12:13"/>
    <x v="0"/>
    <x v="193"/>
    <x v="2"/>
    <n v="75"/>
    <x v="2"/>
    <n v="225"/>
    <s v="办公用品"/>
    <s v="华北"/>
  </r>
  <r>
    <s v="CN-3026-1511005"/>
    <x v="710"/>
    <d v="2021-10-15T23:54:17"/>
    <x v="0"/>
    <x v="193"/>
    <x v="15"/>
    <n v="70"/>
    <x v="7"/>
    <n v="420"/>
    <s v="办公用品"/>
    <s v="华北"/>
  </r>
  <r>
    <s v="CN-3026-1511005"/>
    <x v="711"/>
    <d v="2021-10-15T12:31:07"/>
    <x v="0"/>
    <x v="193"/>
    <x v="1"/>
    <n v="15"/>
    <x v="7"/>
    <n v="90"/>
    <s v="办公用品"/>
    <s v="华北"/>
  </r>
  <r>
    <s v="CN-2730-5645996"/>
    <x v="712"/>
    <d v="2023-12-23T20:37:17"/>
    <x v="0"/>
    <x v="194"/>
    <x v="2"/>
    <n v="29"/>
    <x v="0"/>
    <n v="58"/>
    <s v="办公用品"/>
    <s v="中南"/>
  </r>
  <r>
    <s v="CN-2198-5869494"/>
    <x v="713"/>
    <d v="2022-07-12T23:31:33"/>
    <x v="0"/>
    <x v="195"/>
    <x v="14"/>
    <n v="65"/>
    <x v="6"/>
    <n v="65"/>
    <s v="办公用品"/>
    <s v="中南"/>
  </r>
  <r>
    <s v="CN-2198-5869494"/>
    <x v="714"/>
    <d v="2022-07-12T01:36:06"/>
    <x v="0"/>
    <x v="195"/>
    <x v="5"/>
    <n v="63"/>
    <x v="1"/>
    <n v="252"/>
    <s v="家具"/>
    <s v="中南"/>
  </r>
  <r>
    <s v="CN-2198-5869494"/>
    <x v="715"/>
    <d v="2022-07-12T19:09:18"/>
    <x v="0"/>
    <x v="195"/>
    <x v="8"/>
    <n v="36"/>
    <x v="2"/>
    <n v="108"/>
    <s v="技术"/>
    <s v="中南"/>
  </r>
  <r>
    <s v="CN-2914-3807036"/>
    <x v="716"/>
    <d v="2021-06-27T13:01:19"/>
    <x v="0"/>
    <x v="196"/>
    <x v="10"/>
    <n v="71"/>
    <x v="6"/>
    <n v="71"/>
    <s v="技术"/>
    <s v="东北"/>
  </r>
  <r>
    <s v="CN-2914-3807036"/>
    <x v="717"/>
    <d v="2021-06-27T10:41:43"/>
    <x v="0"/>
    <x v="196"/>
    <x v="4"/>
    <n v="96"/>
    <x v="0"/>
    <n v="192"/>
    <s v="技术"/>
    <s v="东北"/>
  </r>
  <r>
    <s v="CN-2914-3807036"/>
    <x v="718"/>
    <d v="2021-06-27T09:09:54"/>
    <x v="0"/>
    <x v="196"/>
    <x v="12"/>
    <n v="19"/>
    <x v="5"/>
    <n v="133"/>
    <s v="家具"/>
    <s v="东北"/>
  </r>
  <r>
    <s v="CN-2734-3409532"/>
    <x v="719"/>
    <d v="2023-12-27T19:40:54"/>
    <x v="1"/>
    <x v="197"/>
    <x v="1"/>
    <n v="70"/>
    <x v="7"/>
    <n v="420"/>
    <s v="办公用品"/>
    <s v="中南"/>
  </r>
  <r>
    <s v="CN-1929-5720978"/>
    <x v="720"/>
    <d v="2023-10-16T01:28:57"/>
    <x v="1"/>
    <x v="106"/>
    <x v="12"/>
    <n v="25"/>
    <x v="2"/>
    <n v="75"/>
    <s v="家具"/>
    <s v="华北"/>
  </r>
  <r>
    <s v="US-2664-3285234"/>
    <x v="721"/>
    <d v="2023-10-21T12:49:10"/>
    <x v="1"/>
    <x v="37"/>
    <x v="8"/>
    <n v="71"/>
    <x v="1"/>
    <n v="284"/>
    <s v="技术"/>
    <s v="中南"/>
  </r>
  <r>
    <s v="CN-2759-2295401"/>
    <x v="722"/>
    <d v="2021-01-20T02:05:16"/>
    <x v="1"/>
    <x v="143"/>
    <x v="2"/>
    <n v="61"/>
    <x v="0"/>
    <n v="122"/>
    <s v="办公用品"/>
    <s v="西南"/>
  </r>
  <r>
    <s v="CN-2759-2295401"/>
    <x v="723"/>
    <d v="2021-01-20T20:32:47"/>
    <x v="1"/>
    <x v="143"/>
    <x v="1"/>
    <n v="27"/>
    <x v="4"/>
    <n v="135"/>
    <s v="办公用品"/>
    <s v="西南"/>
  </r>
  <r>
    <s v="US-2388-3074981"/>
    <x v="724"/>
    <d v="2023-01-17T07:27:15"/>
    <x v="0"/>
    <x v="51"/>
    <x v="0"/>
    <n v="45"/>
    <x v="2"/>
    <n v="135"/>
    <s v="办公用品"/>
    <s v="西北"/>
  </r>
  <r>
    <s v="CN-1955-2919347"/>
    <x v="725"/>
    <d v="2023-11-11T02:18:49"/>
    <x v="1"/>
    <x v="86"/>
    <x v="10"/>
    <n v="44"/>
    <x v="2"/>
    <n v="132"/>
    <s v="技术"/>
    <s v="华北"/>
  </r>
  <r>
    <s v="CN-2404-3382200"/>
    <x v="726"/>
    <d v="2023-01-31T07:24:17"/>
    <x v="0"/>
    <x v="23"/>
    <x v="2"/>
    <n v="63"/>
    <x v="1"/>
    <n v="252"/>
    <s v="办公用品"/>
    <s v="西北"/>
  </r>
  <r>
    <s v="CN-3192-5497693"/>
    <x v="727"/>
    <d v="2022-03-31T21:07:53"/>
    <x v="2"/>
    <x v="5"/>
    <x v="5"/>
    <n v="92"/>
    <x v="4"/>
    <n v="460"/>
    <s v="家具"/>
    <s v="西北"/>
  </r>
  <r>
    <s v="CN-1989-2859473"/>
    <x v="728"/>
    <d v="2023-12-15T02:17:40"/>
    <x v="1"/>
    <x v="198"/>
    <x v="12"/>
    <n v="77"/>
    <x v="2"/>
    <n v="231"/>
    <s v="家具"/>
    <s v="中南"/>
  </r>
  <r>
    <s v="CN-2885-2190451"/>
    <x v="729"/>
    <d v="2021-05-29T15:59:43"/>
    <x v="0"/>
    <x v="68"/>
    <x v="14"/>
    <n v="59"/>
    <x v="5"/>
    <n v="413"/>
    <s v="办公用品"/>
    <s v="华北"/>
  </r>
  <r>
    <s v="CN-2885-2190451"/>
    <x v="730"/>
    <d v="2021-05-29T07:34:17"/>
    <x v="0"/>
    <x v="68"/>
    <x v="5"/>
    <n v="62"/>
    <x v="2"/>
    <n v="186"/>
    <s v="家具"/>
    <s v="华北"/>
  </r>
  <r>
    <s v="CN-2885-2190451"/>
    <x v="731"/>
    <d v="2021-05-29T11:44:48"/>
    <x v="0"/>
    <x v="68"/>
    <x v="15"/>
    <n v="56"/>
    <x v="4"/>
    <n v="280"/>
    <s v="办公用品"/>
    <s v="华北"/>
  </r>
  <r>
    <s v="CN-2727-3188485"/>
    <x v="732"/>
    <d v="2023-12-22T17:20:39"/>
    <x v="0"/>
    <x v="199"/>
    <x v="1"/>
    <n v="61"/>
    <x v="0"/>
    <n v="122"/>
    <s v="办公用品"/>
    <s v="西南"/>
  </r>
  <r>
    <s v="US-2228-5922906"/>
    <x v="733"/>
    <d v="2022-08-09T02:53:10"/>
    <x v="2"/>
    <x v="94"/>
    <x v="10"/>
    <n v="100"/>
    <x v="6"/>
    <n v="100"/>
    <s v="技术"/>
    <s v="西南"/>
  </r>
  <r>
    <s v="US-2228-5922906"/>
    <x v="734"/>
    <d v="2022-08-09T05:51:12"/>
    <x v="2"/>
    <x v="94"/>
    <x v="1"/>
    <n v="12"/>
    <x v="7"/>
    <n v="72"/>
    <s v="办公用品"/>
    <s v="西南"/>
  </r>
  <r>
    <s v="CN-2823-1182921"/>
    <x v="735"/>
    <d v="2021-03-27T23:17:32"/>
    <x v="0"/>
    <x v="200"/>
    <x v="13"/>
    <n v="66"/>
    <x v="1"/>
    <n v="264"/>
    <s v="家具"/>
    <s v="中南"/>
  </r>
  <r>
    <s v="CN-2752-3676630"/>
    <x v="736"/>
    <d v="2021-01-17T22:37:54"/>
    <x v="0"/>
    <x v="201"/>
    <x v="1"/>
    <n v="76"/>
    <x v="2"/>
    <n v="228"/>
    <s v="办公用品"/>
    <s v="西南"/>
  </r>
  <r>
    <s v="CN-2162-1392177"/>
    <x v="737"/>
    <d v="2022-06-02T02:10:50"/>
    <x v="2"/>
    <x v="120"/>
    <x v="11"/>
    <n v="14"/>
    <x v="9"/>
    <n v="196"/>
    <s v="办公用品"/>
    <s v="华东"/>
  </r>
  <r>
    <s v="US-2900-3210061"/>
    <x v="738"/>
    <d v="2021-06-14T02:18:34"/>
    <x v="1"/>
    <x v="202"/>
    <x v="10"/>
    <n v="47"/>
    <x v="0"/>
    <n v="94"/>
    <s v="技术"/>
    <s v="华东"/>
  </r>
  <r>
    <s v="CN-3031-4839636"/>
    <x v="739"/>
    <d v="2021-10-20T07:51:14"/>
    <x v="0"/>
    <x v="203"/>
    <x v="1"/>
    <n v="70"/>
    <x v="5"/>
    <n v="490"/>
    <s v="办公用品"/>
    <s v="中南"/>
  </r>
  <r>
    <s v="CN-3031-4839636"/>
    <x v="740"/>
    <d v="2021-10-20T00:51:13"/>
    <x v="0"/>
    <x v="203"/>
    <x v="8"/>
    <n v="77"/>
    <x v="0"/>
    <n v="154"/>
    <s v="技术"/>
    <s v="中南"/>
  </r>
  <r>
    <s v="CN-3031-4839636"/>
    <x v="741"/>
    <d v="2021-10-20T21:37:08"/>
    <x v="0"/>
    <x v="203"/>
    <x v="12"/>
    <n v="40"/>
    <x v="8"/>
    <n v="320"/>
    <s v="家具"/>
    <s v="中南"/>
  </r>
  <r>
    <s v="CN-3031-4839636"/>
    <x v="742"/>
    <d v="2021-10-20T07:33:33"/>
    <x v="0"/>
    <x v="203"/>
    <x v="12"/>
    <n v="100"/>
    <x v="1"/>
    <n v="400"/>
    <s v="家具"/>
    <s v="中南"/>
  </r>
  <r>
    <s v="CN-3031-4839636"/>
    <x v="743"/>
    <d v="2021-10-20T09:07:22"/>
    <x v="0"/>
    <x v="203"/>
    <x v="7"/>
    <n v="43"/>
    <x v="5"/>
    <n v="301"/>
    <s v="办公用品"/>
    <s v="中南"/>
  </r>
  <r>
    <s v="CN-3031-4839636"/>
    <x v="744"/>
    <d v="2021-10-20T11:38:03"/>
    <x v="0"/>
    <x v="203"/>
    <x v="15"/>
    <n v="81"/>
    <x v="2"/>
    <n v="243"/>
    <s v="办公用品"/>
    <s v="中南"/>
  </r>
  <r>
    <s v="CN-3031-4839636"/>
    <x v="745"/>
    <d v="2021-10-20T05:15:31"/>
    <x v="0"/>
    <x v="203"/>
    <x v="4"/>
    <n v="74"/>
    <x v="1"/>
    <n v="296"/>
    <s v="技术"/>
    <s v="中南"/>
  </r>
  <r>
    <s v="US-3082-2199283"/>
    <x v="746"/>
    <d v="2021-12-15T05:06:36"/>
    <x v="0"/>
    <x v="204"/>
    <x v="0"/>
    <n v="46"/>
    <x v="0"/>
    <n v="92"/>
    <s v="办公用品"/>
    <s v="东北"/>
  </r>
  <r>
    <s v="CN-3034-5094467"/>
    <x v="747"/>
    <d v="2021-10-25T23:28:59"/>
    <x v="1"/>
    <x v="78"/>
    <x v="1"/>
    <n v="48"/>
    <x v="0"/>
    <n v="96"/>
    <s v="办公用品"/>
    <s v="华北"/>
  </r>
  <r>
    <s v="CN-2548-4395048"/>
    <x v="748"/>
    <d v="2023-06-26T04:06:38"/>
    <x v="1"/>
    <x v="6"/>
    <x v="16"/>
    <n v="78"/>
    <x v="5"/>
    <n v="546"/>
    <s v="家具"/>
    <s v="东北"/>
  </r>
  <r>
    <s v="CN-2548-4395048"/>
    <x v="749"/>
    <d v="2023-06-26T14:11:40"/>
    <x v="1"/>
    <x v="6"/>
    <x v="0"/>
    <n v="43"/>
    <x v="2"/>
    <n v="129"/>
    <s v="办公用品"/>
    <s v="东北"/>
  </r>
  <r>
    <s v="CN-2548-4395048"/>
    <x v="750"/>
    <d v="2023-06-26T13:34:53"/>
    <x v="1"/>
    <x v="6"/>
    <x v="2"/>
    <n v="11"/>
    <x v="5"/>
    <n v="77"/>
    <s v="办公用品"/>
    <s v="东北"/>
  </r>
  <r>
    <s v="CN-2548-4395048"/>
    <x v="751"/>
    <d v="2023-06-26T02:43:40"/>
    <x v="1"/>
    <x v="6"/>
    <x v="3"/>
    <n v="16"/>
    <x v="2"/>
    <n v="48"/>
    <s v="办公用品"/>
    <s v="东北"/>
  </r>
  <r>
    <s v="CN-3225-4545298"/>
    <x v="752"/>
    <d v="2022-05-05T16:51:34"/>
    <x v="2"/>
    <x v="114"/>
    <x v="11"/>
    <n v="23"/>
    <x v="0"/>
    <n v="46"/>
    <s v="办公用品"/>
    <s v="华东"/>
  </r>
  <r>
    <s v="CN-3225-4545298"/>
    <x v="753"/>
    <d v="2022-05-05T12:53:47"/>
    <x v="2"/>
    <x v="114"/>
    <x v="3"/>
    <n v="14"/>
    <x v="4"/>
    <n v="70"/>
    <s v="办公用品"/>
    <s v="华东"/>
  </r>
  <r>
    <s v="CN-3225-4545298"/>
    <x v="754"/>
    <d v="2022-05-05T17:22:19"/>
    <x v="2"/>
    <x v="114"/>
    <x v="3"/>
    <n v="47"/>
    <x v="4"/>
    <n v="235"/>
    <s v="办公用品"/>
    <s v="华东"/>
  </r>
  <r>
    <s v="CN-3225-4545298"/>
    <x v="755"/>
    <d v="2022-05-05T19:26:07"/>
    <x v="2"/>
    <x v="114"/>
    <x v="2"/>
    <n v="97"/>
    <x v="6"/>
    <n v="97"/>
    <s v="办公用品"/>
    <s v="华东"/>
  </r>
  <r>
    <s v="US-2641-5128542"/>
    <x v="756"/>
    <d v="2023-09-25T20:34:13"/>
    <x v="1"/>
    <x v="12"/>
    <x v="7"/>
    <n v="20"/>
    <x v="6"/>
    <n v="20"/>
    <s v="办公用品"/>
    <s v="华东"/>
  </r>
  <r>
    <s v="US-2641-5128542"/>
    <x v="757"/>
    <d v="2023-09-25T08:21:10"/>
    <x v="1"/>
    <x v="12"/>
    <x v="8"/>
    <n v="15"/>
    <x v="4"/>
    <n v="75"/>
    <s v="技术"/>
    <s v="华东"/>
  </r>
  <r>
    <s v="CN-1813-2213009"/>
    <x v="758"/>
    <d v="2023-06-23T23:16:39"/>
    <x v="1"/>
    <x v="205"/>
    <x v="9"/>
    <n v="87"/>
    <x v="6"/>
    <n v="87"/>
    <s v="技术"/>
    <s v="华东"/>
  </r>
  <r>
    <s v="CN-1813-2213009"/>
    <x v="759"/>
    <d v="2023-06-23T15:57:12"/>
    <x v="1"/>
    <x v="205"/>
    <x v="10"/>
    <n v="38"/>
    <x v="0"/>
    <n v="76"/>
    <s v="技术"/>
    <s v="华东"/>
  </r>
  <r>
    <s v="CN-1813-2213009"/>
    <x v="760"/>
    <d v="2023-06-23T06:59:44"/>
    <x v="1"/>
    <x v="205"/>
    <x v="2"/>
    <n v="62"/>
    <x v="5"/>
    <n v="434"/>
    <s v="办公用品"/>
    <s v="华东"/>
  </r>
  <r>
    <s v="CN-1813-2213009"/>
    <x v="761"/>
    <d v="2023-06-23T09:03:15"/>
    <x v="1"/>
    <x v="205"/>
    <x v="9"/>
    <n v="72"/>
    <x v="0"/>
    <n v="144"/>
    <s v="技术"/>
    <s v="华东"/>
  </r>
  <r>
    <s v="CN-2996-1820925"/>
    <x v="762"/>
    <d v="2021-09-18T13:06:42"/>
    <x v="2"/>
    <x v="191"/>
    <x v="15"/>
    <n v="43"/>
    <x v="2"/>
    <n v="129"/>
    <s v="办公用品"/>
    <s v="华北"/>
  </r>
  <r>
    <s v="CN-2996-1820925"/>
    <x v="763"/>
    <d v="2021-09-18T04:07:56"/>
    <x v="2"/>
    <x v="191"/>
    <x v="11"/>
    <n v="93"/>
    <x v="1"/>
    <n v="372"/>
    <s v="办公用品"/>
    <s v="华北"/>
  </r>
  <r>
    <s v="CN-3126-2883758"/>
    <x v="764"/>
    <d v="2022-01-23T09:16:57"/>
    <x v="1"/>
    <x v="177"/>
    <x v="9"/>
    <n v="61"/>
    <x v="2"/>
    <n v="183"/>
    <s v="技术"/>
    <s v="西北"/>
  </r>
  <r>
    <s v="CN-3228-4682811"/>
    <x v="765"/>
    <d v="2022-05-08T20:21:53"/>
    <x v="0"/>
    <x v="6"/>
    <x v="1"/>
    <n v="70"/>
    <x v="4"/>
    <n v="350"/>
    <s v="办公用品"/>
    <s v="东北"/>
  </r>
  <r>
    <s v="CN-3228-4682811"/>
    <x v="766"/>
    <d v="2022-05-08T05:59:36"/>
    <x v="0"/>
    <x v="6"/>
    <x v="11"/>
    <n v="12"/>
    <x v="0"/>
    <n v="24"/>
    <s v="办公用品"/>
    <s v="东北"/>
  </r>
  <r>
    <s v="CN-3228-4682811"/>
    <x v="767"/>
    <d v="2022-05-08T16:52:34"/>
    <x v="0"/>
    <x v="6"/>
    <x v="5"/>
    <n v="91"/>
    <x v="5"/>
    <n v="637"/>
    <s v="家具"/>
    <s v="东北"/>
  </r>
  <r>
    <s v="CN-3093-3865865"/>
    <x v="768"/>
    <d v="2021-12-25T00:58:04"/>
    <x v="1"/>
    <x v="206"/>
    <x v="0"/>
    <n v="90"/>
    <x v="0"/>
    <n v="180"/>
    <s v="办公用品"/>
    <s v="中南"/>
  </r>
  <r>
    <s v="CN-3080-5743460"/>
    <x v="769"/>
    <d v="2021-12-08T14:29:05"/>
    <x v="1"/>
    <x v="78"/>
    <x v="14"/>
    <n v="85"/>
    <x v="7"/>
    <n v="510"/>
    <s v="办公用品"/>
    <s v="华北"/>
  </r>
  <r>
    <s v="US-2089-5956912"/>
    <x v="770"/>
    <d v="2022-03-21T10:10:21"/>
    <x v="2"/>
    <x v="37"/>
    <x v="15"/>
    <n v="37"/>
    <x v="2"/>
    <n v="111"/>
    <s v="办公用品"/>
    <s v="中南"/>
  </r>
  <r>
    <s v="CN-3168-2274876"/>
    <x v="771"/>
    <d v="2022-03-11T19:28:29"/>
    <x v="2"/>
    <x v="207"/>
    <x v="15"/>
    <n v="70"/>
    <x v="7"/>
    <n v="420"/>
    <s v="办公用品"/>
    <s v="华东"/>
  </r>
  <r>
    <s v="CN-3168-2274876"/>
    <x v="772"/>
    <d v="2022-03-11T15:04:51"/>
    <x v="2"/>
    <x v="207"/>
    <x v="7"/>
    <n v="76"/>
    <x v="5"/>
    <n v="532"/>
    <s v="办公用品"/>
    <s v="华东"/>
  </r>
  <r>
    <s v="CN-2480-4526574"/>
    <x v="773"/>
    <d v="2023-04-17T10:23:16"/>
    <x v="0"/>
    <x v="9"/>
    <x v="8"/>
    <n v="32"/>
    <x v="0"/>
    <n v="64"/>
    <s v="技术"/>
    <s v="华东"/>
  </r>
  <r>
    <s v="CN-2480-4526574"/>
    <x v="774"/>
    <d v="2023-04-17T11:24:47"/>
    <x v="0"/>
    <x v="9"/>
    <x v="11"/>
    <n v="56"/>
    <x v="0"/>
    <n v="112"/>
    <s v="办公用品"/>
    <s v="华东"/>
  </r>
  <r>
    <s v="CN-2480-4526574"/>
    <x v="775"/>
    <d v="2023-04-17T13:21:18"/>
    <x v="0"/>
    <x v="9"/>
    <x v="7"/>
    <n v="64"/>
    <x v="7"/>
    <n v="384"/>
    <s v="办公用品"/>
    <s v="华东"/>
  </r>
  <r>
    <s v="CN-2480-4526574"/>
    <x v="776"/>
    <d v="2023-04-17T05:29:23"/>
    <x v="0"/>
    <x v="9"/>
    <x v="8"/>
    <n v="63"/>
    <x v="0"/>
    <n v="126"/>
    <s v="技术"/>
    <s v="华东"/>
  </r>
  <r>
    <s v="CN-2480-4526574"/>
    <x v="777"/>
    <d v="2023-04-17T05:56:10"/>
    <x v="0"/>
    <x v="9"/>
    <x v="13"/>
    <n v="19"/>
    <x v="0"/>
    <n v="38"/>
    <s v="家具"/>
    <s v="华东"/>
  </r>
  <r>
    <s v="CN-2480-4526574"/>
    <x v="778"/>
    <d v="2023-04-17T04:59:01"/>
    <x v="0"/>
    <x v="9"/>
    <x v="9"/>
    <n v="12"/>
    <x v="2"/>
    <n v="36"/>
    <s v="技术"/>
    <s v="华东"/>
  </r>
  <r>
    <s v="CN-2480-4526574"/>
    <x v="779"/>
    <d v="2023-04-17T21:09:11"/>
    <x v="0"/>
    <x v="9"/>
    <x v="9"/>
    <n v="69"/>
    <x v="7"/>
    <n v="414"/>
    <s v="技术"/>
    <s v="华东"/>
  </r>
  <r>
    <s v="CN-1835-4448319"/>
    <x v="780"/>
    <d v="2023-07-14T12:52:53"/>
    <x v="0"/>
    <x v="208"/>
    <x v="2"/>
    <n v="57"/>
    <x v="8"/>
    <n v="456"/>
    <s v="办公用品"/>
    <s v="华东"/>
  </r>
  <r>
    <s v="CN-1835-4448319"/>
    <x v="781"/>
    <d v="2023-07-14T17:08:12"/>
    <x v="0"/>
    <x v="208"/>
    <x v="5"/>
    <n v="77"/>
    <x v="2"/>
    <n v="231"/>
    <s v="家具"/>
    <s v="华东"/>
  </r>
  <r>
    <s v="CN-2321-4054371"/>
    <x v="782"/>
    <d v="2022-11-09T00:07:49"/>
    <x v="1"/>
    <x v="42"/>
    <x v="13"/>
    <n v="24"/>
    <x v="1"/>
    <n v="96"/>
    <s v="家具"/>
    <s v="华北"/>
  </r>
  <r>
    <s v="CN-2934-2121767"/>
    <x v="783"/>
    <d v="2021-07-18T16:19:10"/>
    <x v="1"/>
    <x v="141"/>
    <x v="1"/>
    <n v="39"/>
    <x v="3"/>
    <n v="351"/>
    <s v="办公用品"/>
    <s v="华北"/>
  </r>
  <r>
    <s v="CN-2409-5616321"/>
    <x v="784"/>
    <d v="2023-02-08T22:37:52"/>
    <x v="0"/>
    <x v="209"/>
    <x v="13"/>
    <n v="83"/>
    <x v="4"/>
    <n v="415"/>
    <s v="家具"/>
    <s v="东北"/>
  </r>
  <r>
    <s v="CN-2409-5616321"/>
    <x v="785"/>
    <d v="2023-02-08T05:36:29"/>
    <x v="0"/>
    <x v="209"/>
    <x v="12"/>
    <n v="97"/>
    <x v="2"/>
    <n v="291"/>
    <s v="家具"/>
    <s v="东北"/>
  </r>
  <r>
    <s v="CN-2909-1574908"/>
    <x v="786"/>
    <d v="2021-06-22T12:16:26"/>
    <x v="0"/>
    <x v="210"/>
    <x v="3"/>
    <n v="20"/>
    <x v="4"/>
    <n v="100"/>
    <s v="办公用品"/>
    <s v="华北"/>
  </r>
  <r>
    <s v="US-3220-2352370"/>
    <x v="787"/>
    <d v="2022-04-30T21:39:01"/>
    <x v="0"/>
    <x v="211"/>
    <x v="3"/>
    <n v="33"/>
    <x v="4"/>
    <n v="165"/>
    <s v="办公用品"/>
    <s v="中南"/>
  </r>
  <r>
    <s v="CN-3192-3289723"/>
    <x v="788"/>
    <d v="2022-03-28T10:01:03"/>
    <x v="1"/>
    <x v="91"/>
    <x v="6"/>
    <n v="61"/>
    <x v="4"/>
    <n v="305"/>
    <s v="办公用品"/>
    <s v="华东"/>
  </r>
  <r>
    <s v="CN-3206-3064620"/>
    <x v="789"/>
    <d v="2022-04-16T01:42:54"/>
    <x v="2"/>
    <x v="191"/>
    <x v="14"/>
    <n v="78"/>
    <x v="4"/>
    <n v="390"/>
    <s v="办公用品"/>
    <s v="华北"/>
  </r>
  <r>
    <s v="CN-2116-3122639"/>
    <x v="790"/>
    <d v="2022-04-18T12:12:42"/>
    <x v="0"/>
    <x v="125"/>
    <x v="1"/>
    <n v="55"/>
    <x v="8"/>
    <n v="440"/>
    <s v="办公用品"/>
    <s v="西南"/>
  </r>
  <r>
    <s v="CN-2116-3122639"/>
    <x v="791"/>
    <d v="2022-04-18T12:39:11"/>
    <x v="0"/>
    <x v="125"/>
    <x v="15"/>
    <n v="48"/>
    <x v="1"/>
    <n v="192"/>
    <s v="办公用品"/>
    <s v="西南"/>
  </r>
  <r>
    <s v="CN-2116-3122639"/>
    <x v="792"/>
    <d v="2022-04-18T11:09:59"/>
    <x v="0"/>
    <x v="125"/>
    <x v="3"/>
    <n v="50"/>
    <x v="0"/>
    <n v="100"/>
    <s v="办公用品"/>
    <s v="西南"/>
  </r>
  <r>
    <s v="CN-2408-2462555"/>
    <x v="793"/>
    <d v="2023-02-06T03:09:21"/>
    <x v="0"/>
    <x v="212"/>
    <x v="12"/>
    <n v="15"/>
    <x v="2"/>
    <n v="45"/>
    <s v="家具"/>
    <s v="中南"/>
  </r>
  <r>
    <s v="CN-2408-2462555"/>
    <x v="794"/>
    <d v="2023-02-06T19:02:07"/>
    <x v="0"/>
    <x v="212"/>
    <x v="12"/>
    <n v="95"/>
    <x v="2"/>
    <n v="285"/>
    <s v="家具"/>
    <s v="中南"/>
  </r>
  <r>
    <s v="CN-2634-2979175"/>
    <x v="795"/>
    <d v="2023-09-22T13:39:46"/>
    <x v="1"/>
    <x v="213"/>
    <x v="10"/>
    <n v="98"/>
    <x v="4"/>
    <n v="490"/>
    <s v="技术"/>
    <s v="华东"/>
  </r>
  <r>
    <s v="CN-3046-2051602"/>
    <x v="796"/>
    <d v="2021-11-07T23:51:57"/>
    <x v="1"/>
    <x v="9"/>
    <x v="11"/>
    <n v="93"/>
    <x v="2"/>
    <n v="279"/>
    <s v="办公用品"/>
    <s v="华东"/>
  </r>
  <r>
    <s v="CN-3046-2051602"/>
    <x v="797"/>
    <d v="2021-11-07T14:31:23"/>
    <x v="1"/>
    <x v="9"/>
    <x v="11"/>
    <n v="39"/>
    <x v="0"/>
    <n v="78"/>
    <s v="办公用品"/>
    <s v="华东"/>
  </r>
  <r>
    <s v="CN-1983-5278891"/>
    <x v="798"/>
    <d v="2023-12-11T15:54:14"/>
    <x v="1"/>
    <x v="214"/>
    <x v="6"/>
    <n v="37"/>
    <x v="0"/>
    <n v="74"/>
    <s v="办公用品"/>
    <s v="中南"/>
  </r>
  <r>
    <s v="CN-2377-4451680"/>
    <x v="799"/>
    <d v="2023-01-07T15:18:45"/>
    <x v="2"/>
    <x v="215"/>
    <x v="1"/>
    <n v="39"/>
    <x v="2"/>
    <n v="117"/>
    <s v="办公用品"/>
    <s v="华北"/>
  </r>
  <r>
    <s v="CN-2377-4451680"/>
    <x v="800"/>
    <d v="2023-01-07T23:01:37"/>
    <x v="2"/>
    <x v="215"/>
    <x v="4"/>
    <n v="21"/>
    <x v="0"/>
    <n v="42"/>
    <s v="技术"/>
    <s v="华北"/>
  </r>
  <r>
    <s v="CN-2535-3852845"/>
    <x v="801"/>
    <d v="2023-06-12T09:35:49"/>
    <x v="0"/>
    <x v="216"/>
    <x v="10"/>
    <n v="45"/>
    <x v="0"/>
    <n v="90"/>
    <s v="技术"/>
    <s v="东北"/>
  </r>
  <r>
    <s v="US-2766-4842730"/>
    <x v="802"/>
    <d v="2021-01-30T14:39:48"/>
    <x v="0"/>
    <x v="217"/>
    <x v="15"/>
    <n v="92"/>
    <x v="2"/>
    <n v="276"/>
    <s v="办公用品"/>
    <s v="东北"/>
  </r>
  <r>
    <s v="US-2766-4842730"/>
    <x v="803"/>
    <d v="2021-01-30T04:04:55"/>
    <x v="0"/>
    <x v="217"/>
    <x v="1"/>
    <n v="85"/>
    <x v="1"/>
    <n v="340"/>
    <s v="办公用品"/>
    <s v="东北"/>
  </r>
  <r>
    <s v="US-2766-4842730"/>
    <x v="804"/>
    <d v="2021-01-30T16:56:49"/>
    <x v="0"/>
    <x v="217"/>
    <x v="3"/>
    <n v="38"/>
    <x v="2"/>
    <n v="114"/>
    <s v="办公用品"/>
    <s v="东北"/>
  </r>
  <r>
    <s v="CN-2230-3261036"/>
    <x v="805"/>
    <d v="2022-08-10T18:07:44"/>
    <x v="1"/>
    <x v="113"/>
    <x v="11"/>
    <n v="100"/>
    <x v="1"/>
    <n v="400"/>
    <s v="办公用品"/>
    <s v="东北"/>
  </r>
  <r>
    <s v="CN-2412-5542988"/>
    <x v="806"/>
    <d v="2023-02-11T05:29:11"/>
    <x v="2"/>
    <x v="218"/>
    <x v="11"/>
    <n v="17"/>
    <x v="6"/>
    <n v="17"/>
    <s v="办公用品"/>
    <s v="西南"/>
  </r>
  <r>
    <s v="CN-2360-4092793"/>
    <x v="807"/>
    <d v="2022-12-20T11:24:13"/>
    <x v="1"/>
    <x v="3"/>
    <x v="3"/>
    <n v="27"/>
    <x v="0"/>
    <n v="54"/>
    <s v="办公用品"/>
    <s v="中南"/>
  </r>
  <r>
    <s v="CN-2255-5869022"/>
    <x v="808"/>
    <d v="2022-09-04T13:27:16"/>
    <x v="1"/>
    <x v="7"/>
    <x v="7"/>
    <n v="47"/>
    <x v="2"/>
    <n v="141"/>
    <s v="办公用品"/>
    <s v="华东"/>
  </r>
  <r>
    <s v="CN-2255-5869022"/>
    <x v="809"/>
    <d v="2022-09-04T22:48:16"/>
    <x v="1"/>
    <x v="7"/>
    <x v="4"/>
    <n v="76"/>
    <x v="2"/>
    <n v="228"/>
    <s v="技术"/>
    <s v="华东"/>
  </r>
  <r>
    <s v="CN-2255-5869022"/>
    <x v="810"/>
    <d v="2022-09-04T00:06:08"/>
    <x v="1"/>
    <x v="7"/>
    <x v="2"/>
    <n v="86"/>
    <x v="6"/>
    <n v="86"/>
    <s v="办公用品"/>
    <s v="华东"/>
  </r>
  <r>
    <s v="CN-2255-5869022"/>
    <x v="811"/>
    <d v="2022-09-04T12:29:02"/>
    <x v="1"/>
    <x v="7"/>
    <x v="13"/>
    <n v="56"/>
    <x v="6"/>
    <n v="56"/>
    <s v="家具"/>
    <s v="华东"/>
  </r>
  <r>
    <s v="CN-2255-5869022"/>
    <x v="812"/>
    <d v="2022-09-04T02:40:40"/>
    <x v="1"/>
    <x v="7"/>
    <x v="0"/>
    <n v="48"/>
    <x v="1"/>
    <n v="192"/>
    <s v="办公用品"/>
    <s v="华东"/>
  </r>
  <r>
    <s v="US-3108-3504524"/>
    <x v="813"/>
    <d v="2022-01-05T22:44:51"/>
    <x v="1"/>
    <x v="219"/>
    <x v="5"/>
    <n v="43"/>
    <x v="10"/>
    <n v="473"/>
    <s v="家具"/>
    <s v="华北"/>
  </r>
  <r>
    <s v="US-3108-3504524"/>
    <x v="814"/>
    <d v="2022-01-05T13:53:13"/>
    <x v="1"/>
    <x v="219"/>
    <x v="5"/>
    <n v="52"/>
    <x v="7"/>
    <n v="312"/>
    <s v="家具"/>
    <s v="华北"/>
  </r>
  <r>
    <s v="US-3108-3504524"/>
    <x v="815"/>
    <d v="2022-01-05T19:29:44"/>
    <x v="1"/>
    <x v="219"/>
    <x v="12"/>
    <n v="40"/>
    <x v="6"/>
    <n v="40"/>
    <s v="家具"/>
    <s v="华北"/>
  </r>
  <r>
    <s v="US-3108-3504524"/>
    <x v="816"/>
    <d v="2022-01-05T09:06:04"/>
    <x v="1"/>
    <x v="219"/>
    <x v="5"/>
    <n v="72"/>
    <x v="2"/>
    <n v="216"/>
    <s v="家具"/>
    <s v="华北"/>
  </r>
  <r>
    <s v="CN-2901-5956912"/>
    <x v="817"/>
    <d v="2021-06-16T15:48:04"/>
    <x v="1"/>
    <x v="9"/>
    <x v="2"/>
    <n v="70"/>
    <x v="7"/>
    <n v="420"/>
    <s v="办公用品"/>
    <s v="华东"/>
  </r>
  <r>
    <s v="CN-2002-4114478"/>
    <x v="818"/>
    <d v="2023-12-29T13:16:07"/>
    <x v="0"/>
    <x v="220"/>
    <x v="1"/>
    <n v="46"/>
    <x v="4"/>
    <n v="230"/>
    <s v="办公用品"/>
    <s v="中南"/>
  </r>
  <r>
    <s v="CN-3101-1261828"/>
    <x v="819"/>
    <d v="2021-12-30T07:11:34"/>
    <x v="1"/>
    <x v="221"/>
    <x v="3"/>
    <n v="47"/>
    <x v="2"/>
    <n v="141"/>
    <s v="办公用品"/>
    <s v="西南"/>
  </r>
  <r>
    <s v="CN-3101-1261828"/>
    <x v="820"/>
    <d v="2021-12-30T23:21:09"/>
    <x v="1"/>
    <x v="221"/>
    <x v="5"/>
    <n v="93"/>
    <x v="2"/>
    <n v="279"/>
    <s v="家具"/>
    <s v="西南"/>
  </r>
  <r>
    <s v="CN-3101-1261828"/>
    <x v="821"/>
    <d v="2021-12-30T00:27:48"/>
    <x v="1"/>
    <x v="221"/>
    <x v="1"/>
    <n v="37"/>
    <x v="1"/>
    <n v="148"/>
    <s v="办公用品"/>
    <s v="西南"/>
  </r>
  <r>
    <s v="US-3180-3988119"/>
    <x v="822"/>
    <d v="2022-03-19T12:08:28"/>
    <x v="1"/>
    <x v="22"/>
    <x v="15"/>
    <n v="70"/>
    <x v="7"/>
    <n v="420"/>
    <s v="办公用品"/>
    <s v="中南"/>
  </r>
  <r>
    <s v="US-3180-3988119"/>
    <x v="823"/>
    <d v="2022-03-19T02:34:15"/>
    <x v="1"/>
    <x v="22"/>
    <x v="12"/>
    <n v="36"/>
    <x v="1"/>
    <n v="144"/>
    <s v="家具"/>
    <s v="中南"/>
  </r>
  <r>
    <s v="US-3180-3988119"/>
    <x v="824"/>
    <d v="2022-03-19T11:37:56"/>
    <x v="1"/>
    <x v="22"/>
    <x v="8"/>
    <n v="96"/>
    <x v="13"/>
    <n v="1248"/>
    <s v="技术"/>
    <s v="中南"/>
  </r>
  <r>
    <s v="CN-2388-5320363"/>
    <x v="825"/>
    <d v="2023-01-18T13:42:19"/>
    <x v="1"/>
    <x v="155"/>
    <x v="15"/>
    <n v="45"/>
    <x v="0"/>
    <n v="90"/>
    <s v="办公用品"/>
    <s v="华北"/>
  </r>
  <r>
    <s v="CN-2388-5320363"/>
    <x v="826"/>
    <d v="2023-01-18T18:20:38"/>
    <x v="1"/>
    <x v="155"/>
    <x v="13"/>
    <n v="28"/>
    <x v="6"/>
    <n v="28"/>
    <s v="家具"/>
    <s v="华北"/>
  </r>
  <r>
    <s v="CN-2388-5320363"/>
    <x v="827"/>
    <d v="2023-01-18T20:52:58"/>
    <x v="1"/>
    <x v="155"/>
    <x v="12"/>
    <n v="46"/>
    <x v="1"/>
    <n v="184"/>
    <s v="家具"/>
    <s v="华北"/>
  </r>
  <r>
    <s v="CN-2388-5320363"/>
    <x v="828"/>
    <d v="2023-01-18T04:11:42"/>
    <x v="1"/>
    <x v="155"/>
    <x v="3"/>
    <n v="50"/>
    <x v="4"/>
    <n v="250"/>
    <s v="办公用品"/>
    <s v="华北"/>
  </r>
  <r>
    <s v="CN-2388-5320363"/>
    <x v="829"/>
    <d v="2023-01-18T17:51:54"/>
    <x v="1"/>
    <x v="155"/>
    <x v="12"/>
    <n v="13"/>
    <x v="1"/>
    <n v="52"/>
    <s v="家具"/>
    <s v="华北"/>
  </r>
  <r>
    <s v="CN-2129-5278891"/>
    <x v="830"/>
    <d v="2022-05-03T08:28:54"/>
    <x v="1"/>
    <x v="127"/>
    <x v="1"/>
    <n v="19"/>
    <x v="2"/>
    <n v="57"/>
    <s v="办公用品"/>
    <s v="东北"/>
  </r>
  <r>
    <s v="CN-3203-2166981"/>
    <x v="831"/>
    <d v="2022-04-08T14:13:31"/>
    <x v="0"/>
    <x v="222"/>
    <x v="3"/>
    <n v="76"/>
    <x v="7"/>
    <n v="456"/>
    <s v="办公用品"/>
    <s v="中南"/>
  </r>
  <r>
    <s v="CN-2391-4596452"/>
    <x v="832"/>
    <d v="2023-01-20T03:54:33"/>
    <x v="1"/>
    <x v="6"/>
    <x v="13"/>
    <n v="40"/>
    <x v="2"/>
    <n v="120"/>
    <s v="家具"/>
    <s v="东北"/>
  </r>
  <r>
    <s v="CN-3025-1135813"/>
    <x v="833"/>
    <d v="2021-10-15T07:21:27"/>
    <x v="2"/>
    <x v="223"/>
    <x v="1"/>
    <n v="59"/>
    <x v="11"/>
    <n v="590"/>
    <s v="办公用品"/>
    <s v="中南"/>
  </r>
  <r>
    <s v="CN-3025-1135813"/>
    <x v="834"/>
    <d v="2021-10-15T11:05:24"/>
    <x v="2"/>
    <x v="223"/>
    <x v="0"/>
    <n v="88"/>
    <x v="6"/>
    <n v="88"/>
    <s v="办公用品"/>
    <s v="中南"/>
  </r>
  <r>
    <s v="CN-2898-5146329"/>
    <x v="835"/>
    <d v="2021-06-12T14:23:38"/>
    <x v="1"/>
    <x v="19"/>
    <x v="0"/>
    <n v="73"/>
    <x v="1"/>
    <n v="292"/>
    <s v="办公用品"/>
    <s v="华东"/>
  </r>
  <r>
    <s v="CN-2293-2558627"/>
    <x v="836"/>
    <d v="2022-10-12T01:52:23"/>
    <x v="1"/>
    <x v="75"/>
    <x v="13"/>
    <n v="84"/>
    <x v="11"/>
    <n v="840"/>
    <s v="家具"/>
    <s v="华东"/>
  </r>
  <r>
    <s v="CN-3160-4230867"/>
    <x v="837"/>
    <d v="2022-02-28T15:10:09"/>
    <x v="1"/>
    <x v="224"/>
    <x v="11"/>
    <n v="30"/>
    <x v="2"/>
    <n v="90"/>
    <s v="办公用品"/>
    <s v="华北"/>
  </r>
  <r>
    <s v="US-2416-1455125"/>
    <x v="838"/>
    <d v="2023-02-12T01:38:38"/>
    <x v="0"/>
    <x v="225"/>
    <x v="16"/>
    <n v="83"/>
    <x v="6"/>
    <n v="83"/>
    <s v="家具"/>
    <s v="西北"/>
  </r>
  <r>
    <s v="CN-2206-4054371"/>
    <x v="839"/>
    <d v="2022-07-21T20:39:41"/>
    <x v="0"/>
    <x v="45"/>
    <x v="5"/>
    <n v="44"/>
    <x v="8"/>
    <n v="352"/>
    <s v="家具"/>
    <s v="中南"/>
  </r>
  <r>
    <s v="CN-2206-4054371"/>
    <x v="840"/>
    <d v="2022-07-21T07:25:25"/>
    <x v="0"/>
    <x v="45"/>
    <x v="5"/>
    <n v="80"/>
    <x v="2"/>
    <n v="240"/>
    <s v="家具"/>
    <s v="中南"/>
  </r>
  <r>
    <s v="CN-2206-4054371"/>
    <x v="841"/>
    <d v="2022-07-21T18:52:05"/>
    <x v="0"/>
    <x v="45"/>
    <x v="13"/>
    <n v="80"/>
    <x v="2"/>
    <n v="240"/>
    <s v="家具"/>
    <s v="中南"/>
  </r>
  <r>
    <s v="CN-2206-4054371"/>
    <x v="842"/>
    <d v="2022-07-21T20:14:11"/>
    <x v="0"/>
    <x v="45"/>
    <x v="6"/>
    <n v="92"/>
    <x v="0"/>
    <n v="184"/>
    <s v="办公用品"/>
    <s v="中南"/>
  </r>
  <r>
    <s v="CN-2206-4054371"/>
    <x v="843"/>
    <d v="2022-07-21T06:48:21"/>
    <x v="0"/>
    <x v="45"/>
    <x v="15"/>
    <n v="88"/>
    <x v="2"/>
    <n v="264"/>
    <s v="办公用品"/>
    <s v="中南"/>
  </r>
  <r>
    <s v="CN-2761-2661656"/>
    <x v="844"/>
    <d v="2021-01-26T00:25:50"/>
    <x v="2"/>
    <x v="173"/>
    <x v="5"/>
    <n v="86"/>
    <x v="2"/>
    <n v="258"/>
    <s v="家具"/>
    <s v="中南"/>
  </r>
  <r>
    <s v="US-1898-4517151"/>
    <x v="845"/>
    <d v="2023-09-17T12:31:54"/>
    <x v="1"/>
    <x v="37"/>
    <x v="7"/>
    <n v="78"/>
    <x v="8"/>
    <n v="624"/>
    <s v="办公用品"/>
    <s v="中南"/>
  </r>
  <r>
    <s v="US-2829-5082514"/>
    <x v="846"/>
    <d v="2021-04-03T02:14:57"/>
    <x v="1"/>
    <x v="226"/>
    <x v="15"/>
    <n v="70"/>
    <x v="0"/>
    <n v="140"/>
    <s v="办公用品"/>
    <s v="华东"/>
  </r>
  <r>
    <s v="US-2829-5082514"/>
    <x v="847"/>
    <d v="2021-04-03T11:19:20"/>
    <x v="1"/>
    <x v="226"/>
    <x v="6"/>
    <n v="29"/>
    <x v="4"/>
    <n v="145"/>
    <s v="办公用品"/>
    <s v="华东"/>
  </r>
  <r>
    <s v="CN-3166-5445015"/>
    <x v="848"/>
    <d v="2022-03-06T17:39:03"/>
    <x v="0"/>
    <x v="227"/>
    <x v="4"/>
    <n v="60"/>
    <x v="4"/>
    <n v="300"/>
    <s v="技术"/>
    <s v="华北"/>
  </r>
  <r>
    <s v="CN-3019-3360468"/>
    <x v="849"/>
    <d v="2021-10-06T16:47:16"/>
    <x v="0"/>
    <x v="80"/>
    <x v="11"/>
    <n v="51"/>
    <x v="0"/>
    <n v="102"/>
    <s v="办公用品"/>
    <s v="华东"/>
  </r>
  <r>
    <s v="CN-3108-2501800"/>
    <x v="850"/>
    <d v="2022-01-05T05:59:39"/>
    <x v="2"/>
    <x v="9"/>
    <x v="2"/>
    <n v="22"/>
    <x v="2"/>
    <n v="66"/>
    <s v="办公用品"/>
    <s v="华东"/>
  </r>
  <r>
    <s v="CN-3088-3284718"/>
    <x v="851"/>
    <d v="2021-12-16T16:54:20"/>
    <x v="0"/>
    <x v="118"/>
    <x v="7"/>
    <n v="70"/>
    <x v="0"/>
    <n v="140"/>
    <s v="办公用品"/>
    <s v="西南"/>
  </r>
  <r>
    <s v="CN-3088-3284718"/>
    <x v="852"/>
    <d v="2021-12-16T05:45:23"/>
    <x v="0"/>
    <x v="118"/>
    <x v="11"/>
    <n v="19"/>
    <x v="6"/>
    <n v="19"/>
    <s v="办公用品"/>
    <s v="西南"/>
  </r>
  <r>
    <s v="CN-3088-3284718"/>
    <x v="853"/>
    <d v="2021-12-16T00:28:30"/>
    <x v="0"/>
    <x v="118"/>
    <x v="13"/>
    <n v="83"/>
    <x v="7"/>
    <n v="498"/>
    <s v="家具"/>
    <s v="西南"/>
  </r>
  <r>
    <s v="CN-3092-4927110"/>
    <x v="854"/>
    <d v="2021-12-19T04:32:25"/>
    <x v="1"/>
    <x v="216"/>
    <x v="7"/>
    <n v="18"/>
    <x v="4"/>
    <n v="90"/>
    <s v="办公用品"/>
    <s v="东北"/>
  </r>
  <r>
    <s v="CN-3092-4927110"/>
    <x v="855"/>
    <d v="2021-12-19T18:37:13"/>
    <x v="1"/>
    <x v="216"/>
    <x v="15"/>
    <n v="11"/>
    <x v="1"/>
    <n v="44"/>
    <s v="办公用品"/>
    <s v="东北"/>
  </r>
  <r>
    <s v="CN-3092-4927110"/>
    <x v="856"/>
    <d v="2021-12-19T03:07:03"/>
    <x v="1"/>
    <x v="216"/>
    <x v="5"/>
    <n v="29"/>
    <x v="0"/>
    <n v="58"/>
    <s v="家具"/>
    <s v="东北"/>
  </r>
  <r>
    <s v="CN-3092-4927110"/>
    <x v="857"/>
    <d v="2021-12-19T22:52:49"/>
    <x v="1"/>
    <x v="216"/>
    <x v="6"/>
    <n v="15"/>
    <x v="0"/>
    <n v="30"/>
    <s v="办公用品"/>
    <s v="东北"/>
  </r>
  <r>
    <s v="CN-3092-4927110"/>
    <x v="858"/>
    <d v="2021-12-19T10:00:05"/>
    <x v="1"/>
    <x v="216"/>
    <x v="8"/>
    <n v="51"/>
    <x v="4"/>
    <n v="255"/>
    <s v="技术"/>
    <s v="东北"/>
  </r>
  <r>
    <s v="CN-3092-4927110"/>
    <x v="859"/>
    <d v="2021-12-19T00:06:53"/>
    <x v="1"/>
    <x v="216"/>
    <x v="10"/>
    <n v="87"/>
    <x v="4"/>
    <n v="435"/>
    <s v="技术"/>
    <s v="东北"/>
  </r>
  <r>
    <s v="CN-2768-1300278"/>
    <x v="860"/>
    <d v="2021-02-03T14:25:01"/>
    <x v="0"/>
    <x v="228"/>
    <x v="6"/>
    <n v="44"/>
    <x v="2"/>
    <n v="132"/>
    <s v="办公用品"/>
    <s v="华东"/>
  </r>
  <r>
    <s v="CN-2768-1300278"/>
    <x v="861"/>
    <d v="2021-02-03T10:56:34"/>
    <x v="0"/>
    <x v="228"/>
    <x v="2"/>
    <n v="67"/>
    <x v="2"/>
    <n v="201"/>
    <s v="办公用品"/>
    <s v="华东"/>
  </r>
  <r>
    <s v="CN-2768-1300278"/>
    <x v="862"/>
    <d v="2021-02-03T09:18:42"/>
    <x v="0"/>
    <x v="228"/>
    <x v="12"/>
    <n v="38"/>
    <x v="2"/>
    <n v="114"/>
    <s v="家具"/>
    <s v="华东"/>
  </r>
  <r>
    <s v="CN-2768-1300278"/>
    <x v="863"/>
    <d v="2021-02-03T08:57:51"/>
    <x v="0"/>
    <x v="228"/>
    <x v="9"/>
    <n v="58"/>
    <x v="2"/>
    <n v="174"/>
    <s v="技术"/>
    <s v="华东"/>
  </r>
  <r>
    <s v="CN-2768-1300278"/>
    <x v="864"/>
    <d v="2021-02-03T17:39:22"/>
    <x v="0"/>
    <x v="228"/>
    <x v="14"/>
    <n v="59"/>
    <x v="2"/>
    <n v="177"/>
    <s v="办公用品"/>
    <s v="华东"/>
  </r>
  <r>
    <s v="CN-2768-1300278"/>
    <x v="865"/>
    <d v="2021-02-03T22:02:50"/>
    <x v="0"/>
    <x v="228"/>
    <x v="3"/>
    <n v="26"/>
    <x v="6"/>
    <n v="26"/>
    <s v="办公用品"/>
    <s v="华东"/>
  </r>
  <r>
    <s v="CN-2768-1300278"/>
    <x v="866"/>
    <d v="2021-02-03T03:53:35"/>
    <x v="0"/>
    <x v="228"/>
    <x v="2"/>
    <n v="76"/>
    <x v="6"/>
    <n v="76"/>
    <s v="办公用品"/>
    <s v="华东"/>
  </r>
  <r>
    <s v="CN-3218-1964482"/>
    <x v="867"/>
    <d v="2022-04-27T04:18:37"/>
    <x v="0"/>
    <x v="12"/>
    <x v="9"/>
    <n v="31"/>
    <x v="0"/>
    <n v="62"/>
    <s v="技术"/>
    <s v="华东"/>
  </r>
  <r>
    <s v="CN-3218-1964482"/>
    <x v="868"/>
    <d v="2022-04-27T19:37:46"/>
    <x v="0"/>
    <x v="12"/>
    <x v="9"/>
    <n v="98"/>
    <x v="2"/>
    <n v="294"/>
    <s v="技术"/>
    <s v="华东"/>
  </r>
  <r>
    <s v="CN-3218-1964482"/>
    <x v="869"/>
    <d v="2022-04-27T15:26:57"/>
    <x v="0"/>
    <x v="12"/>
    <x v="10"/>
    <n v="84"/>
    <x v="0"/>
    <n v="168"/>
    <s v="技术"/>
    <s v="华东"/>
  </r>
  <r>
    <s v="CN-3218-1964482"/>
    <x v="870"/>
    <d v="2022-04-27T21:51:06"/>
    <x v="0"/>
    <x v="12"/>
    <x v="7"/>
    <n v="29"/>
    <x v="0"/>
    <n v="58"/>
    <s v="办公用品"/>
    <s v="华东"/>
  </r>
  <r>
    <s v="CN-2298-5533473"/>
    <x v="871"/>
    <d v="2022-10-19T19:56:20"/>
    <x v="2"/>
    <x v="229"/>
    <x v="9"/>
    <n v="51"/>
    <x v="1"/>
    <n v="204"/>
    <s v="技术"/>
    <s v="东北"/>
  </r>
  <r>
    <s v="CN-2298-5533473"/>
    <x v="872"/>
    <d v="2022-10-19T18:22:58"/>
    <x v="2"/>
    <x v="229"/>
    <x v="10"/>
    <n v="85"/>
    <x v="2"/>
    <n v="255"/>
    <s v="技术"/>
    <s v="东北"/>
  </r>
  <r>
    <s v="CN-2983-5834341"/>
    <x v="873"/>
    <d v="2021-09-05T14:36:31"/>
    <x v="1"/>
    <x v="142"/>
    <x v="3"/>
    <n v="75"/>
    <x v="10"/>
    <n v="825"/>
    <s v="办公用品"/>
    <s v="华东"/>
  </r>
  <r>
    <s v="CN-2983-5834341"/>
    <x v="874"/>
    <d v="2021-09-05T13:07:02"/>
    <x v="1"/>
    <x v="142"/>
    <x v="6"/>
    <n v="94"/>
    <x v="8"/>
    <n v="752"/>
    <s v="办公用品"/>
    <s v="华东"/>
  </r>
  <r>
    <s v="US-2997-1925348"/>
    <x v="875"/>
    <d v="2021-09-20T16:59:16"/>
    <x v="2"/>
    <x v="187"/>
    <x v="5"/>
    <n v="37"/>
    <x v="2"/>
    <n v="111"/>
    <s v="家具"/>
    <s v="中南"/>
  </r>
  <r>
    <s v="CN-3062-3805086"/>
    <x v="876"/>
    <d v="2021-11-23T23:25:37"/>
    <x v="1"/>
    <x v="153"/>
    <x v="14"/>
    <n v="31"/>
    <x v="7"/>
    <n v="186"/>
    <s v="办公用品"/>
    <s v="华东"/>
  </r>
  <r>
    <s v="US-2088-4164715"/>
    <x v="877"/>
    <d v="2022-03-25T09:13:34"/>
    <x v="1"/>
    <x v="0"/>
    <x v="7"/>
    <n v="91"/>
    <x v="0"/>
    <n v="182"/>
    <s v="办公用品"/>
    <s v="华东"/>
  </r>
  <r>
    <s v="CN-3017-2267443"/>
    <x v="878"/>
    <d v="2021-10-07T02:25:05"/>
    <x v="1"/>
    <x v="14"/>
    <x v="12"/>
    <n v="54"/>
    <x v="0"/>
    <n v="108"/>
    <s v="家具"/>
    <s v="华东"/>
  </r>
  <r>
    <s v="CN-3017-2267443"/>
    <x v="879"/>
    <d v="2021-10-07T13:08:14"/>
    <x v="1"/>
    <x v="14"/>
    <x v="9"/>
    <n v="74"/>
    <x v="2"/>
    <n v="222"/>
    <s v="技术"/>
    <s v="华东"/>
  </r>
  <r>
    <s v="CN-2650-3374395"/>
    <x v="880"/>
    <d v="2023-10-08T02:08:33"/>
    <x v="1"/>
    <x v="230"/>
    <x v="10"/>
    <n v="68"/>
    <x v="7"/>
    <n v="408"/>
    <s v="技术"/>
    <s v="华北"/>
  </r>
  <r>
    <s v="CN-2672-4651879"/>
    <x v="881"/>
    <d v="2023-10-28T21:04:08"/>
    <x v="1"/>
    <x v="85"/>
    <x v="5"/>
    <n v="24"/>
    <x v="2"/>
    <n v="72"/>
    <s v="家具"/>
    <s v="西南"/>
  </r>
  <r>
    <s v="CN-2672-4651879"/>
    <x v="882"/>
    <d v="2023-10-28T22:47:41"/>
    <x v="1"/>
    <x v="85"/>
    <x v="6"/>
    <n v="97"/>
    <x v="5"/>
    <n v="679"/>
    <s v="办公用品"/>
    <s v="西南"/>
  </r>
  <r>
    <s v="CN-2672-4651879"/>
    <x v="883"/>
    <d v="2023-10-28T15:50:11"/>
    <x v="1"/>
    <x v="85"/>
    <x v="14"/>
    <n v="59"/>
    <x v="4"/>
    <n v="295"/>
    <s v="办公用品"/>
    <s v="西南"/>
  </r>
  <r>
    <s v="CN-1953-2501800"/>
    <x v="884"/>
    <d v="2023-11-09T17:10:00"/>
    <x v="2"/>
    <x v="231"/>
    <x v="13"/>
    <n v="10"/>
    <x v="8"/>
    <n v="80"/>
    <s v="家具"/>
    <s v="华北"/>
  </r>
  <r>
    <s v="CN-2908-2274876"/>
    <x v="885"/>
    <d v="2021-06-23T17:21:23"/>
    <x v="1"/>
    <x v="124"/>
    <x v="6"/>
    <n v="16"/>
    <x v="7"/>
    <n v="96"/>
    <s v="办公用品"/>
    <s v="中南"/>
  </r>
  <r>
    <s v="CN-2451-3954075"/>
    <x v="886"/>
    <d v="2023-03-17T23:44:34"/>
    <x v="0"/>
    <x v="83"/>
    <x v="10"/>
    <n v="83"/>
    <x v="0"/>
    <n v="166"/>
    <s v="技术"/>
    <s v="中南"/>
  </r>
  <r>
    <s v="US-2682-2257547"/>
    <x v="887"/>
    <d v="2023-11-05T07:30:55"/>
    <x v="0"/>
    <x v="76"/>
    <x v="15"/>
    <n v="20"/>
    <x v="0"/>
    <n v="40"/>
    <s v="办公用品"/>
    <s v="西南"/>
  </r>
  <r>
    <s v="CN-2416-3904829"/>
    <x v="888"/>
    <d v="2023-02-14T17:42:40"/>
    <x v="1"/>
    <x v="77"/>
    <x v="12"/>
    <n v="14"/>
    <x v="4"/>
    <n v="70"/>
    <s v="家具"/>
    <s v="华北"/>
  </r>
  <r>
    <s v="CN-2416-3904829"/>
    <x v="889"/>
    <d v="2023-02-14T22:36:13"/>
    <x v="1"/>
    <x v="77"/>
    <x v="1"/>
    <n v="81"/>
    <x v="0"/>
    <n v="162"/>
    <s v="办公用品"/>
    <s v="华北"/>
  </r>
  <r>
    <s v="CN-2416-3904829"/>
    <x v="890"/>
    <d v="2023-02-14T04:02:04"/>
    <x v="1"/>
    <x v="77"/>
    <x v="9"/>
    <n v="34"/>
    <x v="0"/>
    <n v="68"/>
    <s v="技术"/>
    <s v="华北"/>
  </r>
  <r>
    <s v="CN-2600-4733722"/>
    <x v="891"/>
    <d v="2023-08-17T17:25:09"/>
    <x v="0"/>
    <x v="232"/>
    <x v="13"/>
    <n v="78"/>
    <x v="2"/>
    <n v="234"/>
    <s v="家具"/>
    <s v="华北"/>
  </r>
  <r>
    <s v="CN-2600-4733722"/>
    <x v="892"/>
    <d v="2023-08-17T08:16:53"/>
    <x v="0"/>
    <x v="232"/>
    <x v="5"/>
    <n v="20"/>
    <x v="0"/>
    <n v="40"/>
    <s v="家具"/>
    <s v="华北"/>
  </r>
  <r>
    <s v="CN-2600-4733722"/>
    <x v="893"/>
    <d v="2023-08-17T18:17:15"/>
    <x v="0"/>
    <x v="232"/>
    <x v="15"/>
    <n v="43"/>
    <x v="4"/>
    <n v="215"/>
    <s v="办公用品"/>
    <s v="华北"/>
  </r>
  <r>
    <s v="CN-2468-3138520"/>
    <x v="894"/>
    <d v="2023-04-05T01:36:45"/>
    <x v="1"/>
    <x v="71"/>
    <x v="2"/>
    <n v="52"/>
    <x v="0"/>
    <n v="104"/>
    <s v="办公用品"/>
    <s v="中南"/>
  </r>
  <r>
    <s v="CN-2468-3138520"/>
    <x v="895"/>
    <d v="2023-04-05T11:05:43"/>
    <x v="1"/>
    <x v="71"/>
    <x v="5"/>
    <n v="27"/>
    <x v="2"/>
    <n v="81"/>
    <s v="家具"/>
    <s v="中南"/>
  </r>
  <r>
    <s v="CN-2468-3138520"/>
    <x v="896"/>
    <d v="2023-04-05T04:25:36"/>
    <x v="1"/>
    <x v="71"/>
    <x v="8"/>
    <n v="81"/>
    <x v="4"/>
    <n v="405"/>
    <s v="技术"/>
    <s v="中南"/>
  </r>
  <r>
    <s v="CN-2468-3138520"/>
    <x v="897"/>
    <d v="2023-04-05T18:31:01"/>
    <x v="1"/>
    <x v="71"/>
    <x v="14"/>
    <n v="60"/>
    <x v="7"/>
    <n v="360"/>
    <s v="办公用品"/>
    <s v="中南"/>
  </r>
  <r>
    <s v="CN-3137-5378913"/>
    <x v="898"/>
    <d v="2022-02-05T16:38:38"/>
    <x v="1"/>
    <x v="123"/>
    <x v="6"/>
    <n v="12"/>
    <x v="4"/>
    <n v="60"/>
    <s v="办公用品"/>
    <s v="东北"/>
  </r>
  <r>
    <s v="CN-3228-4121606"/>
    <x v="899"/>
    <d v="2022-05-05T17:54:04"/>
    <x v="1"/>
    <x v="123"/>
    <x v="9"/>
    <n v="100"/>
    <x v="2"/>
    <n v="300"/>
    <s v="技术"/>
    <s v="东北"/>
  </r>
  <r>
    <s v="CN-2719-4092734"/>
    <x v="900"/>
    <d v="2023-12-14T12:37:11"/>
    <x v="2"/>
    <x v="46"/>
    <x v="7"/>
    <n v="79"/>
    <x v="1"/>
    <n v="316"/>
    <s v="办公用品"/>
    <s v="东北"/>
  </r>
  <r>
    <s v="CN-2719-4092734"/>
    <x v="901"/>
    <d v="2023-12-14T13:09:14"/>
    <x v="2"/>
    <x v="46"/>
    <x v="3"/>
    <n v="54"/>
    <x v="4"/>
    <n v="270"/>
    <s v="办公用品"/>
    <s v="东北"/>
  </r>
  <r>
    <s v="CN-2719-4092734"/>
    <x v="902"/>
    <d v="2023-12-14T11:05:10"/>
    <x v="2"/>
    <x v="46"/>
    <x v="14"/>
    <n v="31"/>
    <x v="4"/>
    <n v="155"/>
    <s v="办公用品"/>
    <s v="东北"/>
  </r>
  <r>
    <s v="CN-2305-4978724"/>
    <x v="903"/>
    <d v="2022-10-26T12:01:31"/>
    <x v="1"/>
    <x v="55"/>
    <x v="9"/>
    <n v="61"/>
    <x v="0"/>
    <n v="122"/>
    <s v="技术"/>
    <s v="西南"/>
  </r>
  <r>
    <s v="CN-2305-4978724"/>
    <x v="904"/>
    <d v="2022-10-26T17:21:36"/>
    <x v="1"/>
    <x v="55"/>
    <x v="15"/>
    <n v="63"/>
    <x v="6"/>
    <n v="63"/>
    <s v="办公用品"/>
    <s v="西南"/>
  </r>
  <r>
    <s v="CN-2305-4978724"/>
    <x v="905"/>
    <d v="2022-10-26T20:00:07"/>
    <x v="1"/>
    <x v="55"/>
    <x v="13"/>
    <n v="74"/>
    <x v="4"/>
    <n v="370"/>
    <s v="家具"/>
    <s v="西南"/>
  </r>
  <r>
    <s v="CN-2123-2664017"/>
    <x v="906"/>
    <d v="2022-04-23T14:49:57"/>
    <x v="1"/>
    <x v="42"/>
    <x v="14"/>
    <n v="54"/>
    <x v="2"/>
    <n v="162"/>
    <s v="办公用品"/>
    <s v="华北"/>
  </r>
  <r>
    <s v="CN-2123-2664017"/>
    <x v="907"/>
    <d v="2022-04-23T03:27:06"/>
    <x v="1"/>
    <x v="42"/>
    <x v="12"/>
    <n v="16"/>
    <x v="2"/>
    <n v="48"/>
    <s v="家具"/>
    <s v="华北"/>
  </r>
  <r>
    <s v="CN-2083-2501800"/>
    <x v="908"/>
    <d v="2022-03-19T01:27:52"/>
    <x v="1"/>
    <x v="219"/>
    <x v="1"/>
    <n v="60"/>
    <x v="0"/>
    <n v="120"/>
    <s v="办公用品"/>
    <s v="华北"/>
  </r>
  <r>
    <s v="CN-2909-1891447"/>
    <x v="909"/>
    <d v="2021-06-25T11:20:17"/>
    <x v="1"/>
    <x v="19"/>
    <x v="10"/>
    <n v="97"/>
    <x v="6"/>
    <n v="97"/>
    <s v="技术"/>
    <s v="华东"/>
  </r>
  <r>
    <s v="CN-2909-1891447"/>
    <x v="910"/>
    <d v="2021-06-25T10:05:03"/>
    <x v="1"/>
    <x v="19"/>
    <x v="15"/>
    <n v="24"/>
    <x v="0"/>
    <n v="48"/>
    <s v="办公用品"/>
    <s v="华东"/>
  </r>
  <r>
    <s v="CN-2909-1891447"/>
    <x v="911"/>
    <d v="2021-06-25T18:56:21"/>
    <x v="1"/>
    <x v="19"/>
    <x v="1"/>
    <n v="37"/>
    <x v="0"/>
    <n v="74"/>
    <s v="办公用品"/>
    <s v="华东"/>
  </r>
  <r>
    <s v="CN-2909-1891447"/>
    <x v="912"/>
    <d v="2021-06-25T20:07:16"/>
    <x v="1"/>
    <x v="19"/>
    <x v="13"/>
    <n v="27"/>
    <x v="0"/>
    <n v="54"/>
    <s v="家具"/>
    <s v="华东"/>
  </r>
  <r>
    <s v="CN-2618-2577941"/>
    <x v="913"/>
    <d v="2023-09-04T09:34:46"/>
    <x v="2"/>
    <x v="233"/>
    <x v="3"/>
    <n v="85"/>
    <x v="6"/>
    <n v="85"/>
    <s v="办公用品"/>
    <s v="中南"/>
  </r>
  <r>
    <s v="US-2110-3767771"/>
    <x v="914"/>
    <d v="2022-04-13T23:58:07"/>
    <x v="0"/>
    <x v="234"/>
    <x v="0"/>
    <n v="94"/>
    <x v="4"/>
    <n v="470"/>
    <s v="办公用品"/>
    <s v="西北"/>
  </r>
  <r>
    <s v="CN-2990-4992845"/>
    <x v="915"/>
    <d v="2021-09-12T11:55:08"/>
    <x v="0"/>
    <x v="121"/>
    <x v="14"/>
    <n v="12"/>
    <x v="3"/>
    <n v="108"/>
    <s v="办公用品"/>
    <s v="华东"/>
  </r>
  <r>
    <s v="CN-3084-5687295"/>
    <x v="916"/>
    <d v="2021-12-15T02:37:36"/>
    <x v="0"/>
    <x v="173"/>
    <x v="0"/>
    <n v="66"/>
    <x v="2"/>
    <n v="198"/>
    <s v="办公用品"/>
    <s v="中南"/>
  </r>
  <r>
    <s v="CN-3084-5687295"/>
    <x v="917"/>
    <d v="2021-12-15T22:55:22"/>
    <x v="0"/>
    <x v="173"/>
    <x v="7"/>
    <n v="30"/>
    <x v="5"/>
    <n v="210"/>
    <s v="办公用品"/>
    <s v="中南"/>
  </r>
  <r>
    <s v="CN-2922-1752478"/>
    <x v="918"/>
    <d v="2021-07-06T14:01:47"/>
    <x v="1"/>
    <x v="235"/>
    <x v="14"/>
    <n v="85"/>
    <x v="2"/>
    <n v="255"/>
    <s v="办公用品"/>
    <s v="西南"/>
  </r>
  <r>
    <s v="CN-2922-1752478"/>
    <x v="919"/>
    <d v="2021-07-06T08:33:23"/>
    <x v="1"/>
    <x v="235"/>
    <x v="13"/>
    <n v="81"/>
    <x v="0"/>
    <n v="162"/>
    <s v="家具"/>
    <s v="西南"/>
  </r>
  <r>
    <s v="CN-2747-2828219"/>
    <x v="920"/>
    <d v="2021-01-09T21:18:39"/>
    <x v="1"/>
    <x v="236"/>
    <x v="8"/>
    <n v="24"/>
    <x v="6"/>
    <n v="24"/>
    <s v="技术"/>
    <s v="华东"/>
  </r>
  <r>
    <s v="CN-2747-2828219"/>
    <x v="921"/>
    <d v="2021-01-09T03:31:07"/>
    <x v="1"/>
    <x v="236"/>
    <x v="10"/>
    <n v="56"/>
    <x v="0"/>
    <n v="112"/>
    <s v="技术"/>
    <s v="华东"/>
  </r>
  <r>
    <s v="CN-2747-2828219"/>
    <x v="922"/>
    <d v="2021-01-09T14:57:35"/>
    <x v="1"/>
    <x v="236"/>
    <x v="14"/>
    <n v="91"/>
    <x v="2"/>
    <n v="273"/>
    <s v="办公用品"/>
    <s v="华东"/>
  </r>
  <r>
    <s v="CN-2747-2828219"/>
    <x v="923"/>
    <d v="2021-01-09T20:38:57"/>
    <x v="1"/>
    <x v="236"/>
    <x v="14"/>
    <n v="31"/>
    <x v="2"/>
    <n v="93"/>
    <s v="办公用品"/>
    <s v="华东"/>
  </r>
  <r>
    <s v="CN-2747-2828219"/>
    <x v="924"/>
    <d v="2021-01-09T18:05:24"/>
    <x v="1"/>
    <x v="236"/>
    <x v="9"/>
    <n v="96"/>
    <x v="2"/>
    <n v="288"/>
    <s v="技术"/>
    <s v="华东"/>
  </r>
  <r>
    <s v="CN-2292-4595101"/>
    <x v="925"/>
    <d v="2022-10-14T05:21:41"/>
    <x v="0"/>
    <x v="32"/>
    <x v="2"/>
    <n v="97"/>
    <x v="0"/>
    <n v="194"/>
    <s v="办公用品"/>
    <s v="西南"/>
  </r>
  <r>
    <s v="CN-2413-2606671"/>
    <x v="926"/>
    <d v="2023-02-09T18:32:27"/>
    <x v="1"/>
    <x v="132"/>
    <x v="11"/>
    <n v="60"/>
    <x v="6"/>
    <n v="60"/>
    <s v="办公用品"/>
    <s v="中南"/>
  </r>
  <r>
    <s v="CN-2413-2606671"/>
    <x v="927"/>
    <d v="2023-02-09T17:14:43"/>
    <x v="1"/>
    <x v="132"/>
    <x v="2"/>
    <n v="100"/>
    <x v="6"/>
    <n v="100"/>
    <s v="办公用品"/>
    <s v="中南"/>
  </r>
  <r>
    <s v="CN-2025-1893791"/>
    <x v="928"/>
    <d v="2022-01-19T19:56:42"/>
    <x v="1"/>
    <x v="237"/>
    <x v="13"/>
    <n v="40"/>
    <x v="4"/>
    <n v="200"/>
    <s v="家具"/>
    <s v="华东"/>
  </r>
  <r>
    <s v="CN-2025-1893791"/>
    <x v="929"/>
    <d v="2022-01-19T10:51:12"/>
    <x v="1"/>
    <x v="237"/>
    <x v="10"/>
    <n v="39"/>
    <x v="0"/>
    <n v="78"/>
    <s v="技术"/>
    <s v="华东"/>
  </r>
  <r>
    <s v="CN-3039-4075862"/>
    <x v="930"/>
    <d v="2021-10-30T02:37:02"/>
    <x v="1"/>
    <x v="7"/>
    <x v="3"/>
    <n v="45"/>
    <x v="6"/>
    <n v="45"/>
    <s v="办公用品"/>
    <s v="华东"/>
  </r>
  <r>
    <s v="CN-3039-4075862"/>
    <x v="931"/>
    <d v="2021-10-30T21:27:13"/>
    <x v="1"/>
    <x v="7"/>
    <x v="8"/>
    <n v="86"/>
    <x v="6"/>
    <n v="86"/>
    <s v="技术"/>
    <s v="华东"/>
  </r>
  <r>
    <s v="CN-3039-4075862"/>
    <x v="932"/>
    <d v="2021-10-30T04:47:58"/>
    <x v="1"/>
    <x v="7"/>
    <x v="5"/>
    <n v="37"/>
    <x v="6"/>
    <n v="37"/>
    <s v="家具"/>
    <s v="华东"/>
  </r>
  <r>
    <s v="CN-3039-4075862"/>
    <x v="933"/>
    <d v="2021-10-30T16:22:46"/>
    <x v="1"/>
    <x v="7"/>
    <x v="13"/>
    <n v="45"/>
    <x v="4"/>
    <n v="225"/>
    <s v="家具"/>
    <s v="华东"/>
  </r>
  <r>
    <s v="CN-2996-3415334"/>
    <x v="934"/>
    <d v="2021-09-14T19:40:29"/>
    <x v="1"/>
    <x v="32"/>
    <x v="8"/>
    <n v="15"/>
    <x v="0"/>
    <n v="30"/>
    <s v="技术"/>
    <s v="西南"/>
  </r>
  <r>
    <s v="CN-2738-1597520"/>
    <x v="935"/>
    <d v="2023-12-31T02:41:28"/>
    <x v="0"/>
    <x v="40"/>
    <x v="12"/>
    <n v="28"/>
    <x v="4"/>
    <n v="140"/>
    <s v="家具"/>
    <s v="中南"/>
  </r>
  <r>
    <s v="US-2511-1756643"/>
    <x v="936"/>
    <d v="2023-05-21T05:25:20"/>
    <x v="1"/>
    <x v="37"/>
    <x v="15"/>
    <n v="52"/>
    <x v="0"/>
    <n v="104"/>
    <s v="办公用品"/>
    <s v="中南"/>
  </r>
  <r>
    <s v="US-2511-1756643"/>
    <x v="937"/>
    <d v="2023-05-21T09:42:41"/>
    <x v="1"/>
    <x v="37"/>
    <x v="10"/>
    <n v="78"/>
    <x v="2"/>
    <n v="234"/>
    <s v="技术"/>
    <s v="中南"/>
  </r>
  <r>
    <s v="CN-1857-1511005"/>
    <x v="938"/>
    <d v="2023-08-04T18:56:02"/>
    <x v="1"/>
    <x v="238"/>
    <x v="0"/>
    <n v="73"/>
    <x v="0"/>
    <n v="146"/>
    <s v="办公用品"/>
    <s v="华东"/>
  </r>
  <r>
    <s v="CN-3122-2548759"/>
    <x v="939"/>
    <d v="2022-01-22T09:18:20"/>
    <x v="2"/>
    <x v="76"/>
    <x v="2"/>
    <n v="56"/>
    <x v="2"/>
    <n v="168"/>
    <s v="办公用品"/>
    <s v="西南"/>
  </r>
  <r>
    <s v="CN-1933-4870971"/>
    <x v="940"/>
    <d v="2023-10-21T17:42:38"/>
    <x v="1"/>
    <x v="181"/>
    <x v="7"/>
    <n v="65"/>
    <x v="0"/>
    <n v="130"/>
    <s v="办公用品"/>
    <s v="华东"/>
  </r>
  <r>
    <s v="CN-1933-4870971"/>
    <x v="941"/>
    <d v="2023-10-21T06:58:12"/>
    <x v="1"/>
    <x v="181"/>
    <x v="9"/>
    <n v="11"/>
    <x v="2"/>
    <n v="33"/>
    <s v="技术"/>
    <s v="华东"/>
  </r>
  <r>
    <s v="US-2877-4375818"/>
    <x v="942"/>
    <d v="2021-05-22T04:50:00"/>
    <x v="2"/>
    <x v="150"/>
    <x v="10"/>
    <n v="80"/>
    <x v="0"/>
    <n v="160"/>
    <s v="技术"/>
    <s v="华东"/>
  </r>
  <r>
    <s v="US-3144-5339863"/>
    <x v="943"/>
    <d v="2022-02-10T07:55:24"/>
    <x v="1"/>
    <x v="239"/>
    <x v="10"/>
    <n v="75"/>
    <x v="4"/>
    <n v="375"/>
    <s v="技术"/>
    <s v="西南"/>
  </r>
  <r>
    <s v="CN-2313-1525230"/>
    <x v="944"/>
    <d v="2022-11-02T04:55:10"/>
    <x v="1"/>
    <x v="240"/>
    <x v="10"/>
    <n v="33"/>
    <x v="1"/>
    <n v="132"/>
    <s v="技术"/>
    <s v="华北"/>
  </r>
  <r>
    <s v="CN-1787-3064630"/>
    <x v="945"/>
    <d v="2023-05-28T05:02:00"/>
    <x v="1"/>
    <x v="241"/>
    <x v="7"/>
    <n v="29"/>
    <x v="0"/>
    <n v="58"/>
    <s v="办公用品"/>
    <s v="华东"/>
  </r>
  <r>
    <s v="CN-2233-3900153"/>
    <x v="946"/>
    <d v="2022-08-17T14:40:10"/>
    <x v="0"/>
    <x v="242"/>
    <x v="15"/>
    <n v="14"/>
    <x v="6"/>
    <n v="14"/>
    <s v="办公用品"/>
    <s v="华东"/>
  </r>
  <r>
    <s v="CN-3102-3560054"/>
    <x v="947"/>
    <d v="2021-12-30T10:50:00"/>
    <x v="1"/>
    <x v="206"/>
    <x v="4"/>
    <n v="66"/>
    <x v="2"/>
    <n v="198"/>
    <s v="技术"/>
    <s v="中南"/>
  </r>
  <r>
    <s v="CN-3102-3560054"/>
    <x v="948"/>
    <d v="2021-12-30T16:18:24"/>
    <x v="1"/>
    <x v="206"/>
    <x v="8"/>
    <n v="64"/>
    <x v="4"/>
    <n v="320"/>
    <s v="技术"/>
    <s v="中南"/>
  </r>
  <r>
    <s v="CN-3102-3560054"/>
    <x v="949"/>
    <d v="2021-12-30T04:34:57"/>
    <x v="1"/>
    <x v="206"/>
    <x v="2"/>
    <n v="21"/>
    <x v="0"/>
    <n v="42"/>
    <s v="办公用品"/>
    <s v="中南"/>
  </r>
  <r>
    <s v="CN-3102-3560054"/>
    <x v="950"/>
    <d v="2021-12-30T08:49:50"/>
    <x v="1"/>
    <x v="206"/>
    <x v="3"/>
    <n v="31"/>
    <x v="0"/>
    <n v="62"/>
    <s v="办公用品"/>
    <s v="中南"/>
  </r>
  <r>
    <s v="CN-2331-2063413"/>
    <x v="951"/>
    <d v="2022-11-22T09:47:32"/>
    <x v="2"/>
    <x v="58"/>
    <x v="9"/>
    <n v="24"/>
    <x v="4"/>
    <n v="120"/>
    <s v="技术"/>
    <s v="西南"/>
  </r>
  <r>
    <s v="CN-3108-5592498"/>
    <x v="952"/>
    <d v="2022-01-08T03:03:01"/>
    <x v="2"/>
    <x v="243"/>
    <x v="9"/>
    <n v="80"/>
    <x v="1"/>
    <n v="320"/>
    <s v="技术"/>
    <s v="西南"/>
  </r>
  <r>
    <s v="CN-2849-3231478"/>
    <x v="953"/>
    <d v="2021-04-24T23:53:09"/>
    <x v="1"/>
    <x v="41"/>
    <x v="5"/>
    <n v="12"/>
    <x v="4"/>
    <n v="60"/>
    <s v="家具"/>
    <s v="华东"/>
  </r>
  <r>
    <s v="CN-2849-3231478"/>
    <x v="954"/>
    <d v="2021-04-24T21:12:55"/>
    <x v="1"/>
    <x v="41"/>
    <x v="5"/>
    <n v="94"/>
    <x v="2"/>
    <n v="282"/>
    <s v="家具"/>
    <s v="华东"/>
  </r>
  <r>
    <s v="CN-2348-3122687"/>
    <x v="955"/>
    <d v="2022-12-06T10:55:26"/>
    <x v="1"/>
    <x v="15"/>
    <x v="10"/>
    <n v="85"/>
    <x v="4"/>
    <n v="425"/>
    <s v="技术"/>
    <s v="西北"/>
  </r>
  <r>
    <s v="CN-2979-3240329"/>
    <x v="956"/>
    <d v="2021-08-29T22:25:47"/>
    <x v="0"/>
    <x v="13"/>
    <x v="13"/>
    <n v="89"/>
    <x v="7"/>
    <n v="534"/>
    <s v="家具"/>
    <s v="华东"/>
  </r>
  <r>
    <s v="CN-2979-3240329"/>
    <x v="957"/>
    <d v="2021-08-29T05:22:05"/>
    <x v="0"/>
    <x v="13"/>
    <x v="4"/>
    <n v="77"/>
    <x v="7"/>
    <n v="462"/>
    <s v="技术"/>
    <s v="华东"/>
  </r>
  <r>
    <s v="CN-2406-1301703"/>
    <x v="958"/>
    <d v="2023-01-31T23:59:31"/>
    <x v="0"/>
    <x v="54"/>
    <x v="14"/>
    <n v="59"/>
    <x v="2"/>
    <n v="177"/>
    <s v="办公用品"/>
    <s v="中南"/>
  </r>
  <r>
    <s v="CN-2298-5731370"/>
    <x v="959"/>
    <d v="2022-10-19T17:21:22"/>
    <x v="1"/>
    <x v="18"/>
    <x v="13"/>
    <n v="21"/>
    <x v="2"/>
    <n v="63"/>
    <s v="家具"/>
    <s v="华东"/>
  </r>
  <r>
    <s v="CN-2349-2547654"/>
    <x v="960"/>
    <d v="2022-12-08T14:34:56"/>
    <x v="0"/>
    <x v="161"/>
    <x v="9"/>
    <n v="60"/>
    <x v="1"/>
    <n v="240"/>
    <s v="技术"/>
    <s v="华东"/>
  </r>
  <r>
    <s v="US-2255-5199872"/>
    <x v="961"/>
    <d v="2022-09-07T03:34:44"/>
    <x v="0"/>
    <x v="21"/>
    <x v="15"/>
    <n v="94"/>
    <x v="3"/>
    <n v="846"/>
    <s v="办公用品"/>
    <s v="东北"/>
  </r>
  <r>
    <s v="CN-2849-5569845"/>
    <x v="962"/>
    <d v="2021-04-25T11:56:51"/>
    <x v="1"/>
    <x v="9"/>
    <x v="11"/>
    <n v="36"/>
    <x v="4"/>
    <n v="180"/>
    <s v="办公用品"/>
    <s v="华东"/>
  </r>
  <r>
    <s v="CN-2849-5569845"/>
    <x v="963"/>
    <d v="2021-04-25T20:49:43"/>
    <x v="1"/>
    <x v="9"/>
    <x v="10"/>
    <n v="17"/>
    <x v="7"/>
    <n v="102"/>
    <s v="技术"/>
    <s v="华东"/>
  </r>
  <r>
    <s v="CN-2849-5569845"/>
    <x v="964"/>
    <d v="2021-04-25T17:39:43"/>
    <x v="1"/>
    <x v="9"/>
    <x v="5"/>
    <n v="79"/>
    <x v="2"/>
    <n v="237"/>
    <s v="家具"/>
    <s v="华东"/>
  </r>
  <r>
    <s v="CN-2849-5569845"/>
    <x v="965"/>
    <d v="2021-04-25T01:40:37"/>
    <x v="1"/>
    <x v="9"/>
    <x v="3"/>
    <n v="85"/>
    <x v="12"/>
    <n v="1020"/>
    <s v="办公用品"/>
    <s v="华东"/>
  </r>
  <r>
    <s v="CN-2849-5569845"/>
    <x v="966"/>
    <d v="2021-04-25T13:51:40"/>
    <x v="1"/>
    <x v="9"/>
    <x v="10"/>
    <n v="16"/>
    <x v="1"/>
    <n v="64"/>
    <s v="技术"/>
    <s v="华东"/>
  </r>
  <r>
    <s v="CN-2849-5569845"/>
    <x v="967"/>
    <d v="2021-04-25T13:08:32"/>
    <x v="1"/>
    <x v="9"/>
    <x v="15"/>
    <n v="65"/>
    <x v="0"/>
    <n v="130"/>
    <s v="办公用品"/>
    <s v="华东"/>
  </r>
  <r>
    <s v="CN-2446-4986506"/>
    <x v="968"/>
    <d v="2023-03-17T12:34:06"/>
    <x v="2"/>
    <x v="244"/>
    <x v="3"/>
    <n v="33"/>
    <x v="5"/>
    <n v="231"/>
    <s v="办公用品"/>
    <s v="东北"/>
  </r>
  <r>
    <s v="US-2153-1346492"/>
    <x v="969"/>
    <d v="2022-05-27T01:13:36"/>
    <x v="2"/>
    <x v="37"/>
    <x v="5"/>
    <n v="21"/>
    <x v="4"/>
    <n v="105"/>
    <s v="家具"/>
    <s v="中南"/>
  </r>
  <r>
    <s v="US-2153-1346492"/>
    <x v="970"/>
    <d v="2022-05-27T17:01:59"/>
    <x v="2"/>
    <x v="37"/>
    <x v="13"/>
    <n v="24"/>
    <x v="0"/>
    <n v="48"/>
    <s v="家具"/>
    <s v="中南"/>
  </r>
  <r>
    <s v="CN-2348-2606671"/>
    <x v="971"/>
    <d v="2022-12-06T10:20:21"/>
    <x v="0"/>
    <x v="9"/>
    <x v="3"/>
    <n v="23"/>
    <x v="4"/>
    <n v="115"/>
    <s v="办公用品"/>
    <s v="华东"/>
  </r>
  <r>
    <s v="CN-2852-3704015"/>
    <x v="972"/>
    <d v="2021-04-26T15:05:20"/>
    <x v="1"/>
    <x v="245"/>
    <x v="3"/>
    <n v="53"/>
    <x v="1"/>
    <n v="212"/>
    <s v="办公用品"/>
    <s v="东北"/>
  </r>
  <r>
    <s v="US-2249-2642546"/>
    <x v="973"/>
    <d v="2022-08-30T17:07:25"/>
    <x v="1"/>
    <x v="21"/>
    <x v="3"/>
    <n v="72"/>
    <x v="0"/>
    <n v="144"/>
    <s v="办公用品"/>
    <s v="东北"/>
  </r>
  <r>
    <s v="US-2249-2642546"/>
    <x v="974"/>
    <d v="2022-08-30T13:35:31"/>
    <x v="1"/>
    <x v="21"/>
    <x v="14"/>
    <n v="42"/>
    <x v="2"/>
    <n v="126"/>
    <s v="办公用品"/>
    <s v="东北"/>
  </r>
  <r>
    <s v="CN-3020-3693425"/>
    <x v="975"/>
    <d v="2021-10-11T04:43:38"/>
    <x v="1"/>
    <x v="9"/>
    <x v="1"/>
    <n v="95"/>
    <x v="0"/>
    <n v="190"/>
    <s v="办公用品"/>
    <s v="华东"/>
  </r>
  <r>
    <s v="CN-3020-3693425"/>
    <x v="976"/>
    <d v="2021-10-11T17:13:16"/>
    <x v="1"/>
    <x v="9"/>
    <x v="15"/>
    <n v="70"/>
    <x v="2"/>
    <n v="210"/>
    <s v="办公用品"/>
    <s v="华东"/>
  </r>
  <r>
    <s v="CN-2007-2105676"/>
    <x v="977"/>
    <d v="2022-01-01T19:13:16"/>
    <x v="0"/>
    <x v="23"/>
    <x v="6"/>
    <n v="93"/>
    <x v="6"/>
    <n v="93"/>
    <s v="办公用品"/>
    <s v="西北"/>
  </r>
  <r>
    <s v="CN-2007-2105676"/>
    <x v="978"/>
    <d v="2022-01-01T22:12:25"/>
    <x v="0"/>
    <x v="23"/>
    <x v="0"/>
    <n v="17"/>
    <x v="3"/>
    <n v="153"/>
    <s v="办公用品"/>
    <s v="西北"/>
  </r>
  <r>
    <s v="CN-2196-4825687"/>
    <x v="979"/>
    <d v="2022-07-08T01:50:31"/>
    <x v="1"/>
    <x v="101"/>
    <x v="2"/>
    <n v="53"/>
    <x v="5"/>
    <n v="371"/>
    <s v="办公用品"/>
    <s v="西南"/>
  </r>
  <r>
    <s v="CN-3053-3231478"/>
    <x v="980"/>
    <d v="2021-11-13T17:04:36"/>
    <x v="0"/>
    <x v="246"/>
    <x v="3"/>
    <n v="88"/>
    <x v="0"/>
    <n v="176"/>
    <s v="办公用品"/>
    <s v="华东"/>
  </r>
  <r>
    <s v="CN-1891-2187292"/>
    <x v="981"/>
    <d v="2023-09-09T08:31:59"/>
    <x v="1"/>
    <x v="23"/>
    <x v="0"/>
    <n v="98"/>
    <x v="4"/>
    <n v="490"/>
    <s v="办公用品"/>
    <s v="西北"/>
  </r>
  <r>
    <s v="CN-1891-2187292"/>
    <x v="982"/>
    <d v="2023-09-09T13:38:16"/>
    <x v="1"/>
    <x v="23"/>
    <x v="11"/>
    <n v="34"/>
    <x v="0"/>
    <n v="68"/>
    <s v="办公用品"/>
    <s v="西北"/>
  </r>
  <r>
    <s v="CN-3155-2699733"/>
    <x v="983"/>
    <d v="2022-02-23T00:09:15"/>
    <x v="1"/>
    <x v="71"/>
    <x v="13"/>
    <n v="37"/>
    <x v="0"/>
    <n v="74"/>
    <s v="家具"/>
    <s v="中南"/>
  </r>
  <r>
    <s v="CN-3155-2699733"/>
    <x v="984"/>
    <d v="2022-02-23T14:05:51"/>
    <x v="1"/>
    <x v="71"/>
    <x v="0"/>
    <n v="10"/>
    <x v="4"/>
    <n v="50"/>
    <s v="办公用品"/>
    <s v="中南"/>
  </r>
  <r>
    <s v="CN-3155-2699733"/>
    <x v="985"/>
    <d v="2022-02-23T07:51:25"/>
    <x v="1"/>
    <x v="71"/>
    <x v="15"/>
    <n v="89"/>
    <x v="7"/>
    <n v="534"/>
    <s v="办公用品"/>
    <s v="中南"/>
  </r>
  <r>
    <s v="CN-3155-2699733"/>
    <x v="986"/>
    <d v="2022-02-23T11:22:26"/>
    <x v="1"/>
    <x v="71"/>
    <x v="12"/>
    <n v="46"/>
    <x v="1"/>
    <n v="184"/>
    <s v="家具"/>
    <s v="中南"/>
  </r>
  <r>
    <s v="US-2773-5801512"/>
    <x v="987"/>
    <d v="2021-02-06T17:51:04"/>
    <x v="0"/>
    <x v="239"/>
    <x v="10"/>
    <n v="53"/>
    <x v="0"/>
    <n v="106"/>
    <s v="技术"/>
    <s v="西南"/>
  </r>
  <r>
    <s v="US-2773-5801512"/>
    <x v="988"/>
    <d v="2021-02-06T16:08:52"/>
    <x v="0"/>
    <x v="239"/>
    <x v="14"/>
    <n v="47"/>
    <x v="7"/>
    <n v="282"/>
    <s v="办公用品"/>
    <s v="西南"/>
  </r>
  <r>
    <s v="US-2773-5801512"/>
    <x v="989"/>
    <d v="2021-02-06T05:51:34"/>
    <x v="0"/>
    <x v="239"/>
    <x v="2"/>
    <n v="22"/>
    <x v="6"/>
    <n v="22"/>
    <s v="办公用品"/>
    <s v="西南"/>
  </r>
  <r>
    <s v="CN-1774-4800042"/>
    <x v="990"/>
    <d v="2023-05-12T00:57:31"/>
    <x v="1"/>
    <x v="50"/>
    <x v="7"/>
    <n v="56"/>
    <x v="4"/>
    <n v="280"/>
    <s v="办公用品"/>
    <s v="中南"/>
  </r>
  <r>
    <s v="CN-2563-4347325"/>
    <x v="991"/>
    <d v="2023-07-09T04:20:45"/>
    <x v="1"/>
    <x v="62"/>
    <x v="8"/>
    <n v="32"/>
    <x v="0"/>
    <n v="64"/>
    <s v="技术"/>
    <s v="东北"/>
  </r>
  <r>
    <s v="CN-2658-3873167"/>
    <x v="992"/>
    <d v="2023-10-11T16:35:14"/>
    <x v="0"/>
    <x v="247"/>
    <x v="0"/>
    <n v="13"/>
    <x v="2"/>
    <n v="39"/>
    <s v="办公用品"/>
    <s v="华东"/>
  </r>
  <r>
    <s v="US-2201-2609031"/>
    <x v="993"/>
    <d v="2022-07-13T07:06:52"/>
    <x v="1"/>
    <x v="150"/>
    <x v="7"/>
    <n v="13"/>
    <x v="2"/>
    <n v="39"/>
    <s v="办公用品"/>
    <s v="华东"/>
  </r>
  <r>
    <s v="US-2201-2609031"/>
    <x v="994"/>
    <d v="2022-07-13T21:02:45"/>
    <x v="1"/>
    <x v="150"/>
    <x v="14"/>
    <n v="47"/>
    <x v="1"/>
    <n v="188"/>
    <s v="办公用品"/>
    <s v="华东"/>
  </r>
  <r>
    <s v="US-2201-2609031"/>
    <x v="995"/>
    <d v="2022-07-13T07:57:20"/>
    <x v="1"/>
    <x v="150"/>
    <x v="10"/>
    <n v="20"/>
    <x v="0"/>
    <n v="40"/>
    <s v="技术"/>
    <s v="华东"/>
  </r>
  <r>
    <s v="CN-2940-3226363"/>
    <x v="996"/>
    <d v="2021-07-25T09:22:11"/>
    <x v="0"/>
    <x v="248"/>
    <x v="0"/>
    <n v="27"/>
    <x v="2"/>
    <n v="81"/>
    <s v="办公用品"/>
    <s v="中南"/>
  </r>
  <r>
    <s v="CN-3146-1512811"/>
    <x v="997"/>
    <d v="2022-02-15T15:10:41"/>
    <x v="1"/>
    <x v="131"/>
    <x v="14"/>
    <n v="89"/>
    <x v="2"/>
    <n v="267"/>
    <s v="办公用品"/>
    <s v="中南"/>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9BF42-2289-4BD2-9AA7-35F8B316FF7A}" name="PivotTable2" cacheId="5" applyNumberFormats="0" applyBorderFormats="0" applyFontFormats="0" applyPatternFormats="0" applyAlignmentFormats="0" applyWidthHeightFormats="1" dataCaption="Values" grandTotalCaption="总计" updatedVersion="8" minRefreshableVersion="3" useAutoFormatting="1" itemPrintTitles="1" createdVersion="8" indent="0" outline="1" outlineData="1" multipleFieldFilters="0" colHeaderCaption="订单日期">
  <location ref="A36:E58" firstHeaderRow="1" firstDataRow="2" firstDataCol="1"/>
  <pivotFields count="14">
    <pivotField showAll="0"/>
    <pivotField numFmtId="165" showAll="0">
      <items count="999">
        <item x="350"/>
        <item x="352"/>
        <item x="351"/>
        <item x="381"/>
        <item x="385"/>
        <item x="379"/>
        <item x="380"/>
        <item x="383"/>
        <item x="384"/>
        <item x="382"/>
        <item x="36"/>
        <item x="450"/>
        <item x="922"/>
        <item x="924"/>
        <item x="921"/>
        <item x="920"/>
        <item x="923"/>
        <item x="586"/>
        <item x="736"/>
        <item x="626"/>
        <item x="623"/>
        <item x="625"/>
        <item x="627"/>
        <item x="624"/>
        <item x="264"/>
        <item x="265"/>
        <item x="38"/>
        <item x="39"/>
        <item x="37"/>
        <item x="723"/>
        <item x="722"/>
        <item x="151"/>
        <item x="150"/>
        <item x="844"/>
        <item x="593"/>
        <item x="592"/>
        <item x="590"/>
        <item x="591"/>
        <item x="588"/>
        <item x="589"/>
        <item x="804"/>
        <item x="803"/>
        <item x="802"/>
        <item x="633"/>
        <item x="634"/>
        <item x="862"/>
        <item x="861"/>
        <item x="860"/>
        <item x="863"/>
        <item x="864"/>
        <item x="866"/>
        <item x="865"/>
        <item x="58"/>
        <item x="987"/>
        <item x="988"/>
        <item x="989"/>
        <item x="675"/>
        <item x="677"/>
        <item x="676"/>
        <item x="248"/>
        <item x="247"/>
        <item x="415"/>
        <item x="334"/>
        <item x="249"/>
        <item x="333"/>
        <item x="690"/>
        <item x="689"/>
        <item x="688"/>
        <item x="411"/>
        <item x="412"/>
        <item x="409"/>
        <item x="413"/>
        <item x="410"/>
        <item x="507"/>
        <item x="408"/>
        <item x="108"/>
        <item x="107"/>
        <item x="274"/>
        <item x="275"/>
        <item x="148"/>
        <item x="147"/>
        <item x="146"/>
        <item x="479"/>
        <item x="584"/>
        <item x="585"/>
        <item x="216"/>
        <item x="215"/>
        <item x="217"/>
        <item x="218"/>
        <item x="171"/>
        <item x="317"/>
        <item x="315"/>
        <item x="316"/>
        <item x="145"/>
        <item x="227"/>
        <item x="228"/>
        <item x="238"/>
        <item x="132"/>
        <item x="131"/>
        <item x="394"/>
        <item x="395"/>
        <item x="636"/>
        <item x="236"/>
        <item x="34"/>
        <item x="735"/>
        <item x="16"/>
        <item x="15"/>
        <item x="846"/>
        <item x="441"/>
        <item x="447"/>
        <item x="444"/>
        <item x="445"/>
        <item x="446"/>
        <item x="443"/>
        <item x="442"/>
        <item x="847"/>
        <item x="691"/>
        <item x="300"/>
        <item x="303"/>
        <item x="301"/>
        <item x="305"/>
        <item x="304"/>
        <item x="302"/>
        <item x="206"/>
        <item x="207"/>
        <item x="473"/>
        <item x="242"/>
        <item x="373"/>
        <item x="372"/>
        <item x="374"/>
        <item x="397"/>
        <item x="966"/>
        <item x="964"/>
        <item x="962"/>
        <item x="965"/>
        <item x="954"/>
        <item x="963"/>
        <item x="967"/>
        <item x="953"/>
        <item x="495"/>
        <item x="496"/>
        <item x="497"/>
        <item x="498"/>
        <item x="501"/>
        <item x="499"/>
        <item x="500"/>
        <item x="972"/>
        <item x="42"/>
        <item x="261"/>
        <item x="260"/>
        <item x="262"/>
        <item x="263"/>
        <item x="528"/>
        <item x="341"/>
        <item x="55"/>
        <item x="338"/>
        <item x="56"/>
        <item x="339"/>
        <item x="57"/>
        <item x="340"/>
        <item x="337"/>
        <item x="942"/>
        <item x="133"/>
        <item x="326"/>
        <item x="731"/>
        <item x="730"/>
        <item x="729"/>
        <item x="414"/>
        <item x="111"/>
        <item x="835"/>
        <item x="568"/>
        <item x="570"/>
        <item x="569"/>
        <item x="738"/>
        <item x="817"/>
        <item x="173"/>
        <item x="174"/>
        <item x="175"/>
        <item x="885"/>
        <item x="911"/>
        <item x="786"/>
        <item x="910"/>
        <item x="909"/>
        <item x="912"/>
        <item x="458"/>
        <item x="459"/>
        <item x="717"/>
        <item x="716"/>
        <item x="718"/>
        <item x="115"/>
        <item x="116"/>
        <item x="918"/>
        <item x="919"/>
        <item x="783"/>
        <item x="996"/>
        <item x="267"/>
        <item x="644"/>
        <item x="645"/>
        <item x="646"/>
        <item x="309"/>
        <item x="310"/>
        <item x="327"/>
        <item x="139"/>
        <item x="138"/>
        <item x="587"/>
        <item x="311"/>
        <item x="531"/>
        <item x="532"/>
        <item x="257"/>
        <item x="256"/>
        <item x="956"/>
        <item x="957"/>
        <item x="0"/>
        <item x="873"/>
        <item x="874"/>
        <item x="203"/>
        <item x="470"/>
        <item x="469"/>
        <item x="915"/>
        <item x="153"/>
        <item x="529"/>
        <item x="177"/>
        <item x="530"/>
        <item x="178"/>
        <item x="763"/>
        <item x="164"/>
        <item x="170"/>
        <item x="166"/>
        <item x="163"/>
        <item x="167"/>
        <item x="934"/>
        <item x="165"/>
        <item x="762"/>
        <item x="169"/>
        <item x="161"/>
        <item x="162"/>
        <item x="168"/>
        <item x="875"/>
        <item x="198"/>
        <item x="365"/>
        <item x="158"/>
        <item x="159"/>
        <item x="702"/>
        <item x="157"/>
        <item x="700"/>
        <item x="112"/>
        <item x="505"/>
        <item x="96"/>
        <item x="97"/>
        <item x="93"/>
        <item x="94"/>
        <item x="95"/>
        <item x="204"/>
        <item x="205"/>
        <item x="325"/>
        <item x="604"/>
        <item x="605"/>
        <item x="86"/>
        <item x="879"/>
        <item x="878"/>
        <item x="11"/>
        <item x="849"/>
        <item x="976"/>
        <item x="975"/>
        <item x="834"/>
        <item x="833"/>
        <item x="710"/>
        <item x="707"/>
        <item x="709"/>
        <item x="711"/>
        <item x="708"/>
        <item x="429"/>
        <item x="640"/>
        <item x="641"/>
        <item x="743"/>
        <item x="740"/>
        <item x="739"/>
        <item x="742"/>
        <item x="745"/>
        <item x="2"/>
        <item x="1"/>
        <item x="741"/>
        <item x="744"/>
        <item x="747"/>
        <item x="49"/>
        <item x="183"/>
        <item x="50"/>
        <item x="51"/>
        <item x="665"/>
        <item x="666"/>
        <item x="595"/>
        <item x="597"/>
        <item x="596"/>
        <item x="594"/>
        <item x="609"/>
        <item x="931"/>
        <item x="933"/>
        <item x="608"/>
        <item x="607"/>
        <item x="932"/>
        <item x="606"/>
        <item x="930"/>
        <item x="601"/>
        <item x="600"/>
        <item x="522"/>
        <item x="551"/>
        <item x="797"/>
        <item x="796"/>
        <item x="703"/>
        <item x="484"/>
        <item x="485"/>
        <item x="980"/>
        <item x="876"/>
        <item x="232"/>
        <item x="231"/>
        <item x="233"/>
        <item x="378"/>
        <item x="144"/>
        <item x="318"/>
        <item x="320"/>
        <item x="321"/>
        <item x="319"/>
        <item x="322"/>
        <item x="769"/>
        <item x="746"/>
        <item x="239"/>
        <item x="398"/>
        <item x="400"/>
        <item x="399"/>
        <item x="917"/>
        <item x="916"/>
        <item x="853"/>
        <item x="852"/>
        <item x="851"/>
        <item x="855"/>
        <item x="856"/>
        <item x="858"/>
        <item x="857"/>
        <item x="854"/>
        <item x="859"/>
        <item x="768"/>
        <item x="820"/>
        <item x="819"/>
        <item x="821"/>
        <item x="948"/>
        <item x="947"/>
        <item x="566"/>
        <item x="564"/>
        <item x="565"/>
        <item x="950"/>
        <item x="949"/>
        <item x="567"/>
        <item x="519"/>
        <item x="416"/>
        <item x="420"/>
        <item x="418"/>
        <item x="417"/>
        <item x="419"/>
        <item x="952"/>
        <item x="815"/>
        <item x="814"/>
        <item x="850"/>
        <item x="813"/>
        <item x="816"/>
        <item x="613"/>
        <item x="612"/>
        <item x="611"/>
        <item x="610"/>
        <item x="297"/>
        <item x="477"/>
        <item x="475"/>
        <item x="476"/>
        <item x="474"/>
        <item x="181"/>
        <item x="388"/>
        <item x="386"/>
        <item x="387"/>
        <item x="128"/>
        <item x="129"/>
        <item x="182"/>
        <item x="186"/>
        <item x="109"/>
        <item x="185"/>
        <item x="184"/>
        <item x="928"/>
        <item x="929"/>
        <item x="939"/>
        <item x="64"/>
        <item x="296"/>
        <item x="547"/>
        <item x="546"/>
        <item x="280"/>
        <item x="284"/>
        <item x="282"/>
        <item x="283"/>
        <item x="281"/>
        <item x="669"/>
        <item x="229"/>
        <item x="230"/>
        <item x="764"/>
        <item x="668"/>
        <item x="460"/>
        <item x="461"/>
        <item x="692"/>
        <item x="693"/>
        <item x="508"/>
        <item x="618"/>
        <item x="616"/>
        <item x="617"/>
        <item x="619"/>
        <item x="291"/>
        <item x="286"/>
        <item x="289"/>
        <item x="287"/>
        <item x="285"/>
        <item x="292"/>
        <item x="290"/>
        <item x="288"/>
        <item x="33"/>
        <item x="32"/>
        <item x="898"/>
        <item x="20"/>
        <item x="18"/>
        <item x="21"/>
        <item x="246"/>
        <item x="22"/>
        <item x="23"/>
        <item x="245"/>
        <item x="17"/>
        <item x="19"/>
        <item x="251"/>
        <item x="252"/>
        <item x="632"/>
        <item x="943"/>
        <item x="448"/>
        <item x="997"/>
        <item x="366"/>
        <item x="367"/>
        <item x="368"/>
        <item x="369"/>
        <item x="647"/>
        <item x="425"/>
        <item x="423"/>
        <item x="424"/>
        <item x="527"/>
        <item x="526"/>
        <item x="525"/>
        <item x="648"/>
        <item x="270"/>
        <item x="271"/>
        <item x="360"/>
        <item x="986"/>
        <item x="463"/>
        <item x="464"/>
        <item x="983"/>
        <item x="984"/>
        <item x="985"/>
        <item x="481"/>
        <item x="432"/>
        <item x="430"/>
        <item x="431"/>
        <item x="837"/>
        <item x="102"/>
        <item x="103"/>
        <item x="104"/>
        <item x="73"/>
        <item x="74"/>
        <item x="72"/>
        <item x="848"/>
        <item x="155"/>
        <item x="67"/>
        <item x="156"/>
        <item x="66"/>
        <item x="771"/>
        <item x="772"/>
        <item x="472"/>
        <item x="471"/>
        <item x="308"/>
        <item x="358"/>
        <item x="357"/>
        <item x="355"/>
        <item x="354"/>
        <item x="187"/>
        <item x="359"/>
        <item x="673"/>
        <item x="672"/>
        <item x="356"/>
        <item x="188"/>
        <item x="572"/>
        <item x="573"/>
        <item x="575"/>
        <item x="574"/>
        <item x="421"/>
        <item x="704"/>
        <item x="908"/>
        <item x="678"/>
        <item x="468"/>
        <item x="467"/>
        <item x="466"/>
        <item x="465"/>
        <item x="679"/>
        <item x="98"/>
        <item x="422"/>
        <item x="824"/>
        <item x="576"/>
        <item x="822"/>
        <item x="823"/>
        <item x="524"/>
        <item x="101"/>
        <item x="877"/>
        <item x="89"/>
        <item x="92"/>
        <item x="90"/>
        <item x="770"/>
        <item x="91"/>
        <item x="59"/>
        <item x="462"/>
        <item x="502"/>
        <item x="503"/>
        <item x="347"/>
        <item x="346"/>
        <item x="571"/>
        <item x="556"/>
        <item x="396"/>
        <item x="788"/>
        <item x="277"/>
        <item x="456"/>
        <item x="455"/>
        <item x="727"/>
        <item x="276"/>
        <item x="599"/>
        <item x="598"/>
        <item x="312"/>
        <item x="272"/>
        <item x="314"/>
        <item x="273"/>
        <item x="313"/>
        <item x="143"/>
        <item x="141"/>
        <item x="831"/>
        <item x="142"/>
        <item x="557"/>
        <item x="914"/>
        <item x="789"/>
        <item x="3"/>
        <item x="792"/>
        <item x="791"/>
        <item x="31"/>
        <item x="790"/>
        <item x="88"/>
        <item x="706"/>
        <item x="235"/>
        <item x="65"/>
        <item x="870"/>
        <item x="867"/>
        <item x="869"/>
        <item x="906"/>
        <item x="907"/>
        <item x="868"/>
        <item x="10"/>
        <item x="76"/>
        <item x="78"/>
        <item x="390"/>
        <item x="389"/>
        <item x="787"/>
        <item x="77"/>
        <item x="126"/>
        <item x="685"/>
        <item x="191"/>
        <item x="194"/>
        <item x="686"/>
        <item x="193"/>
        <item x="190"/>
        <item x="195"/>
        <item x="192"/>
        <item x="830"/>
        <item x="753"/>
        <item x="754"/>
        <item x="752"/>
        <item x="755"/>
        <item x="482"/>
        <item x="483"/>
        <item x="766"/>
        <item x="765"/>
        <item x="767"/>
        <item x="899"/>
        <item x="202"/>
        <item x="250"/>
        <item x="970"/>
        <item x="969"/>
        <item x="518"/>
        <item x="99"/>
        <item x="100"/>
        <item x="453"/>
        <item x="451"/>
        <item x="452"/>
        <item x="454"/>
        <item x="737"/>
        <item x="631"/>
        <item x="125"/>
        <item x="137"/>
        <item x="438"/>
        <item x="440"/>
        <item x="437"/>
        <item x="439"/>
        <item x="435"/>
        <item x="436"/>
        <item x="979"/>
        <item x="714"/>
        <item x="713"/>
        <item x="715"/>
        <item x="197"/>
        <item x="196"/>
        <item x="994"/>
        <item x="993"/>
        <item x="995"/>
        <item x="842"/>
        <item x="840"/>
        <item x="843"/>
        <item x="839"/>
        <item x="841"/>
        <item x="172"/>
        <item x="629"/>
        <item x="628"/>
        <item x="630"/>
        <item x="208"/>
        <item x="209"/>
        <item x="258"/>
        <item x="259"/>
        <item x="560"/>
        <item x="733"/>
        <item x="734"/>
        <item x="805"/>
        <item x="946"/>
        <item x="974"/>
        <item x="973"/>
        <item x="810"/>
        <item x="961"/>
        <item x="812"/>
        <item x="808"/>
        <item x="811"/>
        <item x="809"/>
        <item x="255"/>
        <item x="189"/>
        <item x="160"/>
        <item x="268"/>
        <item x="13"/>
        <item x="14"/>
        <item x="12"/>
        <item x="925"/>
        <item x="836"/>
        <item x="872"/>
        <item x="959"/>
        <item x="871"/>
        <item x="558"/>
        <item x="559"/>
        <item x="904"/>
        <item x="905"/>
        <item x="903"/>
        <item x="695"/>
        <item x="698"/>
        <item x="696"/>
        <item x="699"/>
        <item x="697"/>
        <item x="581"/>
        <item x="582"/>
        <item x="579"/>
        <item x="583"/>
        <item x="578"/>
        <item x="577"/>
        <item x="580"/>
        <item x="944"/>
        <item x="782"/>
        <item x="951"/>
        <item x="130"/>
        <item x="243"/>
        <item x="244"/>
        <item x="955"/>
        <item x="971"/>
        <item x="960"/>
        <item x="295"/>
        <item x="294"/>
        <item x="807"/>
        <item x="82"/>
        <item x="83"/>
        <item x="535"/>
        <item x="533"/>
        <item x="534"/>
        <item x="799"/>
        <item x="800"/>
        <item x="363"/>
        <item x="364"/>
        <item x="826"/>
        <item x="828"/>
        <item x="724"/>
        <item x="827"/>
        <item x="825"/>
        <item x="829"/>
        <item x="701"/>
        <item x="680"/>
        <item x="832"/>
        <item x="681"/>
        <item x="70"/>
        <item x="71"/>
        <item x="480"/>
        <item x="328"/>
        <item x="332"/>
        <item x="637"/>
        <item x="638"/>
        <item x="639"/>
        <item x="362"/>
        <item x="361"/>
        <item x="726"/>
        <item x="69"/>
        <item x="392"/>
        <item x="393"/>
        <item x="958"/>
        <item x="793"/>
        <item x="794"/>
        <item x="784"/>
        <item x="785"/>
        <item x="136"/>
        <item x="135"/>
        <item x="806"/>
        <item x="134"/>
        <item x="926"/>
        <item x="927"/>
        <item x="118"/>
        <item x="119"/>
        <item x="121"/>
        <item x="120"/>
        <item x="117"/>
        <item x="123"/>
        <item x="122"/>
        <item x="124"/>
        <item x="890"/>
        <item x="888"/>
        <item x="838"/>
        <item x="889"/>
        <item x="105"/>
        <item x="106"/>
        <item x="516"/>
        <item x="517"/>
        <item x="149"/>
        <item x="8"/>
        <item x="5"/>
        <item x="6"/>
        <item x="9"/>
        <item x="7"/>
        <item x="667"/>
        <item x="520"/>
        <item x="427"/>
        <item x="426"/>
        <item x="968"/>
        <item x="886"/>
        <item x="615"/>
        <item x="401"/>
        <item x="406"/>
        <item x="657"/>
        <item x="663"/>
        <item x="659"/>
        <item x="661"/>
        <item x="662"/>
        <item x="656"/>
        <item x="664"/>
        <item x="660"/>
        <item x="402"/>
        <item x="407"/>
        <item x="404"/>
        <item x="405"/>
        <item x="403"/>
        <item x="658"/>
        <item x="894"/>
        <item x="896"/>
        <item x="895"/>
        <item x="897"/>
        <item x="643"/>
        <item x="642"/>
        <item x="457"/>
        <item x="152"/>
        <item x="684"/>
        <item x="773"/>
        <item x="774"/>
        <item x="775"/>
        <item x="550"/>
        <item x="777"/>
        <item x="549"/>
        <item x="779"/>
        <item x="778"/>
        <item x="776"/>
        <item x="548"/>
        <item x="552"/>
        <item x="990"/>
        <item x="937"/>
        <item x="936"/>
        <item x="349"/>
        <item x="348"/>
        <item x="603"/>
        <item x="602"/>
        <item x="945"/>
        <item x="544"/>
        <item x="543"/>
        <item x="545"/>
        <item x="293"/>
        <item x="63"/>
        <item x="62"/>
        <item x="683"/>
        <item x="682"/>
        <item x="226"/>
        <item x="220"/>
        <item x="221"/>
        <item x="219"/>
        <item x="223"/>
        <item x="222"/>
        <item x="225"/>
        <item x="224"/>
        <item x="705"/>
        <item x="237"/>
        <item x="201"/>
        <item x="200"/>
        <item x="75"/>
        <item x="801"/>
        <item x="478"/>
        <item x="449"/>
        <item x="324"/>
        <item x="371"/>
        <item x="370"/>
        <item x="760"/>
        <item x="758"/>
        <item x="759"/>
        <item x="761"/>
        <item x="523"/>
        <item x="553"/>
        <item x="554"/>
        <item x="555"/>
        <item x="750"/>
        <item x="749"/>
        <item x="751"/>
        <item x="748"/>
        <item x="127"/>
        <item x="176"/>
        <item x="35"/>
        <item x="253"/>
        <item x="254"/>
        <item x="991"/>
        <item x="780"/>
        <item x="781"/>
        <item x="68"/>
        <item x="79"/>
        <item x="80"/>
        <item x="509"/>
        <item x="510"/>
        <item x="323"/>
        <item x="234"/>
        <item x="306"/>
        <item x="307"/>
        <item x="342"/>
        <item x="674"/>
        <item x="938"/>
        <item x="211"/>
        <item x="210"/>
        <item x="353"/>
        <item x="893"/>
        <item x="892"/>
        <item x="891"/>
        <item x="511"/>
        <item x="140"/>
        <item x="913"/>
        <item x="298"/>
        <item x="299"/>
        <item x="279"/>
        <item x="278"/>
        <item x="154"/>
        <item x="504"/>
        <item x="981"/>
        <item x="982"/>
        <item x="513"/>
        <item x="515"/>
        <item x="512"/>
        <item x="514"/>
        <item x="845"/>
        <item x="329"/>
        <item x="330"/>
        <item x="331"/>
        <item x="795"/>
        <item x="43"/>
        <item x="44"/>
        <item x="52"/>
        <item x="757"/>
        <item x="53"/>
        <item x="180"/>
        <item x="756"/>
        <item x="54"/>
        <item x="433"/>
        <item x="434"/>
        <item x="650"/>
        <item x="651"/>
        <item x="652"/>
        <item x="649"/>
        <item x="4"/>
        <item x="880"/>
        <item x="391"/>
        <item x="85"/>
        <item x="84"/>
        <item x="428"/>
        <item x="653"/>
        <item x="25"/>
        <item x="61"/>
        <item x="24"/>
        <item x="30"/>
        <item x="27"/>
        <item x="29"/>
        <item x="28"/>
        <item x="26"/>
        <item x="992"/>
        <item x="720"/>
        <item x="940"/>
        <item x="941"/>
        <item x="721"/>
        <item x="635"/>
        <item x="47"/>
        <item x="48"/>
        <item x="46"/>
        <item x="506"/>
        <item x="199"/>
        <item x="521"/>
        <item x="113"/>
        <item x="882"/>
        <item x="114"/>
        <item x="881"/>
        <item x="883"/>
        <item x="614"/>
        <item x="887"/>
        <item x="687"/>
        <item x="40"/>
        <item x="240"/>
        <item x="241"/>
        <item x="884"/>
        <item x="725"/>
        <item x="671"/>
        <item x="670"/>
        <item x="540"/>
        <item x="539"/>
        <item x="537"/>
        <item x="345"/>
        <item x="343"/>
        <item x="536"/>
        <item x="344"/>
        <item x="538"/>
        <item x="490"/>
        <item x="488"/>
        <item x="489"/>
        <item x="487"/>
        <item x="486"/>
        <item x="45"/>
        <item x="269"/>
        <item x="41"/>
        <item x="87"/>
        <item x="375"/>
        <item x="621"/>
        <item x="620"/>
        <item x="798"/>
        <item x="622"/>
        <item x="212"/>
        <item x="214"/>
        <item x="110"/>
        <item x="213"/>
        <item x="902"/>
        <item x="900"/>
        <item x="901"/>
        <item x="81"/>
        <item x="728"/>
        <item x="493"/>
        <item x="494"/>
        <item x="491"/>
        <item x="492"/>
        <item x="266"/>
        <item x="541"/>
        <item x="542"/>
        <item x="335"/>
        <item x="336"/>
        <item x="561"/>
        <item x="732"/>
        <item x="179"/>
        <item x="712"/>
        <item x="377"/>
        <item x="376"/>
        <item x="818"/>
        <item x="719"/>
        <item x="655"/>
        <item x="654"/>
        <item x="60"/>
        <item x="694"/>
        <item x="978"/>
        <item x="977"/>
        <item x="935"/>
        <item x="563"/>
        <item x="562"/>
        <item t="default"/>
      </items>
    </pivotField>
    <pivotField numFmtId="165" showAll="0"/>
    <pivotField axis="axisRow" showAll="0">
      <items count="4">
        <item sd="0" x="0"/>
        <item sd="0" x="2"/>
        <item x="1"/>
        <item t="default"/>
      </items>
    </pivotField>
    <pivotField showAll="0">
      <items count="250">
        <item x="43"/>
        <item x="180"/>
        <item x="9"/>
        <item x="157"/>
        <item x="226"/>
        <item x="57"/>
        <item x="240"/>
        <item x="147"/>
        <item x="88"/>
        <item x="153"/>
        <item x="167"/>
        <item x="89"/>
        <item x="202"/>
        <item x="219"/>
        <item x="213"/>
        <item x="248"/>
        <item x="48"/>
        <item x="127"/>
        <item x="174"/>
        <item x="15"/>
        <item x="245"/>
        <item x="1"/>
        <item x="115"/>
        <item x="74"/>
        <item x="31"/>
        <item x="40"/>
        <item x="181"/>
        <item x="18"/>
        <item x="164"/>
        <item x="168"/>
        <item x="13"/>
        <item x="119"/>
        <item x="34"/>
        <item x="133"/>
        <item x="19"/>
        <item x="126"/>
        <item x="102"/>
        <item x="84"/>
        <item x="225"/>
        <item x="227"/>
        <item x="190"/>
        <item x="6"/>
        <item x="145"/>
        <item x="11"/>
        <item x="114"/>
        <item x="166"/>
        <item x="62"/>
        <item x="146"/>
        <item x="106"/>
        <item x="136"/>
        <item x="155"/>
        <item x="134"/>
        <item x="139"/>
        <item x="42"/>
        <item x="141"/>
        <item x="28"/>
        <item x="12"/>
        <item x="228"/>
        <item x="237"/>
        <item x="151"/>
        <item x="63"/>
        <item x="170"/>
        <item x="110"/>
        <item x="99"/>
        <item x="112"/>
        <item x="207"/>
        <item x="217"/>
        <item x="14"/>
        <item x="56"/>
        <item x="244"/>
        <item x="120"/>
        <item x="246"/>
        <item x="243"/>
        <item x="173"/>
        <item x="52"/>
        <item x="203"/>
        <item x="171"/>
        <item x="83"/>
        <item x="124"/>
        <item x="129"/>
        <item x="72"/>
        <item x="77"/>
        <item x="125"/>
        <item x="92"/>
        <item x="233"/>
        <item x="116"/>
        <item x="191"/>
        <item x="53"/>
        <item x="234"/>
        <item x="199"/>
        <item x="8"/>
        <item x="67"/>
        <item x="224"/>
        <item x="103"/>
        <item x="135"/>
        <item x="194"/>
        <item x="192"/>
        <item x="76"/>
        <item x="44"/>
        <item x="196"/>
        <item x="65"/>
        <item x="172"/>
        <item x="211"/>
        <item x="87"/>
        <item x="47"/>
        <item x="223"/>
        <item x="214"/>
        <item x="98"/>
        <item x="101"/>
        <item x="210"/>
        <item x="121"/>
        <item x="55"/>
        <item x="198"/>
        <item x="4"/>
        <item x="26"/>
        <item x="221"/>
        <item x="82"/>
        <item x="189"/>
        <item x="0"/>
        <item x="79"/>
        <item x="154"/>
        <item x="45"/>
        <item x="222"/>
        <item x="184"/>
        <item x="159"/>
        <item x="132"/>
        <item x="163"/>
        <item x="33"/>
        <item x="5"/>
        <item x="232"/>
        <item x="37"/>
        <item x="118"/>
        <item x="3"/>
        <item x="212"/>
        <item x="220"/>
        <item x="21"/>
        <item x="81"/>
        <item x="41"/>
        <item x="182"/>
        <item x="96"/>
        <item x="150"/>
        <item x="95"/>
        <item x="161"/>
        <item x="185"/>
        <item x="66"/>
        <item x="142"/>
        <item x="78"/>
        <item x="29"/>
        <item x="175"/>
        <item x="69"/>
        <item x="58"/>
        <item x="204"/>
        <item x="109"/>
        <item x="144"/>
        <item x="16"/>
        <item x="71"/>
        <item x="10"/>
        <item x="61"/>
        <item x="176"/>
        <item x="27"/>
        <item x="30"/>
        <item x="90"/>
        <item x="148"/>
        <item x="80"/>
        <item x="94"/>
        <item x="156"/>
        <item x="183"/>
        <item x="108"/>
        <item x="178"/>
        <item x="113"/>
        <item x="50"/>
        <item x="111"/>
        <item x="195"/>
        <item x="39"/>
        <item x="177"/>
        <item x="73"/>
        <item x="160"/>
        <item x="208"/>
        <item x="236"/>
        <item x="49"/>
        <item x="86"/>
        <item x="36"/>
        <item x="51"/>
        <item x="186"/>
        <item x="131"/>
        <item x="17"/>
        <item x="97"/>
        <item x="75"/>
        <item x="165"/>
        <item x="91"/>
        <item x="242"/>
        <item x="247"/>
        <item x="149"/>
        <item x="20"/>
        <item x="140"/>
        <item x="59"/>
        <item x="187"/>
        <item x="35"/>
        <item x="23"/>
        <item x="143"/>
        <item x="238"/>
        <item x="215"/>
        <item x="205"/>
        <item x="216"/>
        <item x="68"/>
        <item x="85"/>
        <item x="201"/>
        <item x="25"/>
        <item x="105"/>
        <item x="107"/>
        <item x="206"/>
        <item x="200"/>
        <item x="235"/>
        <item x="137"/>
        <item x="32"/>
        <item x="100"/>
        <item x="93"/>
        <item x="122"/>
        <item x="123"/>
        <item x="128"/>
        <item x="218"/>
        <item x="138"/>
        <item x="2"/>
        <item x="229"/>
        <item x="209"/>
        <item x="54"/>
        <item x="231"/>
        <item x="193"/>
        <item x="239"/>
        <item x="24"/>
        <item x="230"/>
        <item x="158"/>
        <item x="152"/>
        <item x="46"/>
        <item x="7"/>
        <item x="117"/>
        <item x="70"/>
        <item x="38"/>
        <item x="197"/>
        <item x="241"/>
        <item x="64"/>
        <item x="188"/>
        <item x="130"/>
        <item x="162"/>
        <item x="60"/>
        <item x="104"/>
        <item x="22"/>
        <item x="179"/>
        <item x="169"/>
        <item t="default"/>
      </items>
    </pivotField>
    <pivotField axis="axisRow" showAll="0">
      <items count="18">
        <item x="12"/>
        <item x="1"/>
        <item x="3"/>
        <item x="8"/>
        <item x="14"/>
        <item x="11"/>
        <item x="16"/>
        <item x="5"/>
        <item x="13"/>
        <item x="0"/>
        <item x="10"/>
        <item x="7"/>
        <item x="6"/>
        <item x="15"/>
        <item x="2"/>
        <item x="4"/>
        <item x="9"/>
        <item t="default"/>
      </items>
    </pivotField>
    <pivotField showAll="0"/>
    <pivotField dataField="1" showAll="0"/>
    <pivotField showAll="0"/>
    <pivotField showAll="0"/>
    <pivotField showAll="0"/>
    <pivotField showAll="0" defaultSubtotal="0"/>
    <pivotField showAll="0" defaultSubtotal="0"/>
    <pivotField axis="axisCol" showAll="0" defaultSubtotal="0">
      <items count="5">
        <item x="0"/>
        <item n="2021年" x="1"/>
        <item n="2022年" x="2"/>
        <item n="2023年" x="3"/>
        <item x="4"/>
      </items>
    </pivotField>
  </pivotFields>
  <rowFields count="2">
    <field x="3"/>
    <field x="5"/>
  </rowFields>
  <rowItems count="21">
    <i>
      <x/>
    </i>
    <i>
      <x v="1"/>
    </i>
    <i>
      <x v="2"/>
    </i>
    <i r="1">
      <x/>
    </i>
    <i r="1">
      <x v="1"/>
    </i>
    <i r="1">
      <x v="2"/>
    </i>
    <i r="1">
      <x v="3"/>
    </i>
    <i r="1">
      <x v="4"/>
    </i>
    <i r="1">
      <x v="5"/>
    </i>
    <i r="1">
      <x v="6"/>
    </i>
    <i r="1">
      <x v="7"/>
    </i>
    <i r="1">
      <x v="8"/>
    </i>
    <i r="1">
      <x v="9"/>
    </i>
    <i r="1">
      <x v="10"/>
    </i>
    <i r="1">
      <x v="11"/>
    </i>
    <i r="1">
      <x v="12"/>
    </i>
    <i r="1">
      <x v="13"/>
    </i>
    <i r="1">
      <x v="14"/>
    </i>
    <i r="1">
      <x v="15"/>
    </i>
    <i r="1">
      <x v="16"/>
    </i>
    <i t="grand">
      <x/>
    </i>
  </rowItems>
  <colFields count="1">
    <field x="13"/>
  </colFields>
  <colItems count="4">
    <i>
      <x v="1"/>
    </i>
    <i>
      <x v="2"/>
    </i>
    <i>
      <x v="3"/>
    </i>
    <i t="grand">
      <x/>
    </i>
  </colItems>
  <dataFields count="1">
    <dataField name="求和项：数量" fld="7" baseField="0" baseItem="0"/>
  </dataFields>
  <formats count="1">
    <format dxfId="2">
      <pivotArea dataOnly="0" labelOnly="1" fieldPosition="0">
        <references count="2">
          <reference field="3" count="1" selected="0">
            <x v="2"/>
          </reference>
          <reference field="5" count="0"/>
        </references>
      </pivotArea>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2AA0F-E18F-4972-849A-F6D4F3931C6C}" name="PivotTable1" cacheId="5" applyNumberFormats="0" applyBorderFormats="0" applyFontFormats="0" applyPatternFormats="0" applyAlignmentFormats="0" applyWidthHeightFormats="1" dataCaption="Values" grandTotalCaption="总计" updatedVersion="8" minRefreshableVersion="3" useAutoFormatting="1" itemPrintTitles="1" createdVersion="8" indent="0" outline="1" outlineData="1" multipleFieldFilters="0" rowHeaderCaption="订单日期" colHeaderCaption="细分">
  <location ref="A18:E32" firstHeaderRow="1" firstDataRow="2" firstDataCol="1"/>
  <pivotFields count="14">
    <pivotField showAll="0"/>
    <pivotField numFmtId="165" showAll="0">
      <items count="999">
        <item x="350"/>
        <item x="352"/>
        <item x="351"/>
        <item x="381"/>
        <item x="385"/>
        <item x="379"/>
        <item x="380"/>
        <item x="383"/>
        <item x="384"/>
        <item x="382"/>
        <item x="36"/>
        <item x="450"/>
        <item x="922"/>
        <item x="924"/>
        <item x="921"/>
        <item x="920"/>
        <item x="923"/>
        <item x="586"/>
        <item x="736"/>
        <item x="626"/>
        <item x="623"/>
        <item x="625"/>
        <item x="627"/>
        <item x="624"/>
        <item x="264"/>
        <item x="265"/>
        <item x="38"/>
        <item x="39"/>
        <item x="37"/>
        <item x="723"/>
        <item x="722"/>
        <item x="151"/>
        <item x="150"/>
        <item x="844"/>
        <item x="593"/>
        <item x="592"/>
        <item x="590"/>
        <item x="591"/>
        <item x="588"/>
        <item x="589"/>
        <item x="804"/>
        <item x="803"/>
        <item x="802"/>
        <item x="633"/>
        <item x="634"/>
        <item x="862"/>
        <item x="861"/>
        <item x="860"/>
        <item x="863"/>
        <item x="864"/>
        <item x="866"/>
        <item x="865"/>
        <item x="58"/>
        <item x="987"/>
        <item x="988"/>
        <item x="989"/>
        <item x="675"/>
        <item x="677"/>
        <item x="676"/>
        <item x="248"/>
        <item x="247"/>
        <item x="415"/>
        <item x="334"/>
        <item x="249"/>
        <item x="333"/>
        <item x="690"/>
        <item x="689"/>
        <item x="688"/>
        <item x="411"/>
        <item x="412"/>
        <item x="409"/>
        <item x="413"/>
        <item x="410"/>
        <item x="507"/>
        <item x="408"/>
        <item x="108"/>
        <item x="107"/>
        <item x="274"/>
        <item x="275"/>
        <item x="148"/>
        <item x="147"/>
        <item x="146"/>
        <item x="479"/>
        <item x="584"/>
        <item x="585"/>
        <item x="216"/>
        <item x="215"/>
        <item x="217"/>
        <item x="218"/>
        <item x="171"/>
        <item x="317"/>
        <item x="315"/>
        <item x="316"/>
        <item x="145"/>
        <item x="227"/>
        <item x="228"/>
        <item x="238"/>
        <item x="132"/>
        <item x="131"/>
        <item x="394"/>
        <item x="395"/>
        <item x="636"/>
        <item x="236"/>
        <item x="34"/>
        <item x="735"/>
        <item x="16"/>
        <item x="15"/>
        <item x="846"/>
        <item x="441"/>
        <item x="447"/>
        <item x="444"/>
        <item x="445"/>
        <item x="446"/>
        <item x="443"/>
        <item x="442"/>
        <item x="847"/>
        <item x="691"/>
        <item x="300"/>
        <item x="303"/>
        <item x="301"/>
        <item x="305"/>
        <item x="304"/>
        <item x="302"/>
        <item x="206"/>
        <item x="207"/>
        <item x="473"/>
        <item x="242"/>
        <item x="373"/>
        <item x="372"/>
        <item x="374"/>
        <item x="397"/>
        <item x="966"/>
        <item x="964"/>
        <item x="962"/>
        <item x="965"/>
        <item x="954"/>
        <item x="963"/>
        <item x="967"/>
        <item x="953"/>
        <item x="495"/>
        <item x="496"/>
        <item x="497"/>
        <item x="498"/>
        <item x="501"/>
        <item x="499"/>
        <item x="500"/>
        <item x="972"/>
        <item x="42"/>
        <item x="261"/>
        <item x="260"/>
        <item x="262"/>
        <item x="263"/>
        <item x="528"/>
        <item x="341"/>
        <item x="55"/>
        <item x="338"/>
        <item x="56"/>
        <item x="339"/>
        <item x="57"/>
        <item x="340"/>
        <item x="337"/>
        <item x="942"/>
        <item x="133"/>
        <item x="326"/>
        <item x="731"/>
        <item x="730"/>
        <item x="729"/>
        <item x="414"/>
        <item x="111"/>
        <item x="835"/>
        <item x="568"/>
        <item x="570"/>
        <item x="569"/>
        <item x="738"/>
        <item x="817"/>
        <item x="173"/>
        <item x="174"/>
        <item x="175"/>
        <item x="885"/>
        <item x="911"/>
        <item x="786"/>
        <item x="910"/>
        <item x="909"/>
        <item x="912"/>
        <item x="458"/>
        <item x="459"/>
        <item x="717"/>
        <item x="716"/>
        <item x="718"/>
        <item x="115"/>
        <item x="116"/>
        <item x="918"/>
        <item x="919"/>
        <item x="783"/>
        <item x="996"/>
        <item x="267"/>
        <item x="644"/>
        <item x="645"/>
        <item x="646"/>
        <item x="309"/>
        <item x="310"/>
        <item x="327"/>
        <item x="139"/>
        <item x="138"/>
        <item x="587"/>
        <item x="311"/>
        <item x="531"/>
        <item x="532"/>
        <item x="257"/>
        <item x="256"/>
        <item x="956"/>
        <item x="957"/>
        <item x="0"/>
        <item x="873"/>
        <item x="874"/>
        <item x="203"/>
        <item x="470"/>
        <item x="469"/>
        <item x="915"/>
        <item x="153"/>
        <item x="529"/>
        <item x="177"/>
        <item x="530"/>
        <item x="178"/>
        <item x="763"/>
        <item x="164"/>
        <item x="170"/>
        <item x="166"/>
        <item x="163"/>
        <item x="167"/>
        <item x="934"/>
        <item x="165"/>
        <item x="762"/>
        <item x="169"/>
        <item x="161"/>
        <item x="162"/>
        <item x="168"/>
        <item x="875"/>
        <item x="198"/>
        <item x="365"/>
        <item x="158"/>
        <item x="159"/>
        <item x="702"/>
        <item x="157"/>
        <item x="700"/>
        <item x="112"/>
        <item x="505"/>
        <item x="96"/>
        <item x="97"/>
        <item x="93"/>
        <item x="94"/>
        <item x="95"/>
        <item x="204"/>
        <item x="205"/>
        <item x="325"/>
        <item x="604"/>
        <item x="605"/>
        <item x="86"/>
        <item x="879"/>
        <item x="878"/>
        <item x="11"/>
        <item x="849"/>
        <item x="976"/>
        <item x="975"/>
        <item x="834"/>
        <item x="833"/>
        <item x="710"/>
        <item x="707"/>
        <item x="709"/>
        <item x="711"/>
        <item x="708"/>
        <item x="429"/>
        <item x="640"/>
        <item x="641"/>
        <item x="743"/>
        <item x="740"/>
        <item x="739"/>
        <item x="742"/>
        <item x="745"/>
        <item x="2"/>
        <item x="1"/>
        <item x="741"/>
        <item x="744"/>
        <item x="747"/>
        <item x="49"/>
        <item x="183"/>
        <item x="50"/>
        <item x="51"/>
        <item x="665"/>
        <item x="666"/>
        <item x="595"/>
        <item x="597"/>
        <item x="596"/>
        <item x="594"/>
        <item x="609"/>
        <item x="931"/>
        <item x="933"/>
        <item x="608"/>
        <item x="607"/>
        <item x="932"/>
        <item x="606"/>
        <item x="930"/>
        <item x="601"/>
        <item x="600"/>
        <item x="522"/>
        <item x="551"/>
        <item x="797"/>
        <item x="796"/>
        <item x="703"/>
        <item x="484"/>
        <item x="485"/>
        <item x="980"/>
        <item x="876"/>
        <item x="232"/>
        <item x="231"/>
        <item x="233"/>
        <item x="378"/>
        <item x="144"/>
        <item x="318"/>
        <item x="320"/>
        <item x="321"/>
        <item x="319"/>
        <item x="322"/>
        <item x="769"/>
        <item x="746"/>
        <item x="239"/>
        <item x="398"/>
        <item x="400"/>
        <item x="399"/>
        <item x="917"/>
        <item x="916"/>
        <item x="853"/>
        <item x="852"/>
        <item x="851"/>
        <item x="855"/>
        <item x="856"/>
        <item x="858"/>
        <item x="857"/>
        <item x="854"/>
        <item x="859"/>
        <item x="768"/>
        <item x="820"/>
        <item x="819"/>
        <item x="821"/>
        <item x="948"/>
        <item x="947"/>
        <item x="566"/>
        <item x="564"/>
        <item x="565"/>
        <item x="950"/>
        <item x="949"/>
        <item x="567"/>
        <item x="519"/>
        <item x="416"/>
        <item x="420"/>
        <item x="418"/>
        <item x="417"/>
        <item x="419"/>
        <item x="952"/>
        <item x="815"/>
        <item x="814"/>
        <item x="850"/>
        <item x="813"/>
        <item x="816"/>
        <item x="613"/>
        <item x="612"/>
        <item x="611"/>
        <item x="610"/>
        <item x="297"/>
        <item x="477"/>
        <item x="475"/>
        <item x="476"/>
        <item x="474"/>
        <item x="181"/>
        <item x="388"/>
        <item x="386"/>
        <item x="387"/>
        <item x="128"/>
        <item x="129"/>
        <item x="182"/>
        <item x="186"/>
        <item x="109"/>
        <item x="185"/>
        <item x="184"/>
        <item x="928"/>
        <item x="929"/>
        <item x="939"/>
        <item x="64"/>
        <item x="296"/>
        <item x="547"/>
        <item x="546"/>
        <item x="280"/>
        <item x="284"/>
        <item x="282"/>
        <item x="283"/>
        <item x="281"/>
        <item x="669"/>
        <item x="229"/>
        <item x="230"/>
        <item x="764"/>
        <item x="668"/>
        <item x="460"/>
        <item x="461"/>
        <item x="692"/>
        <item x="693"/>
        <item x="508"/>
        <item x="618"/>
        <item x="616"/>
        <item x="617"/>
        <item x="619"/>
        <item x="291"/>
        <item x="286"/>
        <item x="289"/>
        <item x="287"/>
        <item x="285"/>
        <item x="292"/>
        <item x="290"/>
        <item x="288"/>
        <item x="33"/>
        <item x="32"/>
        <item x="898"/>
        <item x="20"/>
        <item x="18"/>
        <item x="21"/>
        <item x="246"/>
        <item x="22"/>
        <item x="23"/>
        <item x="245"/>
        <item x="17"/>
        <item x="19"/>
        <item x="251"/>
        <item x="252"/>
        <item x="632"/>
        <item x="943"/>
        <item x="448"/>
        <item x="997"/>
        <item x="366"/>
        <item x="367"/>
        <item x="368"/>
        <item x="369"/>
        <item x="647"/>
        <item x="425"/>
        <item x="423"/>
        <item x="424"/>
        <item x="527"/>
        <item x="526"/>
        <item x="525"/>
        <item x="648"/>
        <item x="270"/>
        <item x="271"/>
        <item x="360"/>
        <item x="986"/>
        <item x="463"/>
        <item x="464"/>
        <item x="983"/>
        <item x="984"/>
        <item x="985"/>
        <item x="481"/>
        <item x="432"/>
        <item x="430"/>
        <item x="431"/>
        <item x="837"/>
        <item x="102"/>
        <item x="103"/>
        <item x="104"/>
        <item x="73"/>
        <item x="74"/>
        <item x="72"/>
        <item x="848"/>
        <item x="155"/>
        <item x="67"/>
        <item x="156"/>
        <item x="66"/>
        <item x="771"/>
        <item x="772"/>
        <item x="472"/>
        <item x="471"/>
        <item x="308"/>
        <item x="358"/>
        <item x="357"/>
        <item x="355"/>
        <item x="354"/>
        <item x="187"/>
        <item x="359"/>
        <item x="673"/>
        <item x="672"/>
        <item x="356"/>
        <item x="188"/>
        <item x="572"/>
        <item x="573"/>
        <item x="575"/>
        <item x="574"/>
        <item x="421"/>
        <item x="704"/>
        <item x="908"/>
        <item x="678"/>
        <item x="468"/>
        <item x="467"/>
        <item x="466"/>
        <item x="465"/>
        <item x="679"/>
        <item x="98"/>
        <item x="422"/>
        <item x="824"/>
        <item x="576"/>
        <item x="822"/>
        <item x="823"/>
        <item x="524"/>
        <item x="101"/>
        <item x="877"/>
        <item x="89"/>
        <item x="92"/>
        <item x="90"/>
        <item x="770"/>
        <item x="91"/>
        <item x="59"/>
        <item x="462"/>
        <item x="502"/>
        <item x="503"/>
        <item x="347"/>
        <item x="346"/>
        <item x="571"/>
        <item x="556"/>
        <item x="396"/>
        <item x="788"/>
        <item x="277"/>
        <item x="456"/>
        <item x="455"/>
        <item x="727"/>
        <item x="276"/>
        <item x="599"/>
        <item x="598"/>
        <item x="312"/>
        <item x="272"/>
        <item x="314"/>
        <item x="273"/>
        <item x="313"/>
        <item x="143"/>
        <item x="141"/>
        <item x="831"/>
        <item x="142"/>
        <item x="557"/>
        <item x="914"/>
        <item x="789"/>
        <item x="3"/>
        <item x="792"/>
        <item x="791"/>
        <item x="31"/>
        <item x="790"/>
        <item x="88"/>
        <item x="706"/>
        <item x="235"/>
        <item x="65"/>
        <item x="870"/>
        <item x="867"/>
        <item x="869"/>
        <item x="906"/>
        <item x="907"/>
        <item x="868"/>
        <item x="10"/>
        <item x="76"/>
        <item x="78"/>
        <item x="390"/>
        <item x="389"/>
        <item x="787"/>
        <item x="77"/>
        <item x="126"/>
        <item x="685"/>
        <item x="191"/>
        <item x="194"/>
        <item x="686"/>
        <item x="193"/>
        <item x="190"/>
        <item x="195"/>
        <item x="192"/>
        <item x="830"/>
        <item x="753"/>
        <item x="754"/>
        <item x="752"/>
        <item x="755"/>
        <item x="482"/>
        <item x="483"/>
        <item x="766"/>
        <item x="765"/>
        <item x="767"/>
        <item x="899"/>
        <item x="202"/>
        <item x="250"/>
        <item x="970"/>
        <item x="969"/>
        <item x="518"/>
        <item x="99"/>
        <item x="100"/>
        <item x="453"/>
        <item x="451"/>
        <item x="452"/>
        <item x="454"/>
        <item x="737"/>
        <item x="631"/>
        <item x="125"/>
        <item x="137"/>
        <item x="438"/>
        <item x="440"/>
        <item x="437"/>
        <item x="439"/>
        <item x="435"/>
        <item x="436"/>
        <item x="979"/>
        <item x="714"/>
        <item x="713"/>
        <item x="715"/>
        <item x="197"/>
        <item x="196"/>
        <item x="994"/>
        <item x="993"/>
        <item x="995"/>
        <item x="842"/>
        <item x="840"/>
        <item x="843"/>
        <item x="839"/>
        <item x="841"/>
        <item x="172"/>
        <item x="629"/>
        <item x="628"/>
        <item x="630"/>
        <item x="208"/>
        <item x="209"/>
        <item x="258"/>
        <item x="259"/>
        <item x="560"/>
        <item x="733"/>
        <item x="734"/>
        <item x="805"/>
        <item x="946"/>
        <item x="974"/>
        <item x="973"/>
        <item x="810"/>
        <item x="961"/>
        <item x="812"/>
        <item x="808"/>
        <item x="811"/>
        <item x="809"/>
        <item x="255"/>
        <item x="189"/>
        <item x="160"/>
        <item x="268"/>
        <item x="13"/>
        <item x="14"/>
        <item x="12"/>
        <item x="925"/>
        <item x="836"/>
        <item x="872"/>
        <item x="959"/>
        <item x="871"/>
        <item x="558"/>
        <item x="559"/>
        <item x="904"/>
        <item x="905"/>
        <item x="903"/>
        <item x="695"/>
        <item x="698"/>
        <item x="696"/>
        <item x="699"/>
        <item x="697"/>
        <item x="581"/>
        <item x="582"/>
        <item x="579"/>
        <item x="583"/>
        <item x="578"/>
        <item x="577"/>
        <item x="580"/>
        <item x="944"/>
        <item x="782"/>
        <item x="951"/>
        <item x="130"/>
        <item x="243"/>
        <item x="244"/>
        <item x="955"/>
        <item x="971"/>
        <item x="960"/>
        <item x="295"/>
        <item x="294"/>
        <item x="807"/>
        <item x="82"/>
        <item x="83"/>
        <item x="535"/>
        <item x="533"/>
        <item x="534"/>
        <item x="799"/>
        <item x="800"/>
        <item x="363"/>
        <item x="364"/>
        <item x="826"/>
        <item x="828"/>
        <item x="724"/>
        <item x="827"/>
        <item x="825"/>
        <item x="829"/>
        <item x="701"/>
        <item x="680"/>
        <item x="832"/>
        <item x="681"/>
        <item x="70"/>
        <item x="71"/>
        <item x="480"/>
        <item x="328"/>
        <item x="332"/>
        <item x="637"/>
        <item x="638"/>
        <item x="639"/>
        <item x="362"/>
        <item x="361"/>
        <item x="726"/>
        <item x="69"/>
        <item x="392"/>
        <item x="393"/>
        <item x="958"/>
        <item x="793"/>
        <item x="794"/>
        <item x="784"/>
        <item x="785"/>
        <item x="136"/>
        <item x="135"/>
        <item x="806"/>
        <item x="134"/>
        <item x="926"/>
        <item x="927"/>
        <item x="118"/>
        <item x="119"/>
        <item x="121"/>
        <item x="120"/>
        <item x="117"/>
        <item x="123"/>
        <item x="122"/>
        <item x="124"/>
        <item x="890"/>
        <item x="888"/>
        <item x="838"/>
        <item x="889"/>
        <item x="105"/>
        <item x="106"/>
        <item x="516"/>
        <item x="517"/>
        <item x="149"/>
        <item x="8"/>
        <item x="5"/>
        <item x="6"/>
        <item x="9"/>
        <item x="7"/>
        <item x="667"/>
        <item x="520"/>
        <item x="427"/>
        <item x="426"/>
        <item x="968"/>
        <item x="886"/>
        <item x="615"/>
        <item x="401"/>
        <item x="406"/>
        <item x="657"/>
        <item x="663"/>
        <item x="659"/>
        <item x="661"/>
        <item x="662"/>
        <item x="656"/>
        <item x="664"/>
        <item x="660"/>
        <item x="402"/>
        <item x="407"/>
        <item x="404"/>
        <item x="405"/>
        <item x="403"/>
        <item x="658"/>
        <item x="894"/>
        <item x="896"/>
        <item x="895"/>
        <item x="897"/>
        <item x="643"/>
        <item x="642"/>
        <item x="457"/>
        <item x="152"/>
        <item x="684"/>
        <item x="773"/>
        <item x="774"/>
        <item x="775"/>
        <item x="550"/>
        <item x="777"/>
        <item x="549"/>
        <item x="779"/>
        <item x="778"/>
        <item x="776"/>
        <item x="548"/>
        <item x="552"/>
        <item x="990"/>
        <item x="937"/>
        <item x="936"/>
        <item x="349"/>
        <item x="348"/>
        <item x="603"/>
        <item x="602"/>
        <item x="945"/>
        <item x="544"/>
        <item x="543"/>
        <item x="545"/>
        <item x="293"/>
        <item x="63"/>
        <item x="62"/>
        <item x="683"/>
        <item x="682"/>
        <item x="226"/>
        <item x="220"/>
        <item x="221"/>
        <item x="219"/>
        <item x="223"/>
        <item x="222"/>
        <item x="225"/>
        <item x="224"/>
        <item x="705"/>
        <item x="237"/>
        <item x="201"/>
        <item x="200"/>
        <item x="75"/>
        <item x="801"/>
        <item x="478"/>
        <item x="449"/>
        <item x="324"/>
        <item x="371"/>
        <item x="370"/>
        <item x="760"/>
        <item x="758"/>
        <item x="759"/>
        <item x="761"/>
        <item x="523"/>
        <item x="553"/>
        <item x="554"/>
        <item x="555"/>
        <item x="750"/>
        <item x="749"/>
        <item x="751"/>
        <item x="748"/>
        <item x="127"/>
        <item x="176"/>
        <item x="35"/>
        <item x="253"/>
        <item x="254"/>
        <item x="991"/>
        <item x="780"/>
        <item x="781"/>
        <item x="68"/>
        <item x="79"/>
        <item x="80"/>
        <item x="509"/>
        <item x="510"/>
        <item x="323"/>
        <item x="234"/>
        <item x="306"/>
        <item x="307"/>
        <item x="342"/>
        <item x="674"/>
        <item x="938"/>
        <item x="211"/>
        <item x="210"/>
        <item x="353"/>
        <item x="893"/>
        <item x="892"/>
        <item x="891"/>
        <item x="511"/>
        <item x="140"/>
        <item x="913"/>
        <item x="298"/>
        <item x="299"/>
        <item x="279"/>
        <item x="278"/>
        <item x="154"/>
        <item x="504"/>
        <item x="981"/>
        <item x="982"/>
        <item x="513"/>
        <item x="515"/>
        <item x="512"/>
        <item x="514"/>
        <item x="845"/>
        <item x="329"/>
        <item x="330"/>
        <item x="331"/>
        <item x="795"/>
        <item x="43"/>
        <item x="44"/>
        <item x="52"/>
        <item x="757"/>
        <item x="53"/>
        <item x="180"/>
        <item x="756"/>
        <item x="54"/>
        <item x="433"/>
        <item x="434"/>
        <item x="650"/>
        <item x="651"/>
        <item x="652"/>
        <item x="649"/>
        <item x="4"/>
        <item x="880"/>
        <item x="391"/>
        <item x="85"/>
        <item x="84"/>
        <item x="428"/>
        <item x="653"/>
        <item x="25"/>
        <item x="61"/>
        <item x="24"/>
        <item x="30"/>
        <item x="27"/>
        <item x="29"/>
        <item x="28"/>
        <item x="26"/>
        <item x="992"/>
        <item x="720"/>
        <item x="940"/>
        <item x="941"/>
        <item x="721"/>
        <item x="635"/>
        <item x="47"/>
        <item x="48"/>
        <item x="46"/>
        <item x="506"/>
        <item x="199"/>
        <item x="521"/>
        <item x="113"/>
        <item x="882"/>
        <item x="114"/>
        <item x="881"/>
        <item x="883"/>
        <item x="614"/>
        <item x="887"/>
        <item x="687"/>
        <item x="40"/>
        <item x="240"/>
        <item x="241"/>
        <item x="884"/>
        <item x="725"/>
        <item x="671"/>
        <item x="670"/>
        <item x="540"/>
        <item x="539"/>
        <item x="537"/>
        <item x="345"/>
        <item x="343"/>
        <item x="536"/>
        <item x="344"/>
        <item x="538"/>
        <item x="490"/>
        <item x="488"/>
        <item x="489"/>
        <item x="487"/>
        <item x="486"/>
        <item x="45"/>
        <item x="269"/>
        <item x="41"/>
        <item x="87"/>
        <item x="375"/>
        <item x="621"/>
        <item x="620"/>
        <item x="798"/>
        <item x="622"/>
        <item x="212"/>
        <item x="214"/>
        <item x="110"/>
        <item x="213"/>
        <item x="902"/>
        <item x="900"/>
        <item x="901"/>
        <item x="81"/>
        <item x="728"/>
        <item x="493"/>
        <item x="494"/>
        <item x="491"/>
        <item x="492"/>
        <item x="266"/>
        <item x="541"/>
        <item x="542"/>
        <item x="335"/>
        <item x="336"/>
        <item x="561"/>
        <item x="732"/>
        <item x="179"/>
        <item x="712"/>
        <item x="377"/>
        <item x="376"/>
        <item x="818"/>
        <item x="719"/>
        <item x="655"/>
        <item x="654"/>
        <item x="60"/>
        <item x="694"/>
        <item x="978"/>
        <item x="977"/>
        <item x="935"/>
        <item x="563"/>
        <item x="562"/>
        <item t="default"/>
      </items>
    </pivotField>
    <pivotField numFmtId="165" showAll="0"/>
    <pivotField axis="axisCol" showAll="0">
      <items count="4">
        <item x="0"/>
        <item x="2"/>
        <item x="1"/>
        <item t="default"/>
      </items>
    </pivotField>
    <pivotField showAll="0">
      <items count="250">
        <item x="43"/>
        <item x="180"/>
        <item x="9"/>
        <item x="157"/>
        <item x="226"/>
        <item x="57"/>
        <item x="240"/>
        <item x="147"/>
        <item x="88"/>
        <item x="153"/>
        <item x="167"/>
        <item x="89"/>
        <item x="202"/>
        <item x="219"/>
        <item x="213"/>
        <item x="248"/>
        <item x="48"/>
        <item x="127"/>
        <item x="174"/>
        <item x="15"/>
        <item x="245"/>
        <item x="1"/>
        <item x="115"/>
        <item x="74"/>
        <item x="31"/>
        <item x="40"/>
        <item x="181"/>
        <item x="18"/>
        <item x="164"/>
        <item x="168"/>
        <item x="13"/>
        <item x="119"/>
        <item x="34"/>
        <item x="133"/>
        <item x="19"/>
        <item x="126"/>
        <item x="102"/>
        <item x="84"/>
        <item x="225"/>
        <item x="227"/>
        <item x="190"/>
        <item x="6"/>
        <item x="145"/>
        <item x="11"/>
        <item x="114"/>
        <item x="166"/>
        <item x="62"/>
        <item x="146"/>
        <item x="106"/>
        <item x="136"/>
        <item x="155"/>
        <item x="134"/>
        <item x="139"/>
        <item x="42"/>
        <item x="141"/>
        <item x="28"/>
        <item x="12"/>
        <item x="228"/>
        <item x="237"/>
        <item x="151"/>
        <item x="63"/>
        <item x="170"/>
        <item x="110"/>
        <item x="99"/>
        <item x="112"/>
        <item x="207"/>
        <item x="217"/>
        <item x="14"/>
        <item x="56"/>
        <item x="244"/>
        <item x="120"/>
        <item x="246"/>
        <item x="243"/>
        <item x="173"/>
        <item x="52"/>
        <item x="203"/>
        <item x="171"/>
        <item x="83"/>
        <item x="124"/>
        <item x="129"/>
        <item x="72"/>
        <item x="77"/>
        <item x="125"/>
        <item x="92"/>
        <item x="233"/>
        <item x="116"/>
        <item x="191"/>
        <item x="53"/>
        <item x="234"/>
        <item x="199"/>
        <item x="8"/>
        <item x="67"/>
        <item x="224"/>
        <item x="103"/>
        <item x="135"/>
        <item x="194"/>
        <item x="192"/>
        <item x="76"/>
        <item x="44"/>
        <item x="196"/>
        <item x="65"/>
        <item x="172"/>
        <item x="211"/>
        <item x="87"/>
        <item x="47"/>
        <item x="223"/>
        <item x="214"/>
        <item x="98"/>
        <item x="101"/>
        <item x="210"/>
        <item x="121"/>
        <item x="55"/>
        <item x="198"/>
        <item x="4"/>
        <item x="26"/>
        <item x="221"/>
        <item x="82"/>
        <item x="189"/>
        <item x="0"/>
        <item x="79"/>
        <item x="154"/>
        <item x="45"/>
        <item x="222"/>
        <item x="184"/>
        <item x="159"/>
        <item x="132"/>
        <item x="163"/>
        <item x="33"/>
        <item x="5"/>
        <item x="232"/>
        <item x="37"/>
        <item x="118"/>
        <item x="3"/>
        <item x="212"/>
        <item x="220"/>
        <item x="21"/>
        <item x="81"/>
        <item x="41"/>
        <item x="182"/>
        <item x="96"/>
        <item x="150"/>
        <item x="95"/>
        <item x="161"/>
        <item x="185"/>
        <item x="66"/>
        <item x="142"/>
        <item x="78"/>
        <item x="29"/>
        <item x="175"/>
        <item x="69"/>
        <item x="58"/>
        <item x="204"/>
        <item x="109"/>
        <item x="144"/>
        <item x="16"/>
        <item x="71"/>
        <item x="10"/>
        <item x="61"/>
        <item x="176"/>
        <item x="27"/>
        <item x="30"/>
        <item x="90"/>
        <item x="148"/>
        <item x="80"/>
        <item x="94"/>
        <item x="156"/>
        <item x="183"/>
        <item x="108"/>
        <item x="178"/>
        <item x="113"/>
        <item x="50"/>
        <item x="111"/>
        <item x="195"/>
        <item x="39"/>
        <item x="177"/>
        <item x="73"/>
        <item x="160"/>
        <item x="208"/>
        <item x="236"/>
        <item x="49"/>
        <item x="86"/>
        <item x="36"/>
        <item x="51"/>
        <item x="186"/>
        <item x="131"/>
        <item x="17"/>
        <item x="97"/>
        <item x="75"/>
        <item x="165"/>
        <item x="91"/>
        <item x="242"/>
        <item x="247"/>
        <item x="149"/>
        <item x="20"/>
        <item x="140"/>
        <item x="59"/>
        <item x="187"/>
        <item x="35"/>
        <item x="23"/>
        <item x="143"/>
        <item x="238"/>
        <item x="215"/>
        <item x="205"/>
        <item x="216"/>
        <item x="68"/>
        <item x="85"/>
        <item x="201"/>
        <item x="25"/>
        <item x="105"/>
        <item x="107"/>
        <item x="206"/>
        <item x="200"/>
        <item x="235"/>
        <item x="137"/>
        <item x="32"/>
        <item x="100"/>
        <item x="93"/>
        <item x="122"/>
        <item x="123"/>
        <item x="128"/>
        <item x="218"/>
        <item x="138"/>
        <item x="2"/>
        <item x="229"/>
        <item x="209"/>
        <item x="54"/>
        <item x="231"/>
        <item x="193"/>
        <item x="239"/>
        <item x="24"/>
        <item x="230"/>
        <item x="158"/>
        <item x="152"/>
        <item x="46"/>
        <item x="7"/>
        <item x="117"/>
        <item x="70"/>
        <item x="38"/>
        <item x="197"/>
        <item x="241"/>
        <item x="64"/>
        <item x="188"/>
        <item x="130"/>
        <item x="162"/>
        <item x="60"/>
        <item x="104"/>
        <item x="22"/>
        <item x="179"/>
        <item x="169"/>
        <item t="default"/>
      </items>
    </pivotField>
    <pivotField showAll="0"/>
    <pivotField showAll="0"/>
    <pivotField dataField="1" showAll="0">
      <items count="15">
        <item x="6"/>
        <item x="0"/>
        <item x="2"/>
        <item x="1"/>
        <item x="4"/>
        <item x="7"/>
        <item x="5"/>
        <item x="8"/>
        <item x="3"/>
        <item x="11"/>
        <item x="10"/>
        <item x="12"/>
        <item x="13"/>
        <item x="9"/>
        <item t="default"/>
      </items>
    </pivotField>
    <pivotField showAll="0"/>
    <pivotField showAll="0"/>
    <pivotField showAll="0"/>
    <pivotField axis="axisRow" showAll="0" defaultSubtotal="0">
      <items count="14">
        <item x="0"/>
        <item n="1月" x="1"/>
        <item n="2月" x="2"/>
        <item n="3月" x="3"/>
        <item n="4月" x="4"/>
        <item n="5月" x="5"/>
        <item n="6月" x="6"/>
        <item n="7月" x="7"/>
        <item n="8月" x="8"/>
        <item n="9月" x="9"/>
        <item n="10月" x="10"/>
        <item n="11月" x="11"/>
        <item n="12月" x="12"/>
        <item x="13"/>
      </items>
    </pivotField>
    <pivotField showAll="0" defaultSubtotal="0"/>
    <pivotField showAll="0" defaultSubtotal="0">
      <items count="5">
        <item x="0"/>
        <item x="1"/>
        <item x="2"/>
        <item x="3"/>
        <item x="4"/>
      </items>
    </pivotField>
  </pivotFields>
  <rowFields count="1">
    <field x="11"/>
  </rowFields>
  <rowItems count="13">
    <i>
      <x v="1"/>
    </i>
    <i>
      <x v="2"/>
    </i>
    <i>
      <x v="3"/>
    </i>
    <i>
      <x v="4"/>
    </i>
    <i>
      <x v="5"/>
    </i>
    <i>
      <x v="6"/>
    </i>
    <i>
      <x v="7"/>
    </i>
    <i>
      <x v="8"/>
    </i>
    <i>
      <x v="9"/>
    </i>
    <i>
      <x v="10"/>
    </i>
    <i>
      <x v="11"/>
    </i>
    <i>
      <x v="12"/>
    </i>
    <i t="grand">
      <x/>
    </i>
  </rowItems>
  <colFields count="1">
    <field x="3"/>
  </colFields>
  <colItems count="4">
    <i>
      <x/>
    </i>
    <i>
      <x v="1"/>
    </i>
    <i>
      <x v="2"/>
    </i>
    <i t="grand">
      <x/>
    </i>
  </colItems>
  <dataFields count="1">
    <dataField name="平均值项：数量" fld="7" subtotal="average" baseField="11" baseItem="12" numFmtId="2"/>
  </dataFields>
  <formats count="21">
    <format dxfId="68">
      <pivotArea outline="0" collapsedLevelsAreSubtotals="1" fieldPosition="0"/>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3" type="button" dataOnly="0" labelOnly="1" outline="0" axis="axisCol" fieldPosition="0"/>
    </format>
    <format dxfId="63">
      <pivotArea type="topRight" dataOnly="0" labelOnly="1" outline="0" fieldPosition="0"/>
    </format>
    <format dxfId="62">
      <pivotArea field="11" type="button" dataOnly="0" labelOnly="1" outline="0" axis="axisRow" fieldPosition="0"/>
    </format>
    <format dxfId="61">
      <pivotArea dataOnly="0" labelOnly="1" fieldPosition="0">
        <references count="1">
          <reference field="11" count="12">
            <x v="1"/>
            <x v="2"/>
            <x v="3"/>
            <x v="4"/>
            <x v="5"/>
            <x v="6"/>
            <x v="7"/>
            <x v="8"/>
            <x v="9"/>
            <x v="10"/>
            <x v="11"/>
            <x v="12"/>
          </reference>
        </references>
      </pivotArea>
    </format>
    <format dxfId="60">
      <pivotArea dataOnly="0" labelOnly="1" grandRow="1" outline="0" fieldPosition="0"/>
    </format>
    <format dxfId="59">
      <pivotArea dataOnly="0" labelOnly="1" fieldPosition="0">
        <references count="1">
          <reference field="3" count="0"/>
        </references>
      </pivotArea>
    </format>
    <format dxfId="58">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3" type="button" dataOnly="0" labelOnly="1" outline="0" axis="axisCol" fieldPosition="0"/>
    </format>
    <format dxfId="47">
      <pivotArea type="topRight" dataOnly="0" labelOnly="1" outline="0" fieldPosition="0"/>
    </format>
    <format dxfId="46">
      <pivotArea field="11" type="button" dataOnly="0" labelOnly="1" outline="0" axis="axisRow" fieldPosition="0"/>
    </format>
    <format dxfId="45">
      <pivotArea dataOnly="0" labelOnly="1" fieldPosition="0">
        <references count="1">
          <reference field="11" count="12">
            <x v="1"/>
            <x v="2"/>
            <x v="3"/>
            <x v="4"/>
            <x v="5"/>
            <x v="6"/>
            <x v="7"/>
            <x v="8"/>
            <x v="9"/>
            <x v="10"/>
            <x v="11"/>
            <x v="12"/>
          </reference>
        </references>
      </pivotArea>
    </format>
    <format dxfId="44">
      <pivotArea dataOnly="0" labelOnly="1" grandRow="1" outline="0" fieldPosition="0"/>
    </format>
    <format dxfId="43">
      <pivotArea dataOnly="0" labelOnly="1" fieldPosition="0">
        <references count="1">
          <reference field="3" count="0"/>
        </references>
      </pivotArea>
    </format>
    <format dxfId="42">
      <pivotArea dataOnly="0" labelOnly="1" grandCol="1" outline="0" fieldPosition="0"/>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0D7923-79C1-48DD-829E-A4E566ACC67E}" name="数据透视表1" cacheId="5" applyNumberFormats="0" applyBorderFormats="0" applyFontFormats="0" applyPatternFormats="0" applyAlignmentFormats="0" applyWidthHeightFormats="1" dataCaption="值" grandTotalCaption="总计" updatedVersion="8" minRefreshableVersion="3" useAutoFormatting="1" itemPrintTitles="1" createdVersion="8" indent="0" outline="1" outlineData="1" multipleFieldFilters="0" rowHeaderCaption="订单日期">
  <location ref="A1:B14" firstHeaderRow="1" firstDataRow="1" firstDataCol="1"/>
  <pivotFields count="14">
    <pivotField showAll="0"/>
    <pivotField numFmtId="165" multipleItemSelectionAllowed="1" showAll="0">
      <items count="999">
        <item x="350"/>
        <item x="352"/>
        <item x="351"/>
        <item x="381"/>
        <item x="385"/>
        <item x="379"/>
        <item x="380"/>
        <item x="383"/>
        <item x="384"/>
        <item x="382"/>
        <item x="36"/>
        <item x="450"/>
        <item x="922"/>
        <item x="924"/>
        <item x="921"/>
        <item x="920"/>
        <item x="923"/>
        <item x="586"/>
        <item x="736"/>
        <item x="626"/>
        <item x="623"/>
        <item x="625"/>
        <item x="627"/>
        <item x="624"/>
        <item x="264"/>
        <item x="265"/>
        <item x="38"/>
        <item x="39"/>
        <item x="37"/>
        <item x="723"/>
        <item x="722"/>
        <item x="151"/>
        <item x="150"/>
        <item x="844"/>
        <item x="593"/>
        <item x="592"/>
        <item x="590"/>
        <item x="591"/>
        <item x="588"/>
        <item x="589"/>
        <item x="804"/>
        <item x="803"/>
        <item x="802"/>
        <item x="633"/>
        <item x="634"/>
        <item x="862"/>
        <item x="861"/>
        <item x="860"/>
        <item x="863"/>
        <item x="864"/>
        <item x="866"/>
        <item x="865"/>
        <item x="58"/>
        <item x="987"/>
        <item x="988"/>
        <item x="989"/>
        <item x="675"/>
        <item x="677"/>
        <item x="676"/>
        <item x="248"/>
        <item x="247"/>
        <item x="415"/>
        <item x="334"/>
        <item x="249"/>
        <item x="333"/>
        <item x="690"/>
        <item x="689"/>
        <item x="688"/>
        <item x="411"/>
        <item x="412"/>
        <item x="409"/>
        <item x="413"/>
        <item x="410"/>
        <item x="507"/>
        <item x="408"/>
        <item x="108"/>
        <item x="107"/>
        <item x="274"/>
        <item x="275"/>
        <item x="148"/>
        <item x="147"/>
        <item x="146"/>
        <item x="479"/>
        <item x="584"/>
        <item x="585"/>
        <item x="216"/>
        <item x="215"/>
        <item x="217"/>
        <item x="218"/>
        <item x="171"/>
        <item x="317"/>
        <item x="315"/>
        <item x="316"/>
        <item x="145"/>
        <item x="227"/>
        <item x="228"/>
        <item x="238"/>
        <item x="132"/>
        <item x="131"/>
        <item x="394"/>
        <item x="395"/>
        <item x="636"/>
        <item x="236"/>
        <item x="34"/>
        <item x="735"/>
        <item x="16"/>
        <item x="15"/>
        <item x="846"/>
        <item x="441"/>
        <item x="447"/>
        <item x="444"/>
        <item x="445"/>
        <item x="446"/>
        <item x="443"/>
        <item x="442"/>
        <item x="847"/>
        <item x="691"/>
        <item x="300"/>
        <item x="303"/>
        <item x="301"/>
        <item x="305"/>
        <item x="304"/>
        <item x="302"/>
        <item x="206"/>
        <item x="207"/>
        <item x="473"/>
        <item x="242"/>
        <item x="373"/>
        <item x="372"/>
        <item x="374"/>
        <item x="397"/>
        <item x="966"/>
        <item x="964"/>
        <item x="962"/>
        <item x="965"/>
        <item x="954"/>
        <item x="963"/>
        <item x="967"/>
        <item x="953"/>
        <item x="495"/>
        <item x="496"/>
        <item x="497"/>
        <item x="498"/>
        <item x="501"/>
        <item x="499"/>
        <item x="500"/>
        <item x="972"/>
        <item x="42"/>
        <item x="261"/>
        <item x="260"/>
        <item x="262"/>
        <item x="263"/>
        <item x="528"/>
        <item x="341"/>
        <item x="55"/>
        <item x="338"/>
        <item x="56"/>
        <item x="339"/>
        <item x="57"/>
        <item x="340"/>
        <item x="337"/>
        <item x="942"/>
        <item x="133"/>
        <item x="326"/>
        <item x="731"/>
        <item x="730"/>
        <item x="729"/>
        <item x="414"/>
        <item x="111"/>
        <item x="835"/>
        <item x="568"/>
        <item x="570"/>
        <item x="569"/>
        <item x="738"/>
        <item x="817"/>
        <item x="173"/>
        <item x="174"/>
        <item x="175"/>
        <item x="885"/>
        <item x="911"/>
        <item x="786"/>
        <item x="910"/>
        <item x="909"/>
        <item x="912"/>
        <item x="458"/>
        <item x="459"/>
        <item x="717"/>
        <item x="716"/>
        <item x="718"/>
        <item x="115"/>
        <item x="116"/>
        <item x="918"/>
        <item x="919"/>
        <item x="783"/>
        <item x="996"/>
        <item x="267"/>
        <item x="644"/>
        <item x="645"/>
        <item x="646"/>
        <item x="309"/>
        <item x="310"/>
        <item x="327"/>
        <item x="139"/>
        <item x="138"/>
        <item x="587"/>
        <item x="311"/>
        <item x="531"/>
        <item x="532"/>
        <item x="257"/>
        <item x="256"/>
        <item x="956"/>
        <item x="957"/>
        <item x="0"/>
        <item x="873"/>
        <item x="874"/>
        <item x="203"/>
        <item x="470"/>
        <item x="469"/>
        <item x="915"/>
        <item x="153"/>
        <item x="529"/>
        <item x="177"/>
        <item x="530"/>
        <item x="178"/>
        <item x="763"/>
        <item x="164"/>
        <item x="170"/>
        <item x="166"/>
        <item x="163"/>
        <item x="167"/>
        <item x="934"/>
        <item x="165"/>
        <item x="762"/>
        <item x="169"/>
        <item x="161"/>
        <item x="162"/>
        <item x="168"/>
        <item x="875"/>
        <item x="198"/>
        <item x="365"/>
        <item x="158"/>
        <item x="159"/>
        <item x="702"/>
        <item x="157"/>
        <item x="700"/>
        <item x="112"/>
        <item x="505"/>
        <item x="96"/>
        <item x="97"/>
        <item x="93"/>
        <item x="94"/>
        <item x="95"/>
        <item x="204"/>
        <item x="205"/>
        <item x="325"/>
        <item x="604"/>
        <item x="605"/>
        <item x="86"/>
        <item x="879"/>
        <item x="878"/>
        <item x="11"/>
        <item x="849"/>
        <item x="976"/>
        <item x="975"/>
        <item x="834"/>
        <item x="833"/>
        <item x="710"/>
        <item x="707"/>
        <item x="709"/>
        <item x="711"/>
        <item x="708"/>
        <item x="429"/>
        <item x="640"/>
        <item x="641"/>
        <item x="743"/>
        <item x="740"/>
        <item x="739"/>
        <item x="742"/>
        <item x="745"/>
        <item x="2"/>
        <item x="1"/>
        <item x="741"/>
        <item x="744"/>
        <item x="747"/>
        <item x="49"/>
        <item x="183"/>
        <item x="50"/>
        <item x="51"/>
        <item x="665"/>
        <item x="666"/>
        <item x="595"/>
        <item x="597"/>
        <item x="596"/>
        <item x="594"/>
        <item x="609"/>
        <item x="931"/>
        <item x="933"/>
        <item x="608"/>
        <item x="607"/>
        <item x="932"/>
        <item x="606"/>
        <item x="930"/>
        <item x="601"/>
        <item x="600"/>
        <item x="522"/>
        <item x="551"/>
        <item x="797"/>
        <item x="796"/>
        <item x="703"/>
        <item x="484"/>
        <item x="485"/>
        <item x="980"/>
        <item x="876"/>
        <item x="232"/>
        <item x="231"/>
        <item x="233"/>
        <item x="378"/>
        <item x="144"/>
        <item x="318"/>
        <item x="320"/>
        <item x="321"/>
        <item x="319"/>
        <item x="322"/>
        <item x="769"/>
        <item x="746"/>
        <item x="239"/>
        <item x="398"/>
        <item x="400"/>
        <item x="399"/>
        <item x="917"/>
        <item x="916"/>
        <item x="853"/>
        <item x="852"/>
        <item x="851"/>
        <item x="855"/>
        <item x="856"/>
        <item x="858"/>
        <item x="857"/>
        <item x="854"/>
        <item x="859"/>
        <item x="768"/>
        <item x="820"/>
        <item x="819"/>
        <item x="821"/>
        <item x="948"/>
        <item x="947"/>
        <item x="566"/>
        <item x="564"/>
        <item x="565"/>
        <item x="950"/>
        <item x="949"/>
        <item x="567"/>
        <item x="519"/>
        <item x="416"/>
        <item x="420"/>
        <item x="418"/>
        <item x="417"/>
        <item x="419"/>
        <item x="952"/>
        <item x="815"/>
        <item x="814"/>
        <item x="850"/>
        <item x="813"/>
        <item x="816"/>
        <item x="613"/>
        <item x="612"/>
        <item x="611"/>
        <item x="610"/>
        <item x="297"/>
        <item x="477"/>
        <item x="475"/>
        <item x="476"/>
        <item x="474"/>
        <item x="181"/>
        <item x="388"/>
        <item x="386"/>
        <item x="387"/>
        <item x="128"/>
        <item x="129"/>
        <item x="182"/>
        <item x="186"/>
        <item x="109"/>
        <item x="185"/>
        <item x="184"/>
        <item x="928"/>
        <item x="929"/>
        <item x="939"/>
        <item x="64"/>
        <item x="296"/>
        <item x="547"/>
        <item x="546"/>
        <item x="280"/>
        <item x="284"/>
        <item x="282"/>
        <item x="283"/>
        <item x="281"/>
        <item x="669"/>
        <item x="229"/>
        <item x="230"/>
        <item x="764"/>
        <item x="668"/>
        <item x="460"/>
        <item x="461"/>
        <item x="692"/>
        <item x="693"/>
        <item x="508"/>
        <item x="618"/>
        <item x="616"/>
        <item x="617"/>
        <item x="619"/>
        <item x="291"/>
        <item x="286"/>
        <item x="289"/>
        <item x="287"/>
        <item x="285"/>
        <item x="292"/>
        <item x="290"/>
        <item x="288"/>
        <item x="33"/>
        <item x="32"/>
        <item x="898"/>
        <item x="20"/>
        <item x="18"/>
        <item x="21"/>
        <item x="246"/>
        <item x="22"/>
        <item x="23"/>
        <item x="245"/>
        <item x="17"/>
        <item x="19"/>
        <item x="251"/>
        <item x="252"/>
        <item x="632"/>
        <item x="943"/>
        <item x="448"/>
        <item x="997"/>
        <item x="366"/>
        <item x="367"/>
        <item x="368"/>
        <item x="369"/>
        <item x="647"/>
        <item x="425"/>
        <item x="423"/>
        <item x="424"/>
        <item x="527"/>
        <item x="526"/>
        <item x="525"/>
        <item x="648"/>
        <item x="270"/>
        <item x="271"/>
        <item x="360"/>
        <item x="986"/>
        <item x="463"/>
        <item x="464"/>
        <item x="983"/>
        <item x="984"/>
        <item x="985"/>
        <item x="481"/>
        <item x="432"/>
        <item x="430"/>
        <item x="431"/>
        <item x="837"/>
        <item x="102"/>
        <item x="103"/>
        <item x="104"/>
        <item x="73"/>
        <item x="74"/>
        <item x="72"/>
        <item x="848"/>
        <item x="155"/>
        <item x="67"/>
        <item x="156"/>
        <item x="66"/>
        <item x="771"/>
        <item x="772"/>
        <item x="472"/>
        <item x="471"/>
        <item x="308"/>
        <item x="358"/>
        <item x="357"/>
        <item x="355"/>
        <item x="354"/>
        <item x="187"/>
        <item x="359"/>
        <item x="673"/>
        <item x="672"/>
        <item x="356"/>
        <item x="188"/>
        <item x="572"/>
        <item x="573"/>
        <item x="575"/>
        <item x="574"/>
        <item x="421"/>
        <item x="704"/>
        <item x="908"/>
        <item x="678"/>
        <item x="468"/>
        <item x="467"/>
        <item x="466"/>
        <item x="465"/>
        <item x="679"/>
        <item x="98"/>
        <item x="422"/>
        <item x="824"/>
        <item x="576"/>
        <item x="822"/>
        <item x="823"/>
        <item x="524"/>
        <item x="101"/>
        <item x="877"/>
        <item x="89"/>
        <item x="92"/>
        <item x="90"/>
        <item x="770"/>
        <item x="91"/>
        <item x="59"/>
        <item x="462"/>
        <item x="502"/>
        <item x="503"/>
        <item x="347"/>
        <item x="346"/>
        <item x="571"/>
        <item x="556"/>
        <item x="396"/>
        <item x="788"/>
        <item x="277"/>
        <item x="456"/>
        <item x="455"/>
        <item x="727"/>
        <item x="276"/>
        <item x="599"/>
        <item x="598"/>
        <item x="312"/>
        <item x="272"/>
        <item x="314"/>
        <item x="273"/>
        <item x="313"/>
        <item x="143"/>
        <item x="141"/>
        <item x="831"/>
        <item x="142"/>
        <item x="557"/>
        <item x="914"/>
        <item x="789"/>
        <item x="3"/>
        <item x="792"/>
        <item x="791"/>
        <item x="31"/>
        <item x="790"/>
        <item x="88"/>
        <item x="706"/>
        <item x="235"/>
        <item x="65"/>
        <item x="870"/>
        <item x="867"/>
        <item x="869"/>
        <item x="906"/>
        <item x="907"/>
        <item x="868"/>
        <item x="10"/>
        <item x="76"/>
        <item x="78"/>
        <item x="390"/>
        <item x="389"/>
        <item x="787"/>
        <item x="77"/>
        <item x="126"/>
        <item x="685"/>
        <item x="191"/>
        <item x="194"/>
        <item x="686"/>
        <item x="193"/>
        <item x="190"/>
        <item x="195"/>
        <item x="192"/>
        <item x="830"/>
        <item x="753"/>
        <item x="754"/>
        <item x="752"/>
        <item x="755"/>
        <item x="482"/>
        <item x="483"/>
        <item x="766"/>
        <item x="765"/>
        <item x="767"/>
        <item x="899"/>
        <item x="202"/>
        <item x="250"/>
        <item x="970"/>
        <item x="969"/>
        <item x="518"/>
        <item x="99"/>
        <item x="100"/>
        <item x="453"/>
        <item x="451"/>
        <item x="452"/>
        <item x="454"/>
        <item x="737"/>
        <item x="631"/>
        <item x="125"/>
        <item x="137"/>
        <item x="438"/>
        <item x="440"/>
        <item x="437"/>
        <item x="439"/>
        <item x="435"/>
        <item x="436"/>
        <item x="979"/>
        <item x="714"/>
        <item x="713"/>
        <item x="715"/>
        <item x="197"/>
        <item x="196"/>
        <item x="994"/>
        <item x="993"/>
        <item x="995"/>
        <item x="842"/>
        <item x="840"/>
        <item x="843"/>
        <item x="839"/>
        <item x="841"/>
        <item x="172"/>
        <item x="629"/>
        <item x="628"/>
        <item x="630"/>
        <item x="208"/>
        <item x="209"/>
        <item x="258"/>
        <item x="259"/>
        <item x="560"/>
        <item x="733"/>
        <item x="734"/>
        <item x="805"/>
        <item x="946"/>
        <item x="974"/>
        <item x="973"/>
        <item x="810"/>
        <item x="961"/>
        <item x="812"/>
        <item x="808"/>
        <item x="811"/>
        <item x="809"/>
        <item x="255"/>
        <item x="189"/>
        <item x="160"/>
        <item x="268"/>
        <item x="13"/>
        <item x="14"/>
        <item x="12"/>
        <item x="925"/>
        <item x="836"/>
        <item x="872"/>
        <item x="959"/>
        <item x="871"/>
        <item x="558"/>
        <item x="559"/>
        <item x="904"/>
        <item x="905"/>
        <item x="903"/>
        <item x="695"/>
        <item x="698"/>
        <item x="696"/>
        <item x="699"/>
        <item x="697"/>
        <item x="581"/>
        <item x="582"/>
        <item x="579"/>
        <item x="583"/>
        <item x="578"/>
        <item x="577"/>
        <item x="580"/>
        <item x="944"/>
        <item x="782"/>
        <item x="951"/>
        <item x="130"/>
        <item x="243"/>
        <item x="244"/>
        <item x="955"/>
        <item x="971"/>
        <item x="960"/>
        <item x="295"/>
        <item x="294"/>
        <item x="807"/>
        <item x="82"/>
        <item x="83"/>
        <item x="535"/>
        <item x="533"/>
        <item x="534"/>
        <item x="799"/>
        <item x="800"/>
        <item x="363"/>
        <item x="364"/>
        <item x="826"/>
        <item x="828"/>
        <item x="724"/>
        <item x="827"/>
        <item x="825"/>
        <item x="829"/>
        <item x="701"/>
        <item x="680"/>
        <item x="832"/>
        <item x="681"/>
        <item x="70"/>
        <item x="71"/>
        <item x="480"/>
        <item x="328"/>
        <item x="332"/>
        <item x="637"/>
        <item x="638"/>
        <item x="639"/>
        <item x="362"/>
        <item x="361"/>
        <item x="726"/>
        <item x="69"/>
        <item x="392"/>
        <item x="393"/>
        <item x="958"/>
        <item x="793"/>
        <item x="794"/>
        <item x="784"/>
        <item x="785"/>
        <item x="136"/>
        <item x="135"/>
        <item x="806"/>
        <item x="134"/>
        <item x="926"/>
        <item x="927"/>
        <item x="118"/>
        <item x="119"/>
        <item x="121"/>
        <item x="120"/>
        <item x="117"/>
        <item x="123"/>
        <item x="122"/>
        <item x="124"/>
        <item x="890"/>
        <item x="888"/>
        <item x="838"/>
        <item x="889"/>
        <item x="105"/>
        <item x="106"/>
        <item x="516"/>
        <item x="517"/>
        <item x="149"/>
        <item x="8"/>
        <item x="5"/>
        <item x="6"/>
        <item x="9"/>
        <item x="7"/>
        <item x="667"/>
        <item x="520"/>
        <item x="427"/>
        <item x="426"/>
        <item x="968"/>
        <item x="886"/>
        <item x="615"/>
        <item x="401"/>
        <item x="406"/>
        <item x="657"/>
        <item x="663"/>
        <item x="659"/>
        <item x="661"/>
        <item x="662"/>
        <item x="656"/>
        <item x="664"/>
        <item x="660"/>
        <item x="402"/>
        <item x="407"/>
        <item x="404"/>
        <item x="405"/>
        <item x="403"/>
        <item x="658"/>
        <item x="894"/>
        <item x="896"/>
        <item x="895"/>
        <item x="897"/>
        <item x="643"/>
        <item x="642"/>
        <item x="457"/>
        <item x="152"/>
        <item x="684"/>
        <item x="773"/>
        <item x="774"/>
        <item x="775"/>
        <item x="550"/>
        <item x="777"/>
        <item x="549"/>
        <item x="779"/>
        <item x="778"/>
        <item x="776"/>
        <item x="548"/>
        <item x="552"/>
        <item x="990"/>
        <item x="937"/>
        <item x="936"/>
        <item x="349"/>
        <item x="348"/>
        <item x="603"/>
        <item x="602"/>
        <item x="945"/>
        <item x="544"/>
        <item x="543"/>
        <item x="545"/>
        <item x="293"/>
        <item x="63"/>
        <item x="62"/>
        <item x="683"/>
        <item x="682"/>
        <item x="226"/>
        <item x="220"/>
        <item x="221"/>
        <item x="219"/>
        <item x="223"/>
        <item x="222"/>
        <item x="225"/>
        <item x="224"/>
        <item x="705"/>
        <item x="237"/>
        <item x="201"/>
        <item x="200"/>
        <item x="75"/>
        <item x="801"/>
        <item x="478"/>
        <item x="449"/>
        <item x="324"/>
        <item x="371"/>
        <item x="370"/>
        <item x="760"/>
        <item x="758"/>
        <item x="759"/>
        <item x="761"/>
        <item x="523"/>
        <item x="553"/>
        <item x="554"/>
        <item x="555"/>
        <item x="750"/>
        <item x="749"/>
        <item x="751"/>
        <item x="748"/>
        <item x="127"/>
        <item x="176"/>
        <item x="35"/>
        <item x="253"/>
        <item x="254"/>
        <item x="991"/>
        <item x="780"/>
        <item x="781"/>
        <item x="68"/>
        <item x="79"/>
        <item x="80"/>
        <item x="509"/>
        <item x="510"/>
        <item x="323"/>
        <item x="234"/>
        <item x="306"/>
        <item x="307"/>
        <item x="342"/>
        <item x="674"/>
        <item x="938"/>
        <item x="211"/>
        <item x="210"/>
        <item x="353"/>
        <item x="893"/>
        <item x="892"/>
        <item x="891"/>
        <item x="511"/>
        <item x="140"/>
        <item x="913"/>
        <item x="298"/>
        <item x="299"/>
        <item x="279"/>
        <item x="278"/>
        <item x="154"/>
        <item x="504"/>
        <item x="981"/>
        <item x="982"/>
        <item x="513"/>
        <item x="515"/>
        <item x="512"/>
        <item x="514"/>
        <item x="845"/>
        <item x="329"/>
        <item x="330"/>
        <item x="331"/>
        <item x="795"/>
        <item x="43"/>
        <item x="44"/>
        <item x="52"/>
        <item x="757"/>
        <item x="53"/>
        <item x="180"/>
        <item x="756"/>
        <item x="54"/>
        <item x="433"/>
        <item x="434"/>
        <item x="650"/>
        <item x="651"/>
        <item x="652"/>
        <item x="649"/>
        <item x="4"/>
        <item x="880"/>
        <item x="391"/>
        <item x="85"/>
        <item x="84"/>
        <item x="428"/>
        <item x="653"/>
        <item x="25"/>
        <item x="61"/>
        <item x="24"/>
        <item x="30"/>
        <item x="27"/>
        <item x="29"/>
        <item x="28"/>
        <item x="26"/>
        <item x="992"/>
        <item x="720"/>
        <item x="940"/>
        <item x="941"/>
        <item x="721"/>
        <item x="635"/>
        <item x="47"/>
        <item x="48"/>
        <item x="46"/>
        <item x="506"/>
        <item x="199"/>
        <item x="521"/>
        <item x="113"/>
        <item x="882"/>
        <item x="114"/>
        <item x="881"/>
        <item x="883"/>
        <item x="614"/>
        <item x="887"/>
        <item x="687"/>
        <item x="40"/>
        <item x="240"/>
        <item x="241"/>
        <item x="884"/>
        <item x="725"/>
        <item x="671"/>
        <item x="670"/>
        <item x="540"/>
        <item x="539"/>
        <item x="537"/>
        <item x="345"/>
        <item x="343"/>
        <item x="536"/>
        <item x="344"/>
        <item x="538"/>
        <item x="490"/>
        <item x="488"/>
        <item x="489"/>
        <item x="487"/>
        <item x="486"/>
        <item x="45"/>
        <item x="269"/>
        <item x="41"/>
        <item x="87"/>
        <item x="375"/>
        <item x="621"/>
        <item x="620"/>
        <item x="798"/>
        <item x="622"/>
        <item x="212"/>
        <item x="214"/>
        <item x="110"/>
        <item x="213"/>
        <item x="902"/>
        <item x="900"/>
        <item x="901"/>
        <item x="81"/>
        <item x="728"/>
        <item x="493"/>
        <item x="494"/>
        <item x="491"/>
        <item x="492"/>
        <item x="266"/>
        <item x="541"/>
        <item x="542"/>
        <item x="335"/>
        <item x="336"/>
        <item x="561"/>
        <item x="732"/>
        <item x="179"/>
        <item x="712"/>
        <item x="377"/>
        <item x="376"/>
        <item x="818"/>
        <item x="719"/>
        <item x="655"/>
        <item x="654"/>
        <item x="60"/>
        <item x="694"/>
        <item x="978"/>
        <item x="977"/>
        <item x="935"/>
        <item x="563"/>
        <item x="562"/>
        <item t="default"/>
      </items>
    </pivotField>
    <pivotField numFmtId="165" showAll="0"/>
    <pivotField showAll="0"/>
    <pivotField showAll="0">
      <items count="250">
        <item x="43"/>
        <item x="180"/>
        <item x="9"/>
        <item x="157"/>
        <item x="226"/>
        <item x="57"/>
        <item x="240"/>
        <item x="147"/>
        <item x="88"/>
        <item x="153"/>
        <item x="167"/>
        <item x="89"/>
        <item x="202"/>
        <item x="219"/>
        <item x="213"/>
        <item x="248"/>
        <item x="48"/>
        <item x="127"/>
        <item x="174"/>
        <item x="15"/>
        <item x="245"/>
        <item x="1"/>
        <item x="115"/>
        <item x="74"/>
        <item x="31"/>
        <item x="40"/>
        <item x="181"/>
        <item x="18"/>
        <item x="164"/>
        <item x="168"/>
        <item x="13"/>
        <item x="119"/>
        <item x="34"/>
        <item x="133"/>
        <item x="19"/>
        <item x="126"/>
        <item x="102"/>
        <item x="84"/>
        <item x="225"/>
        <item x="227"/>
        <item x="190"/>
        <item x="6"/>
        <item x="145"/>
        <item x="11"/>
        <item x="114"/>
        <item x="166"/>
        <item x="62"/>
        <item x="146"/>
        <item x="106"/>
        <item x="136"/>
        <item x="155"/>
        <item x="134"/>
        <item x="139"/>
        <item x="42"/>
        <item x="141"/>
        <item x="28"/>
        <item x="12"/>
        <item x="228"/>
        <item x="237"/>
        <item x="151"/>
        <item x="63"/>
        <item x="170"/>
        <item x="110"/>
        <item x="99"/>
        <item x="112"/>
        <item x="207"/>
        <item x="217"/>
        <item x="14"/>
        <item x="56"/>
        <item x="244"/>
        <item x="120"/>
        <item x="246"/>
        <item x="243"/>
        <item x="173"/>
        <item x="52"/>
        <item x="203"/>
        <item x="171"/>
        <item x="83"/>
        <item x="124"/>
        <item x="129"/>
        <item x="72"/>
        <item x="77"/>
        <item x="125"/>
        <item x="92"/>
        <item x="233"/>
        <item x="116"/>
        <item x="191"/>
        <item x="53"/>
        <item x="234"/>
        <item x="199"/>
        <item x="8"/>
        <item x="67"/>
        <item x="224"/>
        <item x="103"/>
        <item x="135"/>
        <item x="194"/>
        <item x="192"/>
        <item x="76"/>
        <item x="44"/>
        <item x="196"/>
        <item x="65"/>
        <item x="172"/>
        <item x="211"/>
        <item x="87"/>
        <item x="47"/>
        <item x="223"/>
        <item x="214"/>
        <item x="98"/>
        <item x="101"/>
        <item x="210"/>
        <item x="121"/>
        <item x="55"/>
        <item x="198"/>
        <item x="4"/>
        <item x="26"/>
        <item x="221"/>
        <item x="82"/>
        <item x="189"/>
        <item x="0"/>
        <item x="79"/>
        <item x="154"/>
        <item x="45"/>
        <item x="222"/>
        <item x="184"/>
        <item x="159"/>
        <item x="132"/>
        <item x="163"/>
        <item x="33"/>
        <item x="5"/>
        <item x="232"/>
        <item x="37"/>
        <item x="118"/>
        <item x="3"/>
        <item x="212"/>
        <item x="220"/>
        <item x="21"/>
        <item x="81"/>
        <item x="41"/>
        <item x="182"/>
        <item x="96"/>
        <item x="150"/>
        <item x="95"/>
        <item x="161"/>
        <item x="185"/>
        <item x="66"/>
        <item x="142"/>
        <item x="78"/>
        <item x="29"/>
        <item x="175"/>
        <item x="69"/>
        <item x="58"/>
        <item x="204"/>
        <item x="109"/>
        <item x="144"/>
        <item x="16"/>
        <item x="71"/>
        <item x="10"/>
        <item x="61"/>
        <item x="176"/>
        <item x="27"/>
        <item x="30"/>
        <item x="90"/>
        <item x="148"/>
        <item x="80"/>
        <item x="94"/>
        <item x="156"/>
        <item x="183"/>
        <item x="108"/>
        <item x="178"/>
        <item x="113"/>
        <item x="50"/>
        <item x="111"/>
        <item x="195"/>
        <item x="39"/>
        <item x="177"/>
        <item x="73"/>
        <item x="160"/>
        <item x="208"/>
        <item x="236"/>
        <item x="49"/>
        <item x="86"/>
        <item x="36"/>
        <item x="51"/>
        <item x="186"/>
        <item x="131"/>
        <item x="17"/>
        <item x="97"/>
        <item x="75"/>
        <item x="165"/>
        <item x="91"/>
        <item x="242"/>
        <item x="247"/>
        <item x="149"/>
        <item x="20"/>
        <item x="140"/>
        <item x="59"/>
        <item x="187"/>
        <item x="35"/>
        <item x="23"/>
        <item x="143"/>
        <item x="238"/>
        <item x="215"/>
        <item x="205"/>
        <item x="216"/>
        <item x="68"/>
        <item x="85"/>
        <item x="201"/>
        <item x="25"/>
        <item x="105"/>
        <item x="107"/>
        <item x="206"/>
        <item x="200"/>
        <item x="235"/>
        <item x="137"/>
        <item x="32"/>
        <item x="100"/>
        <item x="93"/>
        <item x="122"/>
        <item x="123"/>
        <item x="128"/>
        <item x="218"/>
        <item x="138"/>
        <item x="2"/>
        <item x="229"/>
        <item x="209"/>
        <item x="54"/>
        <item x="231"/>
        <item x="193"/>
        <item x="239"/>
        <item x="24"/>
        <item x="230"/>
        <item x="158"/>
        <item x="152"/>
        <item x="46"/>
        <item x="7"/>
        <item x="117"/>
        <item x="70"/>
        <item x="38"/>
        <item x="197"/>
        <item x="241"/>
        <item x="64"/>
        <item x="188"/>
        <item x="130"/>
        <item x="162"/>
        <item x="60"/>
        <item x="104"/>
        <item x="22"/>
        <item x="179"/>
        <item x="169"/>
        <item t="default"/>
      </items>
    </pivotField>
    <pivotField showAll="0"/>
    <pivotField showAll="0"/>
    <pivotField dataField="1" showAll="0"/>
    <pivotField showAll="0"/>
    <pivotField showAll="0"/>
    <pivotField showAll="0"/>
    <pivotField axis="axisRow" multipleItemSelectionAllowed="1" showAll="0">
      <items count="15">
        <item sd="0" x="0"/>
        <item n="1月" sd="0" x="1"/>
        <item n="2月" sd="0" x="2"/>
        <item n="3月" sd="0" x="3"/>
        <item n="4月" sd="0" x="4"/>
        <item n="5月" sd="0" x="5"/>
        <item n="6月" sd="0" x="6"/>
        <item n="7月" sd="0" x="7"/>
        <item n="8月" sd="0" x="8"/>
        <item n="9月" sd="0" x="9"/>
        <item n="10月" sd="0" x="10"/>
        <item n="11月" sd="0" x="11"/>
        <item n="12月"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求和项:数量" fld="7" baseField="0" baseItem="0"/>
  </dataFields>
  <formats count="12">
    <format dxfId="57">
      <pivotArea type="all" dataOnly="0" outline="0" fieldPosition="0"/>
    </format>
    <format dxfId="56">
      <pivotArea outline="0" collapsedLevelsAreSubtotals="1" fieldPosition="0"/>
    </format>
    <format dxfId="55">
      <pivotArea field="11" type="button" dataOnly="0" labelOnly="1" outline="0" axis="axisRow" fieldPosition="0"/>
    </format>
    <format dxfId="54">
      <pivotArea dataOnly="0" labelOnly="1" fieldPosition="0">
        <references count="1">
          <reference field="11" count="12">
            <x v="1"/>
            <x v="2"/>
            <x v="3"/>
            <x v="4"/>
            <x v="5"/>
            <x v="6"/>
            <x v="7"/>
            <x v="8"/>
            <x v="9"/>
            <x v="10"/>
            <x v="11"/>
            <x v="12"/>
          </reference>
        </references>
      </pivotArea>
    </format>
    <format dxfId="53">
      <pivotArea dataOnly="0" labelOnly="1" grandRow="1" outline="0" fieldPosition="0"/>
    </format>
    <format dxfId="52">
      <pivotArea dataOnly="0" labelOnly="1" outline="0" axis="axisValues" fieldPosition="0"/>
    </format>
    <format dxfId="41">
      <pivotArea type="all" dataOnly="0" outline="0" fieldPosition="0"/>
    </format>
    <format dxfId="40">
      <pivotArea outline="0" collapsedLevelsAreSubtotals="1" fieldPosition="0"/>
    </format>
    <format dxfId="39">
      <pivotArea field="11" type="button" dataOnly="0" labelOnly="1" outline="0" axis="axisRow" fieldPosition="0"/>
    </format>
    <format dxfId="38">
      <pivotArea dataOnly="0" labelOnly="1" fieldPosition="0">
        <references count="1">
          <reference field="11" count="12">
            <x v="1"/>
            <x v="2"/>
            <x v="3"/>
            <x v="4"/>
            <x v="5"/>
            <x v="6"/>
            <x v="7"/>
            <x v="8"/>
            <x v="9"/>
            <x v="10"/>
            <x v="11"/>
            <x v="12"/>
          </reference>
        </references>
      </pivotArea>
    </format>
    <format dxfId="37">
      <pivotArea dataOnly="0" labelOnly="1" grandRow="1" outline="0" fieldPosition="0"/>
    </format>
    <format dxfId="36">
      <pivotArea dataOnly="0" labelOnly="1" outline="0" axis="axisValues" fieldPosition="0"/>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altText="订单日期"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城市" xr10:uid="{AB49B98F-64BA-42F5-9F22-8D4B41AA5916}" sourceName="城市">
  <pivotTables>
    <pivotTable tabId="12" name="数据透视表1"/>
  </pivotTables>
  <data>
    <tabular pivotCacheId="294113541">
      <items count="249">
        <i x="43" s="1"/>
        <i x="180" s="1"/>
        <i x="9" s="1"/>
        <i x="157" s="1"/>
        <i x="226" s="1"/>
        <i x="57" s="1"/>
        <i x="240" s="1"/>
        <i x="147" s="1"/>
        <i x="88" s="1"/>
        <i x="153" s="1"/>
        <i x="167" s="1"/>
        <i x="89" s="1"/>
        <i x="202" s="1"/>
        <i x="219" s="1"/>
        <i x="213" s="1"/>
        <i x="248" s="1"/>
        <i x="48" s="1"/>
        <i x="127" s="1"/>
        <i x="174" s="1"/>
        <i x="15" s="1"/>
        <i x="245" s="1"/>
        <i x="1" s="1"/>
        <i x="115" s="1"/>
        <i x="74" s="1"/>
        <i x="31" s="1"/>
        <i x="40" s="1"/>
        <i x="181" s="1"/>
        <i x="18" s="1"/>
        <i x="164" s="1"/>
        <i x="168" s="1"/>
        <i x="13" s="1"/>
        <i x="119" s="1"/>
        <i x="34" s="1"/>
        <i x="133" s="1"/>
        <i x="19" s="1"/>
        <i x="126" s="1"/>
        <i x="102" s="1"/>
        <i x="84" s="1"/>
        <i x="225" s="1"/>
        <i x="227" s="1"/>
        <i x="190" s="1"/>
        <i x="6" s="1"/>
        <i x="145" s="1"/>
        <i x="11" s="1"/>
        <i x="114" s="1"/>
        <i x="166" s="1"/>
        <i x="62" s="1"/>
        <i x="146" s="1"/>
        <i x="106" s="1"/>
        <i x="136" s="1"/>
        <i x="155" s="1"/>
        <i x="134" s="1"/>
        <i x="139" s="1"/>
        <i x="42" s="1"/>
        <i x="141" s="1"/>
        <i x="28" s="1"/>
        <i x="12" s="1"/>
        <i x="228" s="1"/>
        <i x="237" s="1"/>
        <i x="151" s="1"/>
        <i x="63" s="1"/>
        <i x="170" s="1"/>
        <i x="110" s="1"/>
        <i x="99" s="1"/>
        <i x="112" s="1"/>
        <i x="207" s="1"/>
        <i x="217" s="1"/>
        <i x="14" s="1"/>
        <i x="56" s="1"/>
        <i x="244" s="1"/>
        <i x="120" s="1"/>
        <i x="246" s="1"/>
        <i x="243" s="1"/>
        <i x="173" s="1"/>
        <i x="52" s="1"/>
        <i x="203" s="1"/>
        <i x="171" s="1"/>
        <i x="83" s="1"/>
        <i x="124" s="1"/>
        <i x="129" s="1"/>
        <i x="72" s="1"/>
        <i x="77" s="1"/>
        <i x="125" s="1"/>
        <i x="92" s="1"/>
        <i x="233" s="1"/>
        <i x="116" s="1"/>
        <i x="191" s="1"/>
        <i x="53" s="1"/>
        <i x="234" s="1"/>
        <i x="199" s="1"/>
        <i x="8" s="1"/>
        <i x="67" s="1"/>
        <i x="224" s="1"/>
        <i x="103" s="1"/>
        <i x="135" s="1"/>
        <i x="194" s="1"/>
        <i x="192" s="1"/>
        <i x="76" s="1"/>
        <i x="44" s="1"/>
        <i x="196" s="1"/>
        <i x="65" s="1"/>
        <i x="172" s="1"/>
        <i x="211" s="1"/>
        <i x="87" s="1"/>
        <i x="47" s="1"/>
        <i x="223" s="1"/>
        <i x="214" s="1"/>
        <i x="98" s="1"/>
        <i x="101" s="1"/>
        <i x="210" s="1"/>
        <i x="121" s="1"/>
        <i x="55" s="1"/>
        <i x="198" s="1"/>
        <i x="4" s="1"/>
        <i x="26" s="1"/>
        <i x="221" s="1"/>
        <i x="82" s="1"/>
        <i x="189" s="1"/>
        <i x="0" s="1"/>
        <i x="79" s="1"/>
        <i x="154" s="1"/>
        <i x="45" s="1"/>
        <i x="222" s="1"/>
        <i x="184" s="1"/>
        <i x="159" s="1"/>
        <i x="132" s="1"/>
        <i x="163" s="1"/>
        <i x="33" s="1"/>
        <i x="5" s="1"/>
        <i x="232" s="1"/>
        <i x="37" s="1"/>
        <i x="118" s="1"/>
        <i x="3" s="1"/>
        <i x="212" s="1"/>
        <i x="220" s="1"/>
        <i x="21" s="1"/>
        <i x="81" s="1"/>
        <i x="41" s="1"/>
        <i x="182" s="1"/>
        <i x="96" s="1"/>
        <i x="150" s="1"/>
        <i x="95" s="1"/>
        <i x="161" s="1"/>
        <i x="185" s="1"/>
        <i x="66" s="1"/>
        <i x="142" s="1"/>
        <i x="78" s="1"/>
        <i x="29" s="1"/>
        <i x="175" s="1"/>
        <i x="69" s="1"/>
        <i x="58" s="1"/>
        <i x="204" s="1"/>
        <i x="109" s="1"/>
        <i x="144" s="1"/>
        <i x="16" s="1"/>
        <i x="71" s="1"/>
        <i x="10" s="1"/>
        <i x="61" s="1"/>
        <i x="176" s="1"/>
        <i x="27" s="1"/>
        <i x="30" s="1"/>
        <i x="90" s="1"/>
        <i x="148" s="1"/>
        <i x="80" s="1"/>
        <i x="94" s="1"/>
        <i x="156" s="1"/>
        <i x="183" s="1"/>
        <i x="108" s="1"/>
        <i x="178" s="1"/>
        <i x="113" s="1"/>
        <i x="50" s="1"/>
        <i x="111" s="1"/>
        <i x="195" s="1"/>
        <i x="39" s="1"/>
        <i x="177" s="1"/>
        <i x="73" s="1"/>
        <i x="160" s="1"/>
        <i x="208" s="1"/>
        <i x="236" s="1"/>
        <i x="49" s="1"/>
        <i x="86" s="1"/>
        <i x="36" s="1"/>
        <i x="51" s="1"/>
        <i x="186" s="1"/>
        <i x="131" s="1"/>
        <i x="17" s="1"/>
        <i x="97" s="1"/>
        <i x="75" s="1"/>
        <i x="165" s="1"/>
        <i x="91" s="1"/>
        <i x="242" s="1"/>
        <i x="247" s="1"/>
        <i x="149" s="1"/>
        <i x="20" s="1"/>
        <i x="140" s="1"/>
        <i x="59" s="1"/>
        <i x="187" s="1"/>
        <i x="35" s="1"/>
        <i x="23" s="1"/>
        <i x="143" s="1"/>
        <i x="238" s="1"/>
        <i x="215" s="1"/>
        <i x="205" s="1"/>
        <i x="216" s="1"/>
        <i x="68" s="1"/>
        <i x="85" s="1"/>
        <i x="201" s="1"/>
        <i x="25" s="1"/>
        <i x="105" s="1"/>
        <i x="107" s="1"/>
        <i x="206" s="1"/>
        <i x="200" s="1"/>
        <i x="235" s="1"/>
        <i x="137" s="1"/>
        <i x="32" s="1"/>
        <i x="100" s="1"/>
        <i x="93" s="1"/>
        <i x="122" s="1"/>
        <i x="123" s="1"/>
        <i x="128" s="1"/>
        <i x="218" s="1"/>
        <i x="138" s="1"/>
        <i x="2" s="1"/>
        <i x="229" s="1"/>
        <i x="209" s="1"/>
        <i x="54" s="1"/>
        <i x="231" s="1"/>
        <i x="193" s="1"/>
        <i x="239" s="1"/>
        <i x="24" s="1"/>
        <i x="230" s="1"/>
        <i x="158" s="1"/>
        <i x="152" s="1"/>
        <i x="46" s="1"/>
        <i x="7" s="1"/>
        <i x="117" s="1"/>
        <i x="70" s="1"/>
        <i x="38" s="1"/>
        <i x="197" s="1"/>
        <i x="241" s="1"/>
        <i x="64" s="1"/>
        <i x="188" s="1"/>
        <i x="130" s="1"/>
        <i x="162" s="1"/>
        <i x="60" s="1"/>
        <i x="104" s="1"/>
        <i x="22" s="1"/>
        <i x="179" s="1"/>
        <i x="1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城市1" xr10:uid="{C609C219-BE72-4B19-8530-DB7A4FAEEBBD}" sourceName="城市">
  <pivotTables>
    <pivotTable tabId="12" name="PivotTable1"/>
  </pivotTables>
  <data>
    <tabular pivotCacheId="294113541">
      <items count="249">
        <i x="43" s="1"/>
        <i x="180" s="1"/>
        <i x="9" s="1"/>
        <i x="157" s="1"/>
        <i x="226" s="1"/>
        <i x="57" s="1"/>
        <i x="240" s="1"/>
        <i x="147" s="1"/>
        <i x="88" s="1"/>
        <i x="153" s="1"/>
        <i x="167" s="1"/>
        <i x="89" s="1"/>
        <i x="202" s="1"/>
        <i x="219" s="1"/>
        <i x="213" s="1"/>
        <i x="248" s="1"/>
        <i x="48" s="1"/>
        <i x="127" s="1"/>
        <i x="174" s="1"/>
        <i x="15" s="1"/>
        <i x="245" s="1"/>
        <i x="1" s="1"/>
        <i x="115" s="1"/>
        <i x="74" s="1"/>
        <i x="31" s="1"/>
        <i x="40" s="1"/>
        <i x="181" s="1"/>
        <i x="18" s="1"/>
        <i x="164" s="1"/>
        <i x="168" s="1"/>
        <i x="13" s="1"/>
        <i x="119" s="1"/>
        <i x="34" s="1"/>
        <i x="133" s="1"/>
        <i x="19" s="1"/>
        <i x="126" s="1"/>
        <i x="102" s="1"/>
        <i x="84" s="1"/>
        <i x="225" s="1"/>
        <i x="227" s="1"/>
        <i x="190" s="1"/>
        <i x="6" s="1"/>
        <i x="145" s="1"/>
        <i x="11" s="1"/>
        <i x="114" s="1"/>
        <i x="166" s="1"/>
        <i x="62" s="1"/>
        <i x="146" s="1"/>
        <i x="106" s="1"/>
        <i x="136" s="1"/>
        <i x="155" s="1"/>
        <i x="134" s="1"/>
        <i x="139" s="1"/>
        <i x="42" s="1"/>
        <i x="141" s="1"/>
        <i x="28" s="1"/>
        <i x="12" s="1"/>
        <i x="228" s="1"/>
        <i x="237" s="1"/>
        <i x="151" s="1"/>
        <i x="63" s="1"/>
        <i x="170" s="1"/>
        <i x="110" s="1"/>
        <i x="99" s="1"/>
        <i x="112" s="1"/>
        <i x="207" s="1"/>
        <i x="217" s="1"/>
        <i x="14" s="1"/>
        <i x="56" s="1"/>
        <i x="244" s="1"/>
        <i x="120" s="1"/>
        <i x="246" s="1"/>
        <i x="243" s="1"/>
        <i x="173" s="1"/>
        <i x="52" s="1"/>
        <i x="203" s="1"/>
        <i x="171" s="1"/>
        <i x="83" s="1"/>
        <i x="124" s="1"/>
        <i x="129" s="1"/>
        <i x="72" s="1"/>
        <i x="77" s="1"/>
        <i x="125" s="1"/>
        <i x="92" s="1"/>
        <i x="233" s="1"/>
        <i x="116" s="1"/>
        <i x="191" s="1"/>
        <i x="53" s="1"/>
        <i x="234" s="1"/>
        <i x="199" s="1"/>
        <i x="8" s="1"/>
        <i x="67" s="1"/>
        <i x="224" s="1"/>
        <i x="103" s="1"/>
        <i x="135" s="1"/>
        <i x="194" s="1"/>
        <i x="192" s="1"/>
        <i x="76" s="1"/>
        <i x="44" s="1"/>
        <i x="196" s="1"/>
        <i x="65" s="1"/>
        <i x="172" s="1"/>
        <i x="211" s="1"/>
        <i x="87" s="1"/>
        <i x="47" s="1"/>
        <i x="223" s="1"/>
        <i x="214" s="1"/>
        <i x="98" s="1"/>
        <i x="101" s="1"/>
        <i x="210" s="1"/>
        <i x="121" s="1"/>
        <i x="55" s="1"/>
        <i x="198" s="1"/>
        <i x="4" s="1"/>
        <i x="26" s="1"/>
        <i x="221" s="1"/>
        <i x="82" s="1"/>
        <i x="189" s="1"/>
        <i x="0" s="1"/>
        <i x="79" s="1"/>
        <i x="154" s="1"/>
        <i x="45" s="1"/>
        <i x="222" s="1"/>
        <i x="184" s="1"/>
        <i x="159" s="1"/>
        <i x="132" s="1"/>
        <i x="163" s="1"/>
        <i x="33" s="1"/>
        <i x="5" s="1"/>
        <i x="232" s="1"/>
        <i x="37" s="1"/>
        <i x="118" s="1"/>
        <i x="3" s="1"/>
        <i x="212" s="1"/>
        <i x="220" s="1"/>
        <i x="21" s="1"/>
        <i x="81" s="1"/>
        <i x="41" s="1"/>
        <i x="182" s="1"/>
        <i x="96" s="1"/>
        <i x="150" s="1"/>
        <i x="95" s="1"/>
        <i x="161" s="1"/>
        <i x="185" s="1"/>
        <i x="66" s="1"/>
        <i x="142" s="1"/>
        <i x="78" s="1"/>
        <i x="29" s="1"/>
        <i x="175" s="1"/>
        <i x="69" s="1"/>
        <i x="58" s="1"/>
        <i x="204" s="1"/>
        <i x="109" s="1"/>
        <i x="144" s="1"/>
        <i x="16" s="1"/>
        <i x="71" s="1"/>
        <i x="10" s="1"/>
        <i x="61" s="1"/>
        <i x="176" s="1"/>
        <i x="27" s="1"/>
        <i x="30" s="1"/>
        <i x="90" s="1"/>
        <i x="148" s="1"/>
        <i x="80" s="1"/>
        <i x="94" s="1"/>
        <i x="156" s="1"/>
        <i x="183" s="1"/>
        <i x="108" s="1"/>
        <i x="178" s="1"/>
        <i x="113" s="1"/>
        <i x="50" s="1"/>
        <i x="111" s="1"/>
        <i x="195" s="1"/>
        <i x="39" s="1"/>
        <i x="177" s="1"/>
        <i x="73" s="1"/>
        <i x="160" s="1"/>
        <i x="208" s="1"/>
        <i x="236" s="1"/>
        <i x="49" s="1"/>
        <i x="86" s="1"/>
        <i x="36" s="1"/>
        <i x="51" s="1"/>
        <i x="186" s="1"/>
        <i x="131" s="1"/>
        <i x="17" s="1"/>
        <i x="97" s="1"/>
        <i x="75" s="1"/>
        <i x="165" s="1"/>
        <i x="91" s="1"/>
        <i x="242" s="1"/>
        <i x="247" s="1"/>
        <i x="149" s="1"/>
        <i x="20" s="1"/>
        <i x="140" s="1"/>
        <i x="59" s="1"/>
        <i x="187" s="1"/>
        <i x="35" s="1"/>
        <i x="23" s="1"/>
        <i x="143" s="1"/>
        <i x="238" s="1"/>
        <i x="215" s="1"/>
        <i x="205" s="1"/>
        <i x="216" s="1"/>
        <i x="68" s="1"/>
        <i x="85" s="1"/>
        <i x="201" s="1"/>
        <i x="25" s="1"/>
        <i x="105" s="1"/>
        <i x="107" s="1"/>
        <i x="206" s="1"/>
        <i x="200" s="1"/>
        <i x="235" s="1"/>
        <i x="137" s="1"/>
        <i x="32" s="1"/>
        <i x="100" s="1"/>
        <i x="93" s="1"/>
        <i x="122" s="1"/>
        <i x="123" s="1"/>
        <i x="128" s="1"/>
        <i x="218" s="1"/>
        <i x="138" s="1"/>
        <i x="2" s="1"/>
        <i x="229" s="1"/>
        <i x="209" s="1"/>
        <i x="54" s="1"/>
        <i x="231" s="1"/>
        <i x="193" s="1"/>
        <i x="239" s="1"/>
        <i x="24" s="1"/>
        <i x="230" s="1"/>
        <i x="158" s="1"/>
        <i x="152" s="1"/>
        <i x="46" s="1"/>
        <i x="7" s="1"/>
        <i x="117" s="1"/>
        <i x="70" s="1"/>
        <i x="38" s="1"/>
        <i x="197" s="1"/>
        <i x="241" s="1"/>
        <i x="64" s="1"/>
        <i x="188" s="1"/>
        <i x="130" s="1"/>
        <i x="162" s="1"/>
        <i x="60" s="1"/>
        <i x="104" s="1"/>
        <i x="22" s="1"/>
        <i x="179" s="1"/>
        <i x="1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城市" xr10:uid="{38070EB7-1B0A-4C90-AC05-7E5D669EACC1}" cache="Slicer_城市" caption="城市" rowHeight="234950"/>
  <slicer name="城市 1" xr10:uid="{7A54334D-C660-4EB6-860A-483948F92F8D}" cache="Slicer_城市1" caption="城市" rowHeight="234950"/>
</slicer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1:X19"/>
  <sheetViews>
    <sheetView tabSelected="1" zoomScale="102" workbookViewId="0">
      <selection activeCell="L6" sqref="L6"/>
    </sheetView>
  </sheetViews>
  <sheetFormatPr defaultColWidth="8.6640625" defaultRowHeight="14.4"/>
  <cols>
    <col min="1" max="1" width="5.109375" customWidth="1"/>
    <col min="2" max="2" width="6.21875" customWidth="1"/>
    <col min="3" max="3" width="8.109375" customWidth="1"/>
    <col min="4" max="4" width="12.109375" customWidth="1"/>
    <col min="5" max="5" width="26.109375" customWidth="1"/>
    <col min="8" max="9" width="15.77734375" customWidth="1"/>
  </cols>
  <sheetData>
    <row r="1" spans="3:24" ht="60.6" customHeight="1">
      <c r="C1" s="46" t="s">
        <v>904</v>
      </c>
      <c r="D1" s="46"/>
      <c r="E1" s="46"/>
      <c r="F1" s="46"/>
      <c r="G1" s="46"/>
      <c r="H1" s="46"/>
      <c r="I1" s="46"/>
      <c r="T1" s="45" t="s">
        <v>0</v>
      </c>
      <c r="U1" s="45"/>
      <c r="V1" s="45"/>
      <c r="W1" s="45"/>
      <c r="X1" s="45"/>
    </row>
    <row r="2" spans="3:24" ht="25.2" customHeight="1">
      <c r="C2" s="16" t="s">
        <v>905</v>
      </c>
      <c r="D2" s="16"/>
      <c r="E2" s="53" t="s">
        <v>925</v>
      </c>
      <c r="F2" s="53"/>
      <c r="G2" s="53"/>
      <c r="H2" s="16" t="s">
        <v>906</v>
      </c>
      <c r="I2" s="16"/>
      <c r="T2" s="45"/>
      <c r="U2" s="45"/>
      <c r="V2" s="45"/>
      <c r="W2" s="45"/>
      <c r="X2" s="45"/>
    </row>
    <row r="3" spans="3:24" ht="20.399999999999999" customHeight="1" thickBot="1">
      <c r="C3" s="16" t="s">
        <v>921</v>
      </c>
      <c r="D3" s="16"/>
      <c r="E3" s="16"/>
      <c r="F3" s="16"/>
      <c r="G3" s="16"/>
      <c r="H3" s="16" t="s">
        <v>907</v>
      </c>
      <c r="I3" s="16"/>
      <c r="T3" s="45"/>
      <c r="U3" s="45"/>
      <c r="V3" s="45"/>
      <c r="W3" s="45"/>
      <c r="X3" s="45"/>
    </row>
    <row r="4" spans="3:24" ht="40.049999999999997" customHeight="1" thickBot="1">
      <c r="C4" s="17" t="s">
        <v>908</v>
      </c>
      <c r="D4" s="17" t="s">
        <v>909</v>
      </c>
      <c r="E4" s="17" t="s">
        <v>910</v>
      </c>
      <c r="F4" s="17" t="s">
        <v>911</v>
      </c>
      <c r="G4" s="17" t="s">
        <v>86</v>
      </c>
      <c r="H4" s="17" t="s">
        <v>85</v>
      </c>
      <c r="I4" s="17" t="s">
        <v>912</v>
      </c>
      <c r="T4" s="45"/>
      <c r="U4" s="45"/>
      <c r="V4" s="45"/>
      <c r="W4" s="45"/>
      <c r="X4" s="45"/>
    </row>
    <row r="5" spans="3:24" ht="40.049999999999997" customHeight="1" thickBot="1">
      <c r="C5" s="17">
        <v>1</v>
      </c>
      <c r="D5" s="17" t="str">
        <f>"D00000"&amp;C5</f>
        <v>D000001</v>
      </c>
      <c r="E5" s="17" t="s">
        <v>913</v>
      </c>
      <c r="F5" s="17" t="s">
        <v>914</v>
      </c>
      <c r="G5" s="17">
        <v>100</v>
      </c>
      <c r="H5" s="18">
        <v>10</v>
      </c>
      <c r="I5" s="18">
        <v>1000</v>
      </c>
    </row>
    <row r="6" spans="3:24" ht="40.049999999999997" customHeight="1" thickBot="1">
      <c r="C6" s="17">
        <v>2</v>
      </c>
      <c r="D6" s="17" t="str">
        <f>"D00000"&amp;C6</f>
        <v>D000002</v>
      </c>
      <c r="E6" s="17" t="s">
        <v>913</v>
      </c>
      <c r="F6" s="17" t="s">
        <v>914</v>
      </c>
      <c r="G6" s="17">
        <v>100</v>
      </c>
      <c r="H6" s="18">
        <v>10</v>
      </c>
      <c r="I6" s="18">
        <v>1000</v>
      </c>
    </row>
    <row r="7" spans="3:24" ht="40.049999999999997" customHeight="1" thickBot="1">
      <c r="C7" s="17">
        <v>3</v>
      </c>
      <c r="D7" s="17"/>
      <c r="E7" s="17"/>
      <c r="F7" s="17"/>
      <c r="G7" s="17"/>
      <c r="H7" s="18"/>
      <c r="I7" s="18"/>
    </row>
    <row r="8" spans="3:24" ht="40.049999999999997" customHeight="1" thickBot="1">
      <c r="C8" s="17">
        <v>4</v>
      </c>
      <c r="D8" s="17"/>
      <c r="E8" s="17"/>
      <c r="F8" s="17"/>
      <c r="G8" s="17"/>
      <c r="H8" s="18"/>
      <c r="I8" s="18"/>
    </row>
    <row r="9" spans="3:24" ht="40.049999999999997" customHeight="1" thickBot="1">
      <c r="C9" s="17">
        <v>5</v>
      </c>
      <c r="D9" s="17"/>
      <c r="E9" s="17"/>
      <c r="F9" s="17"/>
      <c r="G9" s="17"/>
      <c r="H9" s="18"/>
      <c r="I9" s="18"/>
    </row>
    <row r="10" spans="3:24" ht="34.950000000000003" customHeight="1" thickBot="1">
      <c r="C10" s="42" t="s">
        <v>916</v>
      </c>
      <c r="D10" s="43"/>
      <c r="E10" s="43"/>
      <c r="F10" s="43"/>
      <c r="G10" s="44"/>
      <c r="H10" s="19" t="s">
        <v>915</v>
      </c>
      <c r="I10" s="20">
        <v>2000</v>
      </c>
    </row>
    <row r="11" spans="3:24" ht="34.950000000000003" customHeight="1" thickBot="1">
      <c r="C11" s="42" t="s">
        <v>924</v>
      </c>
      <c r="D11" s="43"/>
      <c r="E11" s="43"/>
      <c r="F11" s="43"/>
      <c r="G11" s="43"/>
      <c r="H11" s="43"/>
      <c r="I11" s="44"/>
    </row>
    <row r="12" spans="3:24" ht="34.950000000000003" customHeight="1" thickBot="1">
      <c r="C12" s="47" t="s">
        <v>923</v>
      </c>
      <c r="D12" s="48"/>
      <c r="E12" s="48"/>
      <c r="F12" s="48"/>
      <c r="G12" s="48"/>
      <c r="H12" s="48"/>
      <c r="I12" s="49"/>
    </row>
    <row r="13" spans="3:24" ht="34.950000000000003" customHeight="1" thickBot="1">
      <c r="C13" s="50" t="s">
        <v>922</v>
      </c>
      <c r="D13" s="51"/>
      <c r="E13" s="51"/>
      <c r="F13" s="51"/>
      <c r="G13" s="51"/>
      <c r="H13" s="51"/>
      <c r="I13" s="52"/>
    </row>
    <row r="14" spans="3:24" ht="34.950000000000003" customHeight="1" thickBot="1">
      <c r="C14" s="42" t="s">
        <v>917</v>
      </c>
      <c r="D14" s="43"/>
      <c r="E14" s="43"/>
      <c r="F14" s="43"/>
      <c r="G14" s="43"/>
      <c r="H14" s="43"/>
      <c r="I14" s="44"/>
    </row>
    <row r="15" spans="3:24" ht="40.049999999999997" customHeight="1">
      <c r="C15" s="16" t="s">
        <v>918</v>
      </c>
      <c r="D15" s="16"/>
      <c r="E15" s="16"/>
      <c r="F15" s="16"/>
      <c r="G15" s="16"/>
      <c r="H15" s="16"/>
      <c r="I15" s="16"/>
    </row>
    <row r="16" spans="3:24" ht="40.049999999999997" customHeight="1">
      <c r="C16" s="16" t="s">
        <v>926</v>
      </c>
      <c r="D16" s="16"/>
      <c r="E16" s="16"/>
      <c r="F16" s="16"/>
      <c r="G16" s="16"/>
      <c r="H16" s="21" t="s">
        <v>919</v>
      </c>
      <c r="I16" s="16"/>
    </row>
    <row r="17" spans="3:9" ht="40.049999999999997" customHeight="1">
      <c r="H17" s="21" t="s">
        <v>920</v>
      </c>
    </row>
    <row r="18" spans="3:9">
      <c r="C18" s="16"/>
      <c r="D18" s="16"/>
      <c r="E18" s="16"/>
      <c r="F18" s="16"/>
      <c r="G18" s="16"/>
      <c r="H18" s="16"/>
      <c r="I18" s="16"/>
    </row>
    <row r="19" spans="3:9">
      <c r="C19" s="16"/>
      <c r="D19" s="16"/>
      <c r="E19" s="16"/>
      <c r="F19" s="16"/>
      <c r="G19" s="16"/>
      <c r="I19" s="16"/>
    </row>
  </sheetData>
  <mergeCells count="8">
    <mergeCell ref="C14:I14"/>
    <mergeCell ref="T1:X4"/>
    <mergeCell ref="C1:I1"/>
    <mergeCell ref="C12:I12"/>
    <mergeCell ref="C11:I11"/>
    <mergeCell ref="C10:G10"/>
    <mergeCell ref="C13:I13"/>
    <mergeCell ref="E2:G2"/>
  </mergeCells>
  <pageMargins left="0.75" right="0.32" top="0.22" bottom="0.86" header="0.87"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69"/>
  <sheetViews>
    <sheetView workbookViewId="0">
      <selection activeCell="J15" sqref="J15"/>
    </sheetView>
  </sheetViews>
  <sheetFormatPr defaultColWidth="8.6640625" defaultRowHeight="14.4"/>
  <cols>
    <col min="5" max="5" width="17.6640625" customWidth="1"/>
    <col min="6" max="8" width="14.77734375" customWidth="1"/>
    <col min="9" max="9" width="10.44140625" customWidth="1"/>
  </cols>
  <sheetData>
    <row r="1" spans="1:10" ht="43.2">
      <c r="A1" s="6" t="s">
        <v>1</v>
      </c>
      <c r="B1" s="7" t="s">
        <v>2</v>
      </c>
      <c r="C1" s="7" t="s">
        <v>3</v>
      </c>
      <c r="D1" s="7" t="s">
        <v>4</v>
      </c>
      <c r="E1" s="12" t="s">
        <v>5</v>
      </c>
      <c r="F1" s="13" t="s">
        <v>6</v>
      </c>
      <c r="G1" s="13" t="s">
        <v>7</v>
      </c>
      <c r="H1" s="13" t="s">
        <v>8</v>
      </c>
      <c r="I1" s="14" t="s">
        <v>9</v>
      </c>
      <c r="J1" s="15" t="s">
        <v>10</v>
      </c>
    </row>
    <row r="2" spans="1:10">
      <c r="A2" s="6" t="s">
        <v>11</v>
      </c>
      <c r="B2" s="7">
        <v>1</v>
      </c>
      <c r="C2" s="7">
        <f t="shared" ref="C2:C65" ca="1" si="0">RANDBETWEEN(50,90)</f>
        <v>79</v>
      </c>
      <c r="D2" s="7">
        <f t="shared" ref="D2:D65" ca="1" si="1">RANDBETWEEN(50,90)</f>
        <v>63</v>
      </c>
      <c r="E2" s="7">
        <v>59</v>
      </c>
      <c r="F2">
        <f ca="1">0.5*C2+0.3*D2+0.2*E2</f>
        <v>70.2</v>
      </c>
      <c r="G2" t="str">
        <f ca="1">IF(OR(C2&gt;85,D2&gt;85,E2&gt;85),"是","否")</f>
        <v>否</v>
      </c>
      <c r="H2" t="str">
        <f ca="1">IF(OR(C2&lt;=80,D2&lt;=80,E2&lt;=80),"否","是")</f>
        <v>否</v>
      </c>
      <c r="I2">
        <f t="shared" ref="I2:I33" ca="1" si="2">_xlfn.RANK.EQ(F2,$F$2:$F$69)</f>
        <v>29</v>
      </c>
      <c r="J2" cm="1">
        <f t="array" aca="1" ref="J2" ca="1">SUMPRODUCT(($B$2:$B$69=B2)*($F$2:$F$69&gt;F2)) + 1</f>
        <v>10</v>
      </c>
    </row>
    <row r="3" spans="1:10">
      <c r="A3" s="6" t="s">
        <v>12</v>
      </c>
      <c r="B3" s="7">
        <v>1</v>
      </c>
      <c r="C3" s="7">
        <f t="shared" ca="1" si="0"/>
        <v>88</v>
      </c>
      <c r="D3" s="7">
        <f t="shared" ca="1" si="1"/>
        <v>71</v>
      </c>
      <c r="E3" s="7">
        <v>68</v>
      </c>
      <c r="F3">
        <f t="shared" ref="F3:F66" ca="1" si="3">0.5*C3+0.3*D3+0.2*E3</f>
        <v>78.900000000000006</v>
      </c>
      <c r="G3" t="str">
        <f t="shared" ref="G3:G66" ca="1" si="4">IF(OR(C3&gt;85,D3&gt;85,E3&gt;85),"是","否")</f>
        <v>是</v>
      </c>
      <c r="H3" t="str">
        <f t="shared" ref="H3:H66" ca="1" si="5">IF(OR(C3&lt;=80,D3&lt;=80,E3&lt;=80),"否","是")</f>
        <v>否</v>
      </c>
      <c r="I3">
        <f t="shared" ca="1" si="2"/>
        <v>8</v>
      </c>
      <c r="J3" cm="1">
        <f t="array" aca="1" ref="J3" ca="1">SUMPRODUCT(($B$2:$B$69=B3)*($F$2:$F$69&gt;F3)) + 1</f>
        <v>3</v>
      </c>
    </row>
    <row r="4" spans="1:10">
      <c r="A4" s="6" t="s">
        <v>13</v>
      </c>
      <c r="B4" s="7">
        <v>1</v>
      </c>
      <c r="C4" s="7">
        <f t="shared" ca="1" si="0"/>
        <v>67</v>
      </c>
      <c r="D4" s="7">
        <f t="shared" ca="1" si="1"/>
        <v>81</v>
      </c>
      <c r="E4" s="7">
        <v>66</v>
      </c>
      <c r="F4">
        <f t="shared" ca="1" si="3"/>
        <v>71</v>
      </c>
      <c r="G4" t="str">
        <f t="shared" ca="1" si="4"/>
        <v>否</v>
      </c>
      <c r="H4" t="str">
        <f t="shared" ca="1" si="5"/>
        <v>否</v>
      </c>
      <c r="I4">
        <f t="shared" ca="1" si="2"/>
        <v>25</v>
      </c>
      <c r="J4" cm="1">
        <f t="array" aca="1" ref="J4" ca="1">SUMPRODUCT(($B$2:$B$69=B4)*($F$2:$F$69&gt;F4)) + 1</f>
        <v>8</v>
      </c>
    </row>
    <row r="5" spans="1:10">
      <c r="A5" s="6" t="s">
        <v>14</v>
      </c>
      <c r="B5" s="7">
        <v>1</v>
      </c>
      <c r="C5" s="7">
        <f t="shared" ca="1" si="0"/>
        <v>56</v>
      </c>
      <c r="D5" s="7">
        <f t="shared" ca="1" si="1"/>
        <v>70</v>
      </c>
      <c r="E5" s="7">
        <v>84</v>
      </c>
      <c r="F5">
        <f t="shared" ca="1" si="3"/>
        <v>65.8</v>
      </c>
      <c r="G5" t="str">
        <f t="shared" ca="1" si="4"/>
        <v>否</v>
      </c>
      <c r="H5" t="str">
        <f t="shared" ca="1" si="5"/>
        <v>否</v>
      </c>
      <c r="I5">
        <f t="shared" ca="1" si="2"/>
        <v>43</v>
      </c>
      <c r="J5" cm="1">
        <f t="array" aca="1" ref="J5" ca="1">SUMPRODUCT(($B$2:$B$69=B5)*($F$2:$F$69&gt;F5)) + 1</f>
        <v>16</v>
      </c>
    </row>
    <row r="6" spans="1:10">
      <c r="A6" s="6" t="s">
        <v>15</v>
      </c>
      <c r="B6" s="7">
        <v>1</v>
      </c>
      <c r="C6" s="7">
        <f t="shared" ca="1" si="0"/>
        <v>59</v>
      </c>
      <c r="D6" s="7">
        <f t="shared" ca="1" si="1"/>
        <v>77</v>
      </c>
      <c r="E6" s="7">
        <v>50</v>
      </c>
      <c r="F6">
        <f t="shared" ca="1" si="3"/>
        <v>62.599999999999994</v>
      </c>
      <c r="G6" t="str">
        <f t="shared" ca="1" si="4"/>
        <v>否</v>
      </c>
      <c r="H6" t="str">
        <f t="shared" ca="1" si="5"/>
        <v>否</v>
      </c>
      <c r="I6">
        <f t="shared" ca="1" si="2"/>
        <v>57</v>
      </c>
      <c r="J6" cm="1">
        <f t="array" aca="1" ref="J6" ca="1">SUMPRODUCT(($B$2:$B$69=B6)*($F$2:$F$69&gt;F6)) + 1</f>
        <v>23</v>
      </c>
    </row>
    <row r="7" spans="1:10">
      <c r="A7" s="6" t="s">
        <v>16</v>
      </c>
      <c r="B7" s="7">
        <v>1</v>
      </c>
      <c r="C7" s="7">
        <f t="shared" ca="1" si="0"/>
        <v>59</v>
      </c>
      <c r="D7" s="7">
        <f t="shared" ca="1" si="1"/>
        <v>74</v>
      </c>
      <c r="E7" s="7">
        <v>65</v>
      </c>
      <c r="F7">
        <f t="shared" ca="1" si="3"/>
        <v>64.7</v>
      </c>
      <c r="G7" t="str">
        <f t="shared" ca="1" si="4"/>
        <v>否</v>
      </c>
      <c r="H7" t="str">
        <f t="shared" ca="1" si="5"/>
        <v>否</v>
      </c>
      <c r="I7">
        <f t="shared" ca="1" si="2"/>
        <v>46</v>
      </c>
      <c r="J7" cm="1">
        <f t="array" aca="1" ref="J7" ca="1">SUMPRODUCT(($B$2:$B$69=B7)*($F$2:$F$69&gt;F7)) + 1</f>
        <v>19</v>
      </c>
    </row>
    <row r="8" spans="1:10">
      <c r="A8" s="6" t="s">
        <v>17</v>
      </c>
      <c r="B8" s="7">
        <v>2</v>
      </c>
      <c r="C8" s="7">
        <f t="shared" ca="1" si="0"/>
        <v>86</v>
      </c>
      <c r="D8" s="7">
        <f t="shared" ca="1" si="1"/>
        <v>58</v>
      </c>
      <c r="E8" s="7">
        <v>84</v>
      </c>
      <c r="F8">
        <f t="shared" ca="1" si="3"/>
        <v>77.2</v>
      </c>
      <c r="G8" t="str">
        <f t="shared" ca="1" si="4"/>
        <v>是</v>
      </c>
      <c r="H8" t="str">
        <f t="shared" ca="1" si="5"/>
        <v>否</v>
      </c>
      <c r="I8">
        <f t="shared" ca="1" si="2"/>
        <v>13</v>
      </c>
      <c r="J8" cm="1">
        <f t="array" aca="1" ref="J8" ca="1">SUMPRODUCT(($B$2:$B$69=B8)*($F$2:$F$69&gt;F8)) + 1</f>
        <v>5</v>
      </c>
    </row>
    <row r="9" spans="1:10">
      <c r="A9" s="6" t="s">
        <v>18</v>
      </c>
      <c r="B9" s="7">
        <v>2</v>
      </c>
      <c r="C9" s="7">
        <f t="shared" ca="1" si="0"/>
        <v>80</v>
      </c>
      <c r="D9" s="7">
        <f t="shared" ca="1" si="1"/>
        <v>52</v>
      </c>
      <c r="E9" s="7">
        <v>59</v>
      </c>
      <c r="F9">
        <f t="shared" ca="1" si="3"/>
        <v>67.400000000000006</v>
      </c>
      <c r="G9" t="str">
        <f t="shared" ca="1" si="4"/>
        <v>否</v>
      </c>
      <c r="H9" t="str">
        <f t="shared" ca="1" si="5"/>
        <v>否</v>
      </c>
      <c r="I9">
        <f t="shared" ca="1" si="2"/>
        <v>37</v>
      </c>
      <c r="J9" cm="1">
        <f t="array" aca="1" ref="J9" ca="1">SUMPRODUCT(($B$2:$B$69=B9)*($F$2:$F$69&gt;F9)) + 1</f>
        <v>13</v>
      </c>
    </row>
    <row r="10" spans="1:10">
      <c r="A10" s="6" t="s">
        <v>19</v>
      </c>
      <c r="B10" s="7">
        <v>2</v>
      </c>
      <c r="C10" s="7">
        <f t="shared" ca="1" si="0"/>
        <v>52</v>
      </c>
      <c r="D10" s="7">
        <f t="shared" ca="1" si="1"/>
        <v>83</v>
      </c>
      <c r="E10" s="7">
        <v>68</v>
      </c>
      <c r="F10">
        <f t="shared" ca="1" si="3"/>
        <v>64.5</v>
      </c>
      <c r="G10" t="str">
        <f t="shared" ca="1" si="4"/>
        <v>否</v>
      </c>
      <c r="H10" t="str">
        <f t="shared" ca="1" si="5"/>
        <v>否</v>
      </c>
      <c r="I10">
        <f t="shared" ca="1" si="2"/>
        <v>48</v>
      </c>
      <c r="J10" cm="1">
        <f t="array" aca="1" ref="J10" ca="1">SUMPRODUCT(($B$2:$B$69=B10)*($F$2:$F$69&gt;F10)) + 1</f>
        <v>18</v>
      </c>
    </row>
    <row r="11" spans="1:10">
      <c r="A11" s="6" t="s">
        <v>20</v>
      </c>
      <c r="B11" s="7">
        <v>2</v>
      </c>
      <c r="C11" s="7">
        <f t="shared" ca="1" si="0"/>
        <v>72</v>
      </c>
      <c r="D11" s="7">
        <f t="shared" ca="1" si="1"/>
        <v>79</v>
      </c>
      <c r="E11" s="7">
        <v>71</v>
      </c>
      <c r="F11">
        <f t="shared" ca="1" si="3"/>
        <v>73.900000000000006</v>
      </c>
      <c r="G11" t="str">
        <f t="shared" ca="1" si="4"/>
        <v>否</v>
      </c>
      <c r="H11" t="str">
        <f t="shared" ca="1" si="5"/>
        <v>否</v>
      </c>
      <c r="I11">
        <f t="shared" ca="1" si="2"/>
        <v>21</v>
      </c>
      <c r="J11" cm="1">
        <f t="array" aca="1" ref="J11" ca="1">SUMPRODUCT(($B$2:$B$69=B11)*($F$2:$F$69&gt;F11)) + 1</f>
        <v>7</v>
      </c>
    </row>
    <row r="12" spans="1:10">
      <c r="A12" s="6" t="s">
        <v>21</v>
      </c>
      <c r="B12" s="7">
        <v>2</v>
      </c>
      <c r="C12" s="7">
        <f t="shared" ca="1" si="0"/>
        <v>61</v>
      </c>
      <c r="D12" s="7">
        <f t="shared" ca="1" si="1"/>
        <v>57</v>
      </c>
      <c r="E12" s="7">
        <v>78</v>
      </c>
      <c r="F12">
        <f t="shared" ca="1" si="3"/>
        <v>63.199999999999996</v>
      </c>
      <c r="G12" t="str">
        <f t="shared" ca="1" si="4"/>
        <v>否</v>
      </c>
      <c r="H12" t="str">
        <f t="shared" ca="1" si="5"/>
        <v>否</v>
      </c>
      <c r="I12">
        <f t="shared" ca="1" si="2"/>
        <v>54</v>
      </c>
      <c r="J12" cm="1">
        <f t="array" aca="1" ref="J12" ca="1">SUMPRODUCT(($B$2:$B$69=B12)*($F$2:$F$69&gt;F12)) + 1</f>
        <v>22</v>
      </c>
    </row>
    <row r="13" spans="1:10">
      <c r="A13" s="6" t="s">
        <v>22</v>
      </c>
      <c r="B13" s="7">
        <v>2</v>
      </c>
      <c r="C13" s="7">
        <f t="shared" ca="1" si="0"/>
        <v>54</v>
      </c>
      <c r="D13" s="7">
        <f t="shared" ca="1" si="1"/>
        <v>60</v>
      </c>
      <c r="E13" s="7">
        <v>71</v>
      </c>
      <c r="F13">
        <f t="shared" ca="1" si="3"/>
        <v>59.2</v>
      </c>
      <c r="G13" t="str">
        <f t="shared" ca="1" si="4"/>
        <v>否</v>
      </c>
      <c r="H13" t="str">
        <f t="shared" ca="1" si="5"/>
        <v>否</v>
      </c>
      <c r="I13">
        <f t="shared" ca="1" si="2"/>
        <v>66</v>
      </c>
      <c r="J13" cm="1">
        <f t="array" aca="1" ref="J13" ca="1">SUMPRODUCT(($B$2:$B$69=B13)*($F$2:$F$69&gt;F13)) + 1</f>
        <v>28</v>
      </c>
    </row>
    <row r="14" spans="1:10">
      <c r="A14" s="6" t="s">
        <v>23</v>
      </c>
      <c r="B14" s="7">
        <v>2</v>
      </c>
      <c r="C14" s="7">
        <f t="shared" ca="1" si="0"/>
        <v>61</v>
      </c>
      <c r="D14" s="7">
        <f t="shared" ca="1" si="1"/>
        <v>51</v>
      </c>
      <c r="E14" s="7">
        <v>69</v>
      </c>
      <c r="F14">
        <f t="shared" ca="1" si="3"/>
        <v>59.599999999999994</v>
      </c>
      <c r="G14" t="str">
        <f t="shared" ca="1" si="4"/>
        <v>否</v>
      </c>
      <c r="H14" t="str">
        <f t="shared" ca="1" si="5"/>
        <v>否</v>
      </c>
      <c r="I14">
        <f t="shared" ca="1" si="2"/>
        <v>63</v>
      </c>
      <c r="J14" cm="1">
        <f t="array" aca="1" ref="J14" ca="1">SUMPRODUCT(($B$2:$B$69=B14)*($F$2:$F$69&gt;F14)) + 1</f>
        <v>27</v>
      </c>
    </row>
    <row r="15" spans="1:10">
      <c r="A15" s="6" t="s">
        <v>24</v>
      </c>
      <c r="B15" s="7">
        <v>2</v>
      </c>
      <c r="C15" s="7">
        <f t="shared" ca="1" si="0"/>
        <v>52</v>
      </c>
      <c r="D15" s="7">
        <f t="shared" ca="1" si="1"/>
        <v>88</v>
      </c>
      <c r="E15" s="7">
        <v>75</v>
      </c>
      <c r="F15">
        <f t="shared" ca="1" si="3"/>
        <v>67.400000000000006</v>
      </c>
      <c r="G15" t="str">
        <f t="shared" ca="1" si="4"/>
        <v>是</v>
      </c>
      <c r="H15" t="str">
        <f t="shared" ca="1" si="5"/>
        <v>否</v>
      </c>
      <c r="I15">
        <f t="shared" ca="1" si="2"/>
        <v>37</v>
      </c>
      <c r="J15" cm="1">
        <f t="array" aca="1" ref="J15" ca="1">SUMPRODUCT(($B$2:$B$69=B15)*($F$2:$F$69&gt;F15)) + 1</f>
        <v>13</v>
      </c>
    </row>
    <row r="16" spans="1:10">
      <c r="A16" s="6" t="s">
        <v>25</v>
      </c>
      <c r="B16" s="7">
        <v>3</v>
      </c>
      <c r="C16" s="7">
        <f t="shared" ca="1" si="0"/>
        <v>64</v>
      </c>
      <c r="D16" s="7">
        <f t="shared" ca="1" si="1"/>
        <v>75</v>
      </c>
      <c r="E16" s="7">
        <v>65</v>
      </c>
      <c r="F16">
        <f t="shared" ca="1" si="3"/>
        <v>67.5</v>
      </c>
      <c r="G16" t="str">
        <f t="shared" ca="1" si="4"/>
        <v>否</v>
      </c>
      <c r="H16" t="str">
        <f t="shared" ca="1" si="5"/>
        <v>否</v>
      </c>
      <c r="I16">
        <f t="shared" ca="1" si="2"/>
        <v>36</v>
      </c>
      <c r="J16" cm="1">
        <f t="array" aca="1" ref="J16" ca="1">SUMPRODUCT(($B$2:$B$69=B16)*($F$2:$F$69&gt;F16)) + 1</f>
        <v>10</v>
      </c>
    </row>
    <row r="17" spans="1:10">
      <c r="A17" s="6" t="s">
        <v>26</v>
      </c>
      <c r="B17" s="7">
        <v>3</v>
      </c>
      <c r="C17" s="7">
        <f t="shared" ca="1" si="0"/>
        <v>64</v>
      </c>
      <c r="D17" s="7">
        <f t="shared" ca="1" si="1"/>
        <v>85</v>
      </c>
      <c r="E17" s="7">
        <v>69</v>
      </c>
      <c r="F17">
        <f t="shared" ca="1" si="3"/>
        <v>71.3</v>
      </c>
      <c r="G17" t="str">
        <f t="shared" ca="1" si="4"/>
        <v>否</v>
      </c>
      <c r="H17" t="str">
        <f t="shared" ca="1" si="5"/>
        <v>否</v>
      </c>
      <c r="I17">
        <f t="shared" ca="1" si="2"/>
        <v>24</v>
      </c>
      <c r="J17" cm="1">
        <f t="array" aca="1" ref="J17" ca="1">SUMPRODUCT(($B$2:$B$69=B17)*($F$2:$F$69&gt;F17)) + 1</f>
        <v>8</v>
      </c>
    </row>
    <row r="18" spans="1:10">
      <c r="A18" s="6" t="s">
        <v>27</v>
      </c>
      <c r="B18" s="7">
        <v>3</v>
      </c>
      <c r="C18" s="7">
        <f t="shared" ca="1" si="0"/>
        <v>85</v>
      </c>
      <c r="D18" s="7">
        <f t="shared" ca="1" si="1"/>
        <v>84</v>
      </c>
      <c r="E18" s="7">
        <v>70</v>
      </c>
      <c r="F18">
        <f t="shared" ca="1" si="3"/>
        <v>81.7</v>
      </c>
      <c r="G18" t="str">
        <f t="shared" ca="1" si="4"/>
        <v>否</v>
      </c>
      <c r="H18" t="str">
        <f t="shared" ca="1" si="5"/>
        <v>否</v>
      </c>
      <c r="I18">
        <f t="shared" ca="1" si="2"/>
        <v>3</v>
      </c>
      <c r="J18" cm="1">
        <f t="array" aca="1" ref="J18" ca="1">SUMPRODUCT(($B$2:$B$69=B18)*($F$2:$F$69&gt;F18)) + 1</f>
        <v>2</v>
      </c>
    </row>
    <row r="19" spans="1:10">
      <c r="A19" s="6" t="s">
        <v>28</v>
      </c>
      <c r="B19" s="7">
        <v>3</v>
      </c>
      <c r="C19" s="7">
        <f t="shared" ca="1" si="0"/>
        <v>83</v>
      </c>
      <c r="D19" s="7">
        <f t="shared" ca="1" si="1"/>
        <v>90</v>
      </c>
      <c r="E19" s="7">
        <v>76</v>
      </c>
      <c r="F19">
        <f t="shared" ca="1" si="3"/>
        <v>83.7</v>
      </c>
      <c r="G19" t="str">
        <f t="shared" ca="1" si="4"/>
        <v>是</v>
      </c>
      <c r="H19" t="str">
        <f t="shared" ca="1" si="5"/>
        <v>否</v>
      </c>
      <c r="I19">
        <f t="shared" ca="1" si="2"/>
        <v>1</v>
      </c>
      <c r="J19" cm="1">
        <f t="array" aca="1" ref="J19" ca="1">SUMPRODUCT(($B$2:$B$69=B19)*($F$2:$F$69&gt;F19)) + 1</f>
        <v>1</v>
      </c>
    </row>
    <row r="20" spans="1:10">
      <c r="A20" s="6" t="s">
        <v>29</v>
      </c>
      <c r="B20" s="7">
        <v>3</v>
      </c>
      <c r="C20" s="7">
        <f t="shared" ca="1" si="0"/>
        <v>50</v>
      </c>
      <c r="D20" s="7">
        <f t="shared" ca="1" si="1"/>
        <v>77</v>
      </c>
      <c r="E20" s="7">
        <v>56</v>
      </c>
      <c r="F20">
        <f t="shared" ca="1" si="3"/>
        <v>59.3</v>
      </c>
      <c r="G20" t="str">
        <f t="shared" ca="1" si="4"/>
        <v>否</v>
      </c>
      <c r="H20" t="str">
        <f t="shared" ca="1" si="5"/>
        <v>否</v>
      </c>
      <c r="I20">
        <f t="shared" ca="1" si="2"/>
        <v>65</v>
      </c>
      <c r="J20" cm="1">
        <f t="array" aca="1" ref="J20" ca="1">SUMPRODUCT(($B$2:$B$69=B20)*($F$2:$F$69&gt;F20)) + 1</f>
        <v>15</v>
      </c>
    </row>
    <row r="21" spans="1:10">
      <c r="A21" s="6" t="s">
        <v>30</v>
      </c>
      <c r="B21" s="7">
        <v>1</v>
      </c>
      <c r="C21" s="7">
        <f t="shared" ca="1" si="0"/>
        <v>68</v>
      </c>
      <c r="D21" s="7">
        <f t="shared" ca="1" si="1"/>
        <v>75</v>
      </c>
      <c r="E21" s="7">
        <v>57</v>
      </c>
      <c r="F21">
        <f t="shared" ca="1" si="3"/>
        <v>67.900000000000006</v>
      </c>
      <c r="G21" t="str">
        <f t="shared" ca="1" si="4"/>
        <v>否</v>
      </c>
      <c r="H21" t="str">
        <f t="shared" ca="1" si="5"/>
        <v>否</v>
      </c>
      <c r="I21">
        <f t="shared" ca="1" si="2"/>
        <v>34</v>
      </c>
      <c r="J21" cm="1">
        <f t="array" aca="1" ref="J21" ca="1">SUMPRODUCT(($B$2:$B$69=B21)*($F$2:$F$69&gt;F21)) + 1</f>
        <v>14</v>
      </c>
    </row>
    <row r="22" spans="1:10">
      <c r="A22" s="6" t="s">
        <v>31</v>
      </c>
      <c r="B22" s="7">
        <v>1</v>
      </c>
      <c r="C22" s="7">
        <f t="shared" ca="1" si="0"/>
        <v>90</v>
      </c>
      <c r="D22" s="7">
        <f t="shared" ca="1" si="1"/>
        <v>63</v>
      </c>
      <c r="E22" s="7">
        <v>80</v>
      </c>
      <c r="F22">
        <f t="shared" ca="1" si="3"/>
        <v>79.900000000000006</v>
      </c>
      <c r="G22" t="str">
        <f t="shared" ca="1" si="4"/>
        <v>是</v>
      </c>
      <c r="H22" t="str">
        <f t="shared" ca="1" si="5"/>
        <v>否</v>
      </c>
      <c r="I22">
        <f t="shared" ca="1" si="2"/>
        <v>7</v>
      </c>
      <c r="J22" cm="1">
        <f t="array" aca="1" ref="J22" ca="1">SUMPRODUCT(($B$2:$B$69=B22)*($F$2:$F$69&gt;F22)) + 1</f>
        <v>2</v>
      </c>
    </row>
    <row r="23" spans="1:10">
      <c r="A23" s="6" t="s">
        <v>32</v>
      </c>
      <c r="B23" s="7">
        <v>1</v>
      </c>
      <c r="C23" s="7">
        <f t="shared" ca="1" si="0"/>
        <v>79</v>
      </c>
      <c r="D23" s="7">
        <f t="shared" ca="1" si="1"/>
        <v>78</v>
      </c>
      <c r="E23" s="7">
        <v>65</v>
      </c>
      <c r="F23">
        <f t="shared" ca="1" si="3"/>
        <v>75.900000000000006</v>
      </c>
      <c r="G23" t="str">
        <f t="shared" ca="1" si="4"/>
        <v>否</v>
      </c>
      <c r="H23" t="str">
        <f t="shared" ca="1" si="5"/>
        <v>否</v>
      </c>
      <c r="I23">
        <f t="shared" ca="1" si="2"/>
        <v>18</v>
      </c>
      <c r="J23" cm="1">
        <f t="array" aca="1" ref="J23" ca="1">SUMPRODUCT(($B$2:$B$69=B23)*($F$2:$F$69&gt;F23)) + 1</f>
        <v>7</v>
      </c>
    </row>
    <row r="24" spans="1:10">
      <c r="A24" s="6" t="s">
        <v>33</v>
      </c>
      <c r="B24" s="7">
        <v>1</v>
      </c>
      <c r="C24" s="7">
        <f t="shared" ca="1" si="0"/>
        <v>70</v>
      </c>
      <c r="D24" s="7">
        <f t="shared" ca="1" si="1"/>
        <v>82</v>
      </c>
      <c r="E24" s="7">
        <v>84</v>
      </c>
      <c r="F24">
        <f t="shared" ca="1" si="3"/>
        <v>76.399999999999991</v>
      </c>
      <c r="G24" t="str">
        <f t="shared" ca="1" si="4"/>
        <v>否</v>
      </c>
      <c r="H24" t="str">
        <f t="shared" ca="1" si="5"/>
        <v>否</v>
      </c>
      <c r="I24">
        <f t="shared" ca="1" si="2"/>
        <v>16</v>
      </c>
      <c r="J24" cm="1">
        <f t="array" aca="1" ref="J24" ca="1">SUMPRODUCT(($B$2:$B$69=B24)*($F$2:$F$69&gt;F24)) + 1</f>
        <v>5</v>
      </c>
    </row>
    <row r="25" spans="1:10">
      <c r="A25" s="6" t="s">
        <v>34</v>
      </c>
      <c r="B25" s="7">
        <v>1</v>
      </c>
      <c r="C25" s="7">
        <f t="shared" ca="1" si="0"/>
        <v>86</v>
      </c>
      <c r="D25" s="7">
        <f t="shared" ca="1" si="1"/>
        <v>50</v>
      </c>
      <c r="E25" s="7">
        <v>60</v>
      </c>
      <c r="F25">
        <f t="shared" ca="1" si="3"/>
        <v>70</v>
      </c>
      <c r="G25" t="str">
        <f t="shared" ca="1" si="4"/>
        <v>是</v>
      </c>
      <c r="H25" t="str">
        <f t="shared" ca="1" si="5"/>
        <v>否</v>
      </c>
      <c r="I25">
        <f t="shared" ca="1" si="2"/>
        <v>31</v>
      </c>
      <c r="J25" cm="1">
        <f t="array" aca="1" ref="J25" ca="1">SUMPRODUCT(($B$2:$B$69=B25)*($F$2:$F$69&gt;F25)) + 1</f>
        <v>12</v>
      </c>
    </row>
    <row r="26" spans="1:10">
      <c r="A26" s="6" t="s">
        <v>35</v>
      </c>
      <c r="B26" s="7">
        <v>1</v>
      </c>
      <c r="C26" s="7">
        <f t="shared" ca="1" si="0"/>
        <v>80</v>
      </c>
      <c r="D26" s="7">
        <f t="shared" ca="1" si="1"/>
        <v>64</v>
      </c>
      <c r="E26" s="7">
        <v>85</v>
      </c>
      <c r="F26">
        <f t="shared" ca="1" si="3"/>
        <v>76.2</v>
      </c>
      <c r="G26" t="str">
        <f t="shared" ca="1" si="4"/>
        <v>否</v>
      </c>
      <c r="H26" t="str">
        <f t="shared" ca="1" si="5"/>
        <v>否</v>
      </c>
      <c r="I26">
        <f t="shared" ca="1" si="2"/>
        <v>17</v>
      </c>
      <c r="J26" cm="1">
        <f t="array" aca="1" ref="J26" ca="1">SUMPRODUCT(($B$2:$B$69=B26)*($F$2:$F$69&gt;F26)) + 1</f>
        <v>6</v>
      </c>
    </row>
    <row r="27" spans="1:10">
      <c r="A27" s="6" t="s">
        <v>36</v>
      </c>
      <c r="B27" s="7">
        <v>2</v>
      </c>
      <c r="C27" s="7">
        <f t="shared" ca="1" si="0"/>
        <v>67</v>
      </c>
      <c r="D27" s="7">
        <f t="shared" ca="1" si="1"/>
        <v>54</v>
      </c>
      <c r="E27" s="7">
        <v>69</v>
      </c>
      <c r="F27">
        <f t="shared" ca="1" si="3"/>
        <v>63.5</v>
      </c>
      <c r="G27" t="str">
        <f t="shared" ca="1" si="4"/>
        <v>否</v>
      </c>
      <c r="H27" t="str">
        <f t="shared" ca="1" si="5"/>
        <v>否</v>
      </c>
      <c r="I27">
        <f t="shared" ca="1" si="2"/>
        <v>53</v>
      </c>
      <c r="J27" cm="1">
        <f t="array" aca="1" ref="J27" ca="1">SUMPRODUCT(($B$2:$B$69=B27)*($F$2:$F$69&gt;F27)) + 1</f>
        <v>21</v>
      </c>
    </row>
    <row r="28" spans="1:10">
      <c r="A28" s="6" t="s">
        <v>37</v>
      </c>
      <c r="B28" s="7">
        <v>2</v>
      </c>
      <c r="C28" s="7">
        <f t="shared" ca="1" si="0"/>
        <v>58</v>
      </c>
      <c r="D28" s="7">
        <f t="shared" ca="1" si="1"/>
        <v>85</v>
      </c>
      <c r="E28" s="7">
        <v>87</v>
      </c>
      <c r="F28">
        <f t="shared" ca="1" si="3"/>
        <v>71.900000000000006</v>
      </c>
      <c r="G28" t="str">
        <f t="shared" ca="1" si="4"/>
        <v>是</v>
      </c>
      <c r="H28" t="str">
        <f t="shared" ca="1" si="5"/>
        <v>否</v>
      </c>
      <c r="I28">
        <f t="shared" ca="1" si="2"/>
        <v>23</v>
      </c>
      <c r="J28" cm="1">
        <f t="array" aca="1" ref="J28" ca="1">SUMPRODUCT(($B$2:$B$69=B28)*($F$2:$F$69&gt;F28)) + 1</f>
        <v>9</v>
      </c>
    </row>
    <row r="29" spans="1:10">
      <c r="A29" s="6" t="s">
        <v>38</v>
      </c>
      <c r="B29" s="7">
        <v>2</v>
      </c>
      <c r="C29" s="7">
        <f t="shared" ca="1" si="0"/>
        <v>73</v>
      </c>
      <c r="D29" s="7">
        <f t="shared" ca="1" si="1"/>
        <v>76</v>
      </c>
      <c r="E29" s="7">
        <v>72</v>
      </c>
      <c r="F29">
        <f t="shared" ca="1" si="3"/>
        <v>73.7</v>
      </c>
      <c r="G29" t="str">
        <f t="shared" ca="1" si="4"/>
        <v>否</v>
      </c>
      <c r="H29" t="str">
        <f t="shared" ca="1" si="5"/>
        <v>否</v>
      </c>
      <c r="I29">
        <f t="shared" ca="1" si="2"/>
        <v>22</v>
      </c>
      <c r="J29" cm="1">
        <f t="array" aca="1" ref="J29" ca="1">SUMPRODUCT(($B$2:$B$69=B29)*($F$2:$F$69&gt;F29)) + 1</f>
        <v>8</v>
      </c>
    </row>
    <row r="30" spans="1:10">
      <c r="A30" s="6" t="s">
        <v>39</v>
      </c>
      <c r="B30" s="7">
        <v>2</v>
      </c>
      <c r="C30" s="7">
        <f t="shared" ca="1" si="0"/>
        <v>83</v>
      </c>
      <c r="D30" s="7">
        <f t="shared" ca="1" si="1"/>
        <v>52</v>
      </c>
      <c r="E30" s="7">
        <v>50</v>
      </c>
      <c r="F30">
        <f t="shared" ca="1" si="3"/>
        <v>67.099999999999994</v>
      </c>
      <c r="G30" t="str">
        <f t="shared" ca="1" si="4"/>
        <v>否</v>
      </c>
      <c r="H30" t="str">
        <f t="shared" ca="1" si="5"/>
        <v>否</v>
      </c>
      <c r="I30">
        <f t="shared" ca="1" si="2"/>
        <v>40</v>
      </c>
      <c r="J30" cm="1">
        <f t="array" aca="1" ref="J30" ca="1">SUMPRODUCT(($B$2:$B$69=B30)*($F$2:$F$69&gt;F30)) + 1</f>
        <v>16</v>
      </c>
    </row>
    <row r="31" spans="1:10">
      <c r="A31" s="6" t="s">
        <v>40</v>
      </c>
      <c r="B31" s="7">
        <v>2</v>
      </c>
      <c r="C31" s="7">
        <f t="shared" ca="1" si="0"/>
        <v>83</v>
      </c>
      <c r="D31" s="7">
        <f t="shared" ca="1" si="1"/>
        <v>78</v>
      </c>
      <c r="E31" s="7">
        <v>60</v>
      </c>
      <c r="F31">
        <f t="shared" ca="1" si="3"/>
        <v>76.900000000000006</v>
      </c>
      <c r="G31" t="str">
        <f t="shared" ca="1" si="4"/>
        <v>否</v>
      </c>
      <c r="H31" t="str">
        <f t="shared" ca="1" si="5"/>
        <v>否</v>
      </c>
      <c r="I31">
        <f t="shared" ca="1" si="2"/>
        <v>14</v>
      </c>
      <c r="J31" cm="1">
        <f t="array" aca="1" ref="J31" ca="1">SUMPRODUCT(($B$2:$B$69=B31)*($F$2:$F$69&gt;F31)) + 1</f>
        <v>6</v>
      </c>
    </row>
    <row r="32" spans="1:10">
      <c r="A32" s="6" t="s">
        <v>41</v>
      </c>
      <c r="B32" s="7">
        <v>2</v>
      </c>
      <c r="C32" s="7">
        <f t="shared" ca="1" si="0"/>
        <v>64</v>
      </c>
      <c r="D32" s="7">
        <f t="shared" ca="1" si="1"/>
        <v>80</v>
      </c>
      <c r="E32" s="7">
        <v>57</v>
      </c>
      <c r="F32">
        <f t="shared" ca="1" si="3"/>
        <v>67.400000000000006</v>
      </c>
      <c r="G32" t="str">
        <f t="shared" ca="1" si="4"/>
        <v>否</v>
      </c>
      <c r="H32" t="str">
        <f t="shared" ca="1" si="5"/>
        <v>否</v>
      </c>
      <c r="I32">
        <f t="shared" ca="1" si="2"/>
        <v>37</v>
      </c>
      <c r="J32" cm="1">
        <f t="array" aca="1" ref="J32" ca="1">SUMPRODUCT(($B$2:$B$69=B32)*($F$2:$F$69&gt;F32)) + 1</f>
        <v>13</v>
      </c>
    </row>
    <row r="33" spans="1:10">
      <c r="A33" s="6" t="s">
        <v>42</v>
      </c>
      <c r="B33" s="7">
        <v>2</v>
      </c>
      <c r="C33" s="7">
        <f t="shared" ca="1" si="0"/>
        <v>80</v>
      </c>
      <c r="D33" s="7">
        <f t="shared" ca="1" si="1"/>
        <v>88</v>
      </c>
      <c r="E33" s="7">
        <v>59</v>
      </c>
      <c r="F33">
        <f t="shared" ca="1" si="3"/>
        <v>78.2</v>
      </c>
      <c r="G33" t="str">
        <f t="shared" ca="1" si="4"/>
        <v>是</v>
      </c>
      <c r="H33" t="str">
        <f t="shared" ca="1" si="5"/>
        <v>否</v>
      </c>
      <c r="I33">
        <f t="shared" ca="1" si="2"/>
        <v>9</v>
      </c>
      <c r="J33" cm="1">
        <f t="array" aca="1" ref="J33" ca="1">SUMPRODUCT(($B$2:$B$69=B33)*($F$2:$F$69&gt;F33)) + 1</f>
        <v>3</v>
      </c>
    </row>
    <row r="34" spans="1:10">
      <c r="A34" s="6" t="s">
        <v>43</v>
      </c>
      <c r="B34" s="7">
        <v>2</v>
      </c>
      <c r="C34" s="7">
        <f t="shared" ca="1" si="0"/>
        <v>87</v>
      </c>
      <c r="D34" s="7">
        <f t="shared" ca="1" si="1"/>
        <v>65</v>
      </c>
      <c r="E34" s="7">
        <v>88</v>
      </c>
      <c r="F34">
        <f t="shared" ca="1" si="3"/>
        <v>80.599999999999994</v>
      </c>
      <c r="G34" t="str">
        <f t="shared" ca="1" si="4"/>
        <v>是</v>
      </c>
      <c r="H34" t="str">
        <f t="shared" ca="1" si="5"/>
        <v>否</v>
      </c>
      <c r="I34">
        <f t="shared" ref="I34:I58" ca="1" si="6">_xlfn.RANK.EQ(F34,$F$2:$F$69)</f>
        <v>6</v>
      </c>
      <c r="J34" cm="1">
        <f t="array" aca="1" ref="J34" ca="1">SUMPRODUCT(($B$2:$B$69=B34)*($F$2:$F$69&gt;F34)) + 1</f>
        <v>2</v>
      </c>
    </row>
    <row r="35" spans="1:10">
      <c r="A35" s="6" t="s">
        <v>44</v>
      </c>
      <c r="B35" s="7">
        <v>3</v>
      </c>
      <c r="C35" s="7">
        <f t="shared" ca="1" si="0"/>
        <v>90</v>
      </c>
      <c r="D35" s="7">
        <f t="shared" ca="1" si="1"/>
        <v>75</v>
      </c>
      <c r="E35" s="7">
        <v>70</v>
      </c>
      <c r="F35">
        <f t="shared" ca="1" si="3"/>
        <v>81.5</v>
      </c>
      <c r="G35" t="str">
        <f t="shared" ca="1" si="4"/>
        <v>是</v>
      </c>
      <c r="H35" t="str">
        <f t="shared" ca="1" si="5"/>
        <v>否</v>
      </c>
      <c r="I35">
        <f t="shared" ca="1" si="6"/>
        <v>4</v>
      </c>
      <c r="J35" cm="1">
        <f t="array" aca="1" ref="J35" ca="1">SUMPRODUCT(($B$2:$B$69=B35)*($F$2:$F$69&gt;F35)) + 1</f>
        <v>3</v>
      </c>
    </row>
    <row r="36" spans="1:10">
      <c r="A36" s="6" t="s">
        <v>45</v>
      </c>
      <c r="B36" s="7">
        <v>3</v>
      </c>
      <c r="C36" s="7">
        <f t="shared" ca="1" si="0"/>
        <v>54</v>
      </c>
      <c r="D36" s="7">
        <f t="shared" ca="1" si="1"/>
        <v>63</v>
      </c>
      <c r="E36" s="7">
        <v>77</v>
      </c>
      <c r="F36">
        <f t="shared" ca="1" si="3"/>
        <v>61.3</v>
      </c>
      <c r="G36" t="str">
        <f t="shared" ca="1" si="4"/>
        <v>否</v>
      </c>
      <c r="H36" t="str">
        <f t="shared" ca="1" si="5"/>
        <v>否</v>
      </c>
      <c r="I36">
        <f t="shared" ca="1" si="6"/>
        <v>59</v>
      </c>
      <c r="J36" cm="1">
        <f t="array" aca="1" ref="J36" ca="1">SUMPRODUCT(($B$2:$B$69=B36)*($F$2:$F$69&gt;F36)) + 1</f>
        <v>12</v>
      </c>
    </row>
    <row r="37" spans="1:10">
      <c r="A37" s="6" t="s">
        <v>46</v>
      </c>
      <c r="B37" s="7">
        <v>3</v>
      </c>
      <c r="C37" s="7">
        <f t="shared" ca="1" si="0"/>
        <v>60</v>
      </c>
      <c r="D37" s="7">
        <f t="shared" ca="1" si="1"/>
        <v>75</v>
      </c>
      <c r="E37" s="7">
        <v>78</v>
      </c>
      <c r="F37">
        <f t="shared" ca="1" si="3"/>
        <v>68.099999999999994</v>
      </c>
      <c r="G37" t="str">
        <f t="shared" ca="1" si="4"/>
        <v>否</v>
      </c>
      <c r="H37" t="str">
        <f t="shared" ca="1" si="5"/>
        <v>否</v>
      </c>
      <c r="I37">
        <f t="shared" ca="1" si="6"/>
        <v>32</v>
      </c>
      <c r="J37" cm="1">
        <f t="array" aca="1" ref="J37" ca="1">SUMPRODUCT(($B$2:$B$69=B37)*($F$2:$F$69&gt;F37)) + 1</f>
        <v>9</v>
      </c>
    </row>
    <row r="38" spans="1:10">
      <c r="A38" s="6" t="s">
        <v>47</v>
      </c>
      <c r="B38" s="7">
        <v>3</v>
      </c>
      <c r="C38" s="7">
        <f t="shared" ca="1" si="0"/>
        <v>81</v>
      </c>
      <c r="D38" s="7">
        <f t="shared" ca="1" si="1"/>
        <v>83</v>
      </c>
      <c r="E38" s="7">
        <v>56</v>
      </c>
      <c r="F38">
        <f t="shared" ca="1" si="3"/>
        <v>76.600000000000009</v>
      </c>
      <c r="G38" t="str">
        <f t="shared" ca="1" si="4"/>
        <v>否</v>
      </c>
      <c r="H38" t="str">
        <f t="shared" ca="1" si="5"/>
        <v>否</v>
      </c>
      <c r="I38">
        <f t="shared" ca="1" si="6"/>
        <v>15</v>
      </c>
      <c r="J38" cm="1">
        <f t="array" aca="1" ref="J38" ca="1">SUMPRODUCT(($B$2:$B$69=B38)*($F$2:$F$69&gt;F38)) + 1</f>
        <v>5</v>
      </c>
    </row>
    <row r="39" spans="1:10">
      <c r="A39" s="6" t="s">
        <v>48</v>
      </c>
      <c r="B39" s="7">
        <v>3</v>
      </c>
      <c r="C39" s="7">
        <f t="shared" ca="1" si="0"/>
        <v>52</v>
      </c>
      <c r="D39" s="7">
        <f t="shared" ca="1" si="1"/>
        <v>72</v>
      </c>
      <c r="E39" s="7">
        <v>60</v>
      </c>
      <c r="F39">
        <f t="shared" ca="1" si="3"/>
        <v>59.599999999999994</v>
      </c>
      <c r="G39" t="str">
        <f t="shared" ca="1" si="4"/>
        <v>否</v>
      </c>
      <c r="H39" t="str">
        <f t="shared" ca="1" si="5"/>
        <v>否</v>
      </c>
      <c r="I39">
        <f t="shared" ca="1" si="6"/>
        <v>63</v>
      </c>
      <c r="J39" cm="1">
        <f t="array" aca="1" ref="J39" ca="1">SUMPRODUCT(($B$2:$B$69=B39)*($F$2:$F$69&gt;F39)) + 1</f>
        <v>14</v>
      </c>
    </row>
    <row r="40" spans="1:10">
      <c r="A40" s="6" t="s">
        <v>49</v>
      </c>
      <c r="B40" s="7">
        <v>1</v>
      </c>
      <c r="C40" s="7">
        <f t="shared" ca="1" si="0"/>
        <v>77</v>
      </c>
      <c r="D40" s="7">
        <f t="shared" ca="1" si="1"/>
        <v>85</v>
      </c>
      <c r="E40" s="7">
        <v>86</v>
      </c>
      <c r="F40">
        <f t="shared" ca="1" si="3"/>
        <v>81.2</v>
      </c>
      <c r="G40" t="str">
        <f t="shared" ca="1" si="4"/>
        <v>是</v>
      </c>
      <c r="H40" t="str">
        <f t="shared" ca="1" si="5"/>
        <v>否</v>
      </c>
      <c r="I40">
        <f t="shared" ca="1" si="6"/>
        <v>5</v>
      </c>
      <c r="J40" cm="1">
        <f t="array" aca="1" ref="J40" ca="1">SUMPRODUCT(($B$2:$B$69=B40)*($F$2:$F$69&gt;F40)) + 1</f>
        <v>1</v>
      </c>
    </row>
    <row r="41" spans="1:10">
      <c r="A41" s="6" t="s">
        <v>50</v>
      </c>
      <c r="B41" s="7">
        <v>1</v>
      </c>
      <c r="C41" s="7">
        <f t="shared" ca="1" si="0"/>
        <v>55</v>
      </c>
      <c r="D41" s="7">
        <f t="shared" ca="1" si="1"/>
        <v>63</v>
      </c>
      <c r="E41" s="7">
        <v>88</v>
      </c>
      <c r="F41">
        <f t="shared" ca="1" si="3"/>
        <v>64</v>
      </c>
      <c r="G41" t="str">
        <f t="shared" ca="1" si="4"/>
        <v>是</v>
      </c>
      <c r="H41" t="str">
        <f t="shared" ca="1" si="5"/>
        <v>否</v>
      </c>
      <c r="I41">
        <f t="shared" ca="1" si="6"/>
        <v>49</v>
      </c>
      <c r="J41" cm="1">
        <f t="array" aca="1" ref="J41" ca="1">SUMPRODUCT(($B$2:$B$69=B41)*($F$2:$F$69&gt;F41)) + 1</f>
        <v>21</v>
      </c>
    </row>
    <row r="42" spans="1:10">
      <c r="A42" s="6" t="s">
        <v>51</v>
      </c>
      <c r="B42" s="7">
        <v>1</v>
      </c>
      <c r="C42" s="7">
        <f t="shared" ca="1" si="0"/>
        <v>60</v>
      </c>
      <c r="D42" s="7">
        <f t="shared" ca="1" si="1"/>
        <v>71</v>
      </c>
      <c r="E42" s="7">
        <v>72</v>
      </c>
      <c r="F42">
        <f t="shared" ca="1" si="3"/>
        <v>65.7</v>
      </c>
      <c r="G42" t="str">
        <f t="shared" ca="1" si="4"/>
        <v>否</v>
      </c>
      <c r="H42" t="str">
        <f t="shared" ca="1" si="5"/>
        <v>否</v>
      </c>
      <c r="I42">
        <f t="shared" ca="1" si="6"/>
        <v>44</v>
      </c>
      <c r="J42" cm="1">
        <f t="array" aca="1" ref="J42" ca="1">SUMPRODUCT(($B$2:$B$69=B42)*($F$2:$F$69&gt;F42)) + 1</f>
        <v>17</v>
      </c>
    </row>
    <row r="43" spans="1:10">
      <c r="A43" s="6" t="s">
        <v>52</v>
      </c>
      <c r="B43" s="7">
        <v>1</v>
      </c>
      <c r="C43" s="7">
        <f t="shared" ca="1" si="0"/>
        <v>74</v>
      </c>
      <c r="D43" s="7">
        <f t="shared" ca="1" si="1"/>
        <v>51</v>
      </c>
      <c r="E43" s="7">
        <v>53</v>
      </c>
      <c r="F43">
        <f t="shared" ca="1" si="3"/>
        <v>62.9</v>
      </c>
      <c r="G43" t="str">
        <f t="shared" ca="1" si="4"/>
        <v>否</v>
      </c>
      <c r="H43" t="str">
        <f t="shared" ca="1" si="5"/>
        <v>否</v>
      </c>
      <c r="I43">
        <f t="shared" ca="1" si="6"/>
        <v>56</v>
      </c>
      <c r="J43" cm="1">
        <f t="array" aca="1" ref="J43" ca="1">SUMPRODUCT(($B$2:$B$69=B43)*($F$2:$F$69&gt;F43)) + 1</f>
        <v>22</v>
      </c>
    </row>
    <row r="44" spans="1:10">
      <c r="A44" s="6" t="s">
        <v>53</v>
      </c>
      <c r="B44" s="7">
        <v>1</v>
      </c>
      <c r="C44" s="7">
        <f t="shared" ca="1" si="0"/>
        <v>82</v>
      </c>
      <c r="D44" s="7">
        <f t="shared" ca="1" si="1"/>
        <v>65</v>
      </c>
      <c r="E44" s="7">
        <v>50</v>
      </c>
      <c r="F44">
        <f t="shared" ca="1" si="3"/>
        <v>70.5</v>
      </c>
      <c r="G44" t="str">
        <f t="shared" ca="1" si="4"/>
        <v>否</v>
      </c>
      <c r="H44" t="str">
        <f t="shared" ca="1" si="5"/>
        <v>否</v>
      </c>
      <c r="I44">
        <f t="shared" ca="1" si="6"/>
        <v>27</v>
      </c>
      <c r="J44" cm="1">
        <f t="array" aca="1" ref="J44" ca="1">SUMPRODUCT(($B$2:$B$69=B44)*($F$2:$F$69&gt;F44)) + 1</f>
        <v>9</v>
      </c>
    </row>
    <row r="45" spans="1:10">
      <c r="A45" s="6" t="s">
        <v>54</v>
      </c>
      <c r="B45" s="7">
        <v>1</v>
      </c>
      <c r="C45" s="7">
        <f t="shared" ca="1" si="0"/>
        <v>52</v>
      </c>
      <c r="D45" s="7">
        <f t="shared" ca="1" si="1"/>
        <v>89</v>
      </c>
      <c r="E45" s="7">
        <v>60</v>
      </c>
      <c r="F45">
        <f t="shared" ca="1" si="3"/>
        <v>64.7</v>
      </c>
      <c r="G45" t="str">
        <f t="shared" ca="1" si="4"/>
        <v>是</v>
      </c>
      <c r="H45" t="str">
        <f t="shared" ca="1" si="5"/>
        <v>否</v>
      </c>
      <c r="I45">
        <f t="shared" ca="1" si="6"/>
        <v>46</v>
      </c>
      <c r="J45" cm="1">
        <f t="array" aca="1" ref="J45" ca="1">SUMPRODUCT(($B$2:$B$69=B45)*($F$2:$F$69&gt;F45)) + 1</f>
        <v>19</v>
      </c>
    </row>
    <row r="46" spans="1:10">
      <c r="A46" s="6" t="s">
        <v>55</v>
      </c>
      <c r="B46" s="7">
        <v>2</v>
      </c>
      <c r="C46" s="7">
        <f t="shared" ca="1" si="0"/>
        <v>65</v>
      </c>
      <c r="D46" s="7">
        <f t="shared" ca="1" si="1"/>
        <v>53</v>
      </c>
      <c r="E46" s="7">
        <v>73</v>
      </c>
      <c r="F46">
        <f t="shared" ca="1" si="3"/>
        <v>63</v>
      </c>
      <c r="G46" t="str">
        <f t="shared" ca="1" si="4"/>
        <v>否</v>
      </c>
      <c r="H46" t="str">
        <f t="shared" ca="1" si="5"/>
        <v>否</v>
      </c>
      <c r="I46">
        <f t="shared" ca="1" si="6"/>
        <v>55</v>
      </c>
      <c r="J46" cm="1">
        <f t="array" aca="1" ref="J46" ca="1">SUMPRODUCT(($B$2:$B$69=B46)*($F$2:$F$69&gt;F46)) + 1</f>
        <v>23</v>
      </c>
    </row>
    <row r="47" spans="1:10">
      <c r="A47" s="6" t="s">
        <v>56</v>
      </c>
      <c r="B47" s="7">
        <v>2</v>
      </c>
      <c r="C47" s="7">
        <f t="shared" ca="1" si="0"/>
        <v>57</v>
      </c>
      <c r="D47" s="7">
        <f t="shared" ca="1" si="1"/>
        <v>76</v>
      </c>
      <c r="E47" s="7">
        <v>62</v>
      </c>
      <c r="F47">
        <f t="shared" ca="1" si="3"/>
        <v>63.699999999999996</v>
      </c>
      <c r="G47" t="str">
        <f t="shared" ca="1" si="4"/>
        <v>否</v>
      </c>
      <c r="H47" t="str">
        <f t="shared" ca="1" si="5"/>
        <v>否</v>
      </c>
      <c r="I47">
        <f t="shared" ca="1" si="6"/>
        <v>52</v>
      </c>
      <c r="J47" cm="1">
        <f t="array" aca="1" ref="J47" ca="1">SUMPRODUCT(($B$2:$B$69=B47)*($F$2:$F$69&gt;F47)) + 1</f>
        <v>20</v>
      </c>
    </row>
    <row r="48" spans="1:10">
      <c r="A48" s="6" t="s">
        <v>57</v>
      </c>
      <c r="B48" s="7">
        <v>2</v>
      </c>
      <c r="C48" s="7">
        <f t="shared" ca="1" si="0"/>
        <v>61</v>
      </c>
      <c r="D48" s="7">
        <f t="shared" ca="1" si="1"/>
        <v>80</v>
      </c>
      <c r="E48" s="7">
        <v>62</v>
      </c>
      <c r="F48">
        <f t="shared" ca="1" si="3"/>
        <v>66.900000000000006</v>
      </c>
      <c r="G48" t="str">
        <f t="shared" ca="1" si="4"/>
        <v>否</v>
      </c>
      <c r="H48" t="str">
        <f t="shared" ca="1" si="5"/>
        <v>否</v>
      </c>
      <c r="I48">
        <f t="shared" ca="1" si="6"/>
        <v>41</v>
      </c>
      <c r="J48" cm="1">
        <f t="array" aca="1" ref="J48" ca="1">SUMPRODUCT(($B$2:$B$69=B48)*($F$2:$F$69&gt;F48)) + 1</f>
        <v>17</v>
      </c>
    </row>
    <row r="49" spans="1:10">
      <c r="A49" s="6" t="s">
        <v>58</v>
      </c>
      <c r="B49" s="7">
        <v>2</v>
      </c>
      <c r="C49" s="7">
        <f t="shared" ca="1" si="0"/>
        <v>88</v>
      </c>
      <c r="D49" s="7">
        <f t="shared" ca="1" si="1"/>
        <v>81</v>
      </c>
      <c r="E49" s="7">
        <v>75</v>
      </c>
      <c r="F49">
        <f t="shared" ca="1" si="3"/>
        <v>83.3</v>
      </c>
      <c r="G49" t="str">
        <f t="shared" ca="1" si="4"/>
        <v>是</v>
      </c>
      <c r="H49" t="str">
        <f t="shared" ca="1" si="5"/>
        <v>否</v>
      </c>
      <c r="I49">
        <f t="shared" ca="1" si="6"/>
        <v>2</v>
      </c>
      <c r="J49" cm="1">
        <f t="array" aca="1" ref="J49" ca="1">SUMPRODUCT(($B$2:$B$69=B49)*($F$2:$F$69&gt;F49)) + 1</f>
        <v>1</v>
      </c>
    </row>
    <row r="50" spans="1:10">
      <c r="A50" s="6" t="s">
        <v>59</v>
      </c>
      <c r="B50" s="7">
        <v>2</v>
      </c>
      <c r="C50" s="7">
        <f t="shared" ca="1" si="0"/>
        <v>75</v>
      </c>
      <c r="D50" s="7">
        <f t="shared" ca="1" si="1"/>
        <v>73</v>
      </c>
      <c r="E50" s="7">
        <v>55</v>
      </c>
      <c r="F50">
        <f t="shared" ca="1" si="3"/>
        <v>70.400000000000006</v>
      </c>
      <c r="G50" t="str">
        <f t="shared" ca="1" si="4"/>
        <v>否</v>
      </c>
      <c r="H50" t="str">
        <f t="shared" ca="1" si="5"/>
        <v>否</v>
      </c>
      <c r="I50">
        <f t="shared" ca="1" si="6"/>
        <v>28</v>
      </c>
      <c r="J50" cm="1">
        <f t="array" aca="1" ref="J50" ca="1">SUMPRODUCT(($B$2:$B$69=B50)*($F$2:$F$69&gt;F50)) + 1</f>
        <v>11</v>
      </c>
    </row>
    <row r="51" spans="1:10">
      <c r="A51" s="6" t="s">
        <v>60</v>
      </c>
      <c r="B51" s="7">
        <v>2</v>
      </c>
      <c r="C51" s="7">
        <f t="shared" ca="1" si="0"/>
        <v>66</v>
      </c>
      <c r="D51" s="7">
        <f t="shared" ca="1" si="1"/>
        <v>65</v>
      </c>
      <c r="E51" s="7">
        <v>57</v>
      </c>
      <c r="F51">
        <f t="shared" ca="1" si="3"/>
        <v>63.9</v>
      </c>
      <c r="G51" t="str">
        <f t="shared" ca="1" si="4"/>
        <v>否</v>
      </c>
      <c r="H51" t="str">
        <f t="shared" ca="1" si="5"/>
        <v>否</v>
      </c>
      <c r="I51">
        <f t="shared" ca="1" si="6"/>
        <v>51</v>
      </c>
      <c r="J51" cm="1">
        <f t="array" aca="1" ref="J51" ca="1">SUMPRODUCT(($B$2:$B$69=B51)*($F$2:$F$69&gt;F51)) + 1</f>
        <v>19</v>
      </c>
    </row>
    <row r="52" spans="1:10">
      <c r="A52" s="6" t="s">
        <v>61</v>
      </c>
      <c r="B52" s="7">
        <v>2</v>
      </c>
      <c r="C52" s="7">
        <f t="shared" ca="1" si="0"/>
        <v>61</v>
      </c>
      <c r="D52" s="7">
        <f t="shared" ca="1" si="1"/>
        <v>73</v>
      </c>
      <c r="E52" s="7">
        <v>77</v>
      </c>
      <c r="F52">
        <f t="shared" ca="1" si="3"/>
        <v>67.8</v>
      </c>
      <c r="G52" t="str">
        <f t="shared" ca="1" si="4"/>
        <v>否</v>
      </c>
      <c r="H52" t="str">
        <f t="shared" ca="1" si="5"/>
        <v>否</v>
      </c>
      <c r="I52">
        <f t="shared" ca="1" si="6"/>
        <v>35</v>
      </c>
      <c r="J52" cm="1">
        <f t="array" aca="1" ref="J52" ca="1">SUMPRODUCT(($B$2:$B$69=B52)*($F$2:$F$69&gt;F52)) + 1</f>
        <v>12</v>
      </c>
    </row>
    <row r="53" spans="1:10">
      <c r="A53" s="6" t="s">
        <v>62</v>
      </c>
      <c r="B53" s="7">
        <v>2</v>
      </c>
      <c r="C53" s="7">
        <f t="shared" ca="1" si="0"/>
        <v>52</v>
      </c>
      <c r="D53" s="7">
        <f t="shared" ca="1" si="1"/>
        <v>71</v>
      </c>
      <c r="E53" s="7">
        <v>59</v>
      </c>
      <c r="F53">
        <f t="shared" ca="1" si="3"/>
        <v>59.099999999999994</v>
      </c>
      <c r="G53" t="str">
        <f t="shared" ca="1" si="4"/>
        <v>否</v>
      </c>
      <c r="H53" t="str">
        <f t="shared" ca="1" si="5"/>
        <v>否</v>
      </c>
      <c r="I53">
        <f t="shared" ca="1" si="6"/>
        <v>67</v>
      </c>
      <c r="J53" cm="1">
        <f t="array" aca="1" ref="J53" ca="1">SUMPRODUCT(($B$2:$B$69=B53)*($F$2:$F$69&gt;F53)) + 1</f>
        <v>29</v>
      </c>
    </row>
    <row r="54" spans="1:10">
      <c r="A54" s="6" t="s">
        <v>63</v>
      </c>
      <c r="B54" s="7">
        <v>3</v>
      </c>
      <c r="C54" s="7">
        <f t="shared" ca="1" si="0"/>
        <v>84</v>
      </c>
      <c r="D54" s="7">
        <f t="shared" ca="1" si="1"/>
        <v>64</v>
      </c>
      <c r="E54" s="7">
        <v>70</v>
      </c>
      <c r="F54">
        <f t="shared" ca="1" si="3"/>
        <v>75.2</v>
      </c>
      <c r="G54" t="str">
        <f t="shared" ca="1" si="4"/>
        <v>否</v>
      </c>
      <c r="H54" t="str">
        <f t="shared" ca="1" si="5"/>
        <v>否</v>
      </c>
      <c r="I54">
        <f t="shared" ca="1" si="6"/>
        <v>20</v>
      </c>
      <c r="J54" cm="1">
        <f t="array" aca="1" ref="J54" ca="1">SUMPRODUCT(($B$2:$B$69=B54)*($F$2:$F$69&gt;F54)) + 1</f>
        <v>7</v>
      </c>
    </row>
    <row r="55" spans="1:10">
      <c r="A55" s="6" t="s">
        <v>64</v>
      </c>
      <c r="B55" s="7">
        <v>3</v>
      </c>
      <c r="C55" s="7">
        <f t="shared" ca="1" si="0"/>
        <v>83</v>
      </c>
      <c r="D55" s="7">
        <f t="shared" ca="1" si="1"/>
        <v>83</v>
      </c>
      <c r="E55" s="7">
        <v>55</v>
      </c>
      <c r="F55">
        <f t="shared" ca="1" si="3"/>
        <v>77.400000000000006</v>
      </c>
      <c r="G55" t="str">
        <f t="shared" ca="1" si="4"/>
        <v>否</v>
      </c>
      <c r="H55" t="str">
        <f t="shared" ca="1" si="5"/>
        <v>否</v>
      </c>
      <c r="I55">
        <f t="shared" ca="1" si="6"/>
        <v>12</v>
      </c>
      <c r="J55" cm="1">
        <f t="array" aca="1" ref="J55" ca="1">SUMPRODUCT(($B$2:$B$69=B55)*($F$2:$F$69&gt;F55)) + 1</f>
        <v>4</v>
      </c>
    </row>
    <row r="56" spans="1:10">
      <c r="A56" s="6" t="s">
        <v>65</v>
      </c>
      <c r="B56" s="7">
        <v>3</v>
      </c>
      <c r="C56" s="7">
        <f t="shared" ca="1" si="0"/>
        <v>53</v>
      </c>
      <c r="D56" s="7">
        <f t="shared" ca="1" si="1"/>
        <v>87</v>
      </c>
      <c r="E56" s="7">
        <v>57</v>
      </c>
      <c r="F56">
        <f t="shared" ca="1" si="3"/>
        <v>63.999999999999993</v>
      </c>
      <c r="G56" t="str">
        <f t="shared" ca="1" si="4"/>
        <v>是</v>
      </c>
      <c r="H56" t="str">
        <f t="shared" ca="1" si="5"/>
        <v>否</v>
      </c>
      <c r="I56">
        <f t="shared" ca="1" si="6"/>
        <v>50</v>
      </c>
      <c r="J56" cm="1">
        <f t="array" aca="1" ref="J56" ca="1">SUMPRODUCT(($B$2:$B$69=B56)*($F$2:$F$69&gt;F56)) + 1</f>
        <v>11</v>
      </c>
    </row>
    <row r="57" spans="1:10">
      <c r="A57" s="6" t="s">
        <v>66</v>
      </c>
      <c r="B57" s="7">
        <v>3</v>
      </c>
      <c r="C57" s="7">
        <f t="shared" ca="1" si="0"/>
        <v>89</v>
      </c>
      <c r="D57" s="7">
        <f t="shared" ca="1" si="1"/>
        <v>69</v>
      </c>
      <c r="E57" s="7">
        <v>53</v>
      </c>
      <c r="F57">
        <f t="shared" ca="1" si="3"/>
        <v>75.800000000000011</v>
      </c>
      <c r="G57" t="str">
        <f t="shared" ca="1" si="4"/>
        <v>是</v>
      </c>
      <c r="H57" t="str">
        <f t="shared" ca="1" si="5"/>
        <v>否</v>
      </c>
      <c r="I57">
        <f t="shared" ca="1" si="6"/>
        <v>19</v>
      </c>
      <c r="J57" cm="1">
        <f t="array" aca="1" ref="J57" ca="1">SUMPRODUCT(($B$2:$B$69=B57)*($F$2:$F$69&gt;F57)) + 1</f>
        <v>6</v>
      </c>
    </row>
    <row r="58" spans="1:10">
      <c r="A58" s="6" t="s">
        <v>67</v>
      </c>
      <c r="B58" s="7">
        <v>3</v>
      </c>
      <c r="C58" s="7">
        <f t="shared" ca="1" si="0"/>
        <v>60</v>
      </c>
      <c r="D58" s="7">
        <f t="shared" ca="1" si="1"/>
        <v>61</v>
      </c>
      <c r="E58" s="7">
        <v>61</v>
      </c>
      <c r="F58">
        <f t="shared" ca="1" si="3"/>
        <v>60.5</v>
      </c>
      <c r="G58" t="str">
        <f t="shared" ca="1" si="4"/>
        <v>否</v>
      </c>
      <c r="H58" t="str">
        <f t="shared" ca="1" si="5"/>
        <v>否</v>
      </c>
      <c r="I58">
        <f t="shared" ca="1" si="6"/>
        <v>61</v>
      </c>
      <c r="J58" cm="1">
        <f t="array" aca="1" ref="J58" ca="1">SUMPRODUCT(($B$2:$B$69=B58)*($F$2:$F$69&gt;F58)) + 1</f>
        <v>13</v>
      </c>
    </row>
    <row r="59" spans="1:10">
      <c r="A59" s="6" t="s">
        <v>68</v>
      </c>
      <c r="B59" s="7">
        <v>1</v>
      </c>
      <c r="C59" s="7">
        <f t="shared" ca="1" si="0"/>
        <v>56</v>
      </c>
      <c r="D59" s="7">
        <f t="shared" ca="1" si="1"/>
        <v>81</v>
      </c>
      <c r="E59" s="7">
        <v>67</v>
      </c>
      <c r="F59">
        <f t="shared" ca="1" si="3"/>
        <v>65.7</v>
      </c>
      <c r="G59" t="str">
        <f t="shared" ca="1" si="4"/>
        <v>否</v>
      </c>
      <c r="H59" t="str">
        <f t="shared" ca="1" si="5"/>
        <v>否</v>
      </c>
      <c r="I59">
        <f t="shared" ref="I59:I64" ca="1" si="7">_xlfn.RANK.EQ(F59,$F$2:$F$69)</f>
        <v>44</v>
      </c>
      <c r="J59" cm="1">
        <f t="array" aca="1" ref="J59" ca="1">SUMPRODUCT(($B$2:$B$69=B59)*($F$2:$F$69&gt;F59)) + 1</f>
        <v>17</v>
      </c>
    </row>
    <row r="60" spans="1:10">
      <c r="A60" s="6" t="s">
        <v>69</v>
      </c>
      <c r="B60" s="7">
        <v>1</v>
      </c>
      <c r="C60" s="7">
        <f t="shared" ca="1" si="0"/>
        <v>56</v>
      </c>
      <c r="D60" s="7">
        <f t="shared" ca="1" si="1"/>
        <v>81</v>
      </c>
      <c r="E60" s="7">
        <v>71</v>
      </c>
      <c r="F60">
        <f t="shared" ca="1" si="3"/>
        <v>66.5</v>
      </c>
      <c r="G60" t="str">
        <f t="shared" ca="1" si="4"/>
        <v>否</v>
      </c>
      <c r="H60" t="str">
        <f t="shared" ca="1" si="5"/>
        <v>否</v>
      </c>
      <c r="I60">
        <f t="shared" ca="1" si="7"/>
        <v>42</v>
      </c>
      <c r="J60" cm="1">
        <f t="array" aca="1" ref="J60" ca="1">SUMPRODUCT(($B$2:$B$69=B60)*($F$2:$F$69&gt;F60)) + 1</f>
        <v>15</v>
      </c>
    </row>
    <row r="61" spans="1:10">
      <c r="A61" s="6" t="s">
        <v>70</v>
      </c>
      <c r="B61" s="7">
        <v>1</v>
      </c>
      <c r="C61" s="7">
        <f t="shared" ca="1" si="0"/>
        <v>53</v>
      </c>
      <c r="D61" s="7">
        <f ca="1">RANDBETWEEN(50,90)</f>
        <v>56</v>
      </c>
      <c r="E61" s="7">
        <v>72</v>
      </c>
      <c r="F61">
        <f t="shared" ca="1" si="3"/>
        <v>57.699999999999996</v>
      </c>
      <c r="G61" t="str">
        <f t="shared" ca="1" si="4"/>
        <v>否</v>
      </c>
      <c r="H61" t="str">
        <f t="shared" ca="1" si="5"/>
        <v>否</v>
      </c>
      <c r="I61">
        <f t="shared" ca="1" si="7"/>
        <v>68</v>
      </c>
      <c r="J61" cm="1">
        <f t="array" aca="1" ref="J61" ca="1">SUMPRODUCT(($B$2:$B$69=B61)*($F$2:$F$69&gt;F61)) + 1</f>
        <v>24</v>
      </c>
    </row>
    <row r="62" spans="1:10">
      <c r="A62" s="6" t="s">
        <v>71</v>
      </c>
      <c r="B62" s="7">
        <v>1</v>
      </c>
      <c r="C62" s="7">
        <f t="shared" ca="1" si="0"/>
        <v>63</v>
      </c>
      <c r="D62" s="7">
        <f t="shared" ca="1" si="1"/>
        <v>70</v>
      </c>
      <c r="E62" s="7">
        <v>78</v>
      </c>
      <c r="F62">
        <f t="shared" ca="1" si="3"/>
        <v>68.099999999999994</v>
      </c>
      <c r="G62" t="str">
        <f t="shared" ca="1" si="4"/>
        <v>否</v>
      </c>
      <c r="H62" t="str">
        <f t="shared" ca="1" si="5"/>
        <v>否</v>
      </c>
      <c r="I62">
        <f t="shared" ca="1" si="7"/>
        <v>32</v>
      </c>
      <c r="J62" cm="1">
        <f t="array" aca="1" ref="J62" ca="1">SUMPRODUCT(($B$2:$B$69=B62)*($F$2:$F$69&gt;F62)) + 1</f>
        <v>13</v>
      </c>
    </row>
    <row r="63" spans="1:10">
      <c r="A63" s="6" t="s">
        <v>72</v>
      </c>
      <c r="B63" s="7">
        <v>1</v>
      </c>
      <c r="C63" s="7">
        <f t="shared" ca="1" si="0"/>
        <v>73</v>
      </c>
      <c r="D63" s="7">
        <f t="shared" ca="1" si="1"/>
        <v>82</v>
      </c>
      <c r="E63" s="7">
        <v>84</v>
      </c>
      <c r="F63">
        <f t="shared" ca="1" si="3"/>
        <v>77.899999999999991</v>
      </c>
      <c r="G63" t="str">
        <f t="shared" ca="1" si="4"/>
        <v>否</v>
      </c>
      <c r="H63" t="str">
        <f t="shared" ca="1" si="5"/>
        <v>否</v>
      </c>
      <c r="I63">
        <f t="shared" ca="1" si="7"/>
        <v>11</v>
      </c>
      <c r="J63" cm="1">
        <f t="array" aca="1" ref="J63" ca="1">SUMPRODUCT(($B$2:$B$69=B63)*($F$2:$F$69&gt;F63)) + 1</f>
        <v>4</v>
      </c>
    </row>
    <row r="64" spans="1:10">
      <c r="A64" s="6" t="s">
        <v>73</v>
      </c>
      <c r="B64" s="7">
        <v>1</v>
      </c>
      <c r="C64" s="7">
        <f t="shared" ca="1" si="0"/>
        <v>70</v>
      </c>
      <c r="D64" s="7">
        <f t="shared" ca="1" si="1"/>
        <v>75</v>
      </c>
      <c r="E64" s="7">
        <v>63</v>
      </c>
      <c r="F64">
        <f t="shared" ca="1" si="3"/>
        <v>70.099999999999994</v>
      </c>
      <c r="G64" t="str">
        <f t="shared" ca="1" si="4"/>
        <v>否</v>
      </c>
      <c r="H64" t="str">
        <f t="shared" ca="1" si="5"/>
        <v>否</v>
      </c>
      <c r="I64">
        <f t="shared" ca="1" si="7"/>
        <v>30</v>
      </c>
      <c r="J64" cm="1">
        <f t="array" aca="1" ref="J64" ca="1">SUMPRODUCT(($B$2:$B$69=B64)*($F$2:$F$69&gt;F64)) + 1</f>
        <v>11</v>
      </c>
    </row>
    <row r="65" spans="1:10">
      <c r="A65" s="6" t="s">
        <v>74</v>
      </c>
      <c r="B65" s="7">
        <v>2</v>
      </c>
      <c r="C65" s="7">
        <f t="shared" ca="1" si="0"/>
        <v>51</v>
      </c>
      <c r="D65" s="7">
        <f t="shared" ca="1" si="1"/>
        <v>79</v>
      </c>
      <c r="E65" s="7">
        <v>58</v>
      </c>
      <c r="F65">
        <f t="shared" ca="1" si="3"/>
        <v>60.800000000000004</v>
      </c>
      <c r="G65" t="str">
        <f t="shared" ca="1" si="4"/>
        <v>否</v>
      </c>
      <c r="H65" t="str">
        <f t="shared" ca="1" si="5"/>
        <v>否</v>
      </c>
      <c r="I65">
        <f ca="1">_xlfn.RANK.EQ(F65,$F$2:$F$69)</f>
        <v>60</v>
      </c>
      <c r="J65" cm="1">
        <f t="array" aca="1" ref="J65" ca="1">SUMPRODUCT(($B$2:$B$69=B65)*($F$2:$F$69&gt;F65)) + 1</f>
        <v>25</v>
      </c>
    </row>
    <row r="66" spans="1:10">
      <c r="A66" s="6" t="s">
        <v>75</v>
      </c>
      <c r="B66" s="7">
        <v>2</v>
      </c>
      <c r="C66" s="7">
        <f t="shared" ref="C66:C69" ca="1" si="8">RANDBETWEEN(50,90)</f>
        <v>63</v>
      </c>
      <c r="D66" s="7">
        <f t="shared" ref="D66:D69" ca="1" si="9">RANDBETWEEN(50,90)</f>
        <v>61</v>
      </c>
      <c r="E66" s="7">
        <v>60</v>
      </c>
      <c r="F66">
        <f t="shared" ca="1" si="3"/>
        <v>61.8</v>
      </c>
      <c r="G66" t="str">
        <f t="shared" ca="1" si="4"/>
        <v>否</v>
      </c>
      <c r="H66" t="str">
        <f t="shared" ca="1" si="5"/>
        <v>否</v>
      </c>
      <c r="I66">
        <f ca="1">_xlfn.RANK.EQ(F66,$F$2:$F$69)</f>
        <v>58</v>
      </c>
      <c r="J66" cm="1">
        <f t="array" aca="1" ref="J66" ca="1">SUMPRODUCT(($B$2:$B$69=B66)*($F$2:$F$69&gt;F66)) + 1</f>
        <v>24</v>
      </c>
    </row>
    <row r="67" spans="1:10">
      <c r="A67" s="6" t="s">
        <v>76</v>
      </c>
      <c r="B67" s="7">
        <v>2</v>
      </c>
      <c r="C67" s="7">
        <f t="shared" ca="1" si="8"/>
        <v>79</v>
      </c>
      <c r="D67" s="7">
        <f t="shared" ca="1" si="9"/>
        <v>83</v>
      </c>
      <c r="E67" s="7">
        <v>68</v>
      </c>
      <c r="F67">
        <f t="shared" ref="F67:F69" ca="1" si="10">0.5*C67+0.3*D67+0.2*E67</f>
        <v>78</v>
      </c>
      <c r="G67" t="str">
        <f t="shared" ref="G67:G69" ca="1" si="11">IF(OR(C67&gt;85,D67&gt;85,E67&gt;85),"是","否")</f>
        <v>否</v>
      </c>
      <c r="H67" t="str">
        <f t="shared" ref="H67:H69" ca="1" si="12">IF(OR(C67&lt;=80,D67&lt;=80,E67&lt;=80),"否","是")</f>
        <v>否</v>
      </c>
      <c r="I67">
        <f ca="1">_xlfn.RANK.EQ(F67,$F$2:$F$69)</f>
        <v>10</v>
      </c>
      <c r="J67" cm="1">
        <f t="array" aca="1" ref="J67" ca="1">SUMPRODUCT(($B$2:$B$69=B67)*($F$2:$F$69&gt;F67)) + 1</f>
        <v>4</v>
      </c>
    </row>
    <row r="68" spans="1:10">
      <c r="A68" s="6" t="s">
        <v>77</v>
      </c>
      <c r="B68" s="7">
        <v>2</v>
      </c>
      <c r="C68" s="7">
        <f t="shared" ca="1" si="8"/>
        <v>55</v>
      </c>
      <c r="D68" s="7">
        <f t="shared" ca="1" si="9"/>
        <v>88</v>
      </c>
      <c r="E68" s="7">
        <v>85</v>
      </c>
      <c r="F68">
        <f t="shared" ca="1" si="10"/>
        <v>70.900000000000006</v>
      </c>
      <c r="G68" t="str">
        <f t="shared" ca="1" si="11"/>
        <v>是</v>
      </c>
      <c r="H68" t="str">
        <f t="shared" ca="1" si="12"/>
        <v>否</v>
      </c>
      <c r="I68">
        <f ca="1">_xlfn.RANK.EQ(F68,$F$2:$F$69)</f>
        <v>26</v>
      </c>
      <c r="J68" cm="1">
        <f t="array" aca="1" ref="J68" ca="1">SUMPRODUCT(($B$2:$B$69=B68)*($F$2:$F$69&gt;F68)) + 1</f>
        <v>10</v>
      </c>
    </row>
    <row r="69" spans="1:10">
      <c r="A69" s="6" t="s">
        <v>78</v>
      </c>
      <c r="B69" s="7">
        <v>2</v>
      </c>
      <c r="C69" s="7">
        <f t="shared" ca="1" si="8"/>
        <v>55</v>
      </c>
      <c r="D69" s="7">
        <f t="shared" ca="1" si="9"/>
        <v>75</v>
      </c>
      <c r="E69" s="7">
        <v>52</v>
      </c>
      <c r="F69">
        <f t="shared" ca="1" si="10"/>
        <v>60.4</v>
      </c>
      <c r="G69" t="str">
        <f t="shared" ca="1" si="11"/>
        <v>否</v>
      </c>
      <c r="H69" t="str">
        <f t="shared" ca="1" si="12"/>
        <v>否</v>
      </c>
      <c r="I69">
        <f ca="1">_xlfn.RANK.EQ(F69,$F$2:$F$69)</f>
        <v>62</v>
      </c>
      <c r="J69" cm="1">
        <f t="array" aca="1" ref="J69" ca="1">SUMPRODUCT(($B$2:$B$69=B69)*($F$2:$F$69&gt;F69)) + 1</f>
        <v>26</v>
      </c>
    </row>
  </sheetData>
  <autoFilter ref="A1:J6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999"/>
  <sheetViews>
    <sheetView workbookViewId="0">
      <selection activeCell="B19" sqref="B19"/>
    </sheetView>
  </sheetViews>
  <sheetFormatPr defaultColWidth="8.6640625" defaultRowHeight="14.4"/>
  <cols>
    <col min="1" max="1" width="17.5546875" customWidth="1"/>
    <col min="2" max="3" width="21.33203125" style="2" customWidth="1"/>
    <col min="4" max="4" width="10.33203125" customWidth="1"/>
    <col min="5" max="5" width="11.109375" customWidth="1"/>
    <col min="6" max="6" width="8.109375" customWidth="1"/>
    <col min="7" max="7" width="11.5546875" customWidth="1"/>
  </cols>
  <sheetData>
    <row r="1" spans="1:17" ht="72">
      <c r="A1" s="3" t="s">
        <v>79</v>
      </c>
      <c r="B1" s="3" t="s">
        <v>80</v>
      </c>
      <c r="C1" s="3" t="s">
        <v>81</v>
      </c>
      <c r="D1" s="3" t="s">
        <v>82</v>
      </c>
      <c r="E1" s="3" t="s">
        <v>83</v>
      </c>
      <c r="F1" s="3" t="s">
        <v>84</v>
      </c>
      <c r="G1" s="3" t="s">
        <v>85</v>
      </c>
      <c r="H1" s="3" t="s">
        <v>86</v>
      </c>
      <c r="I1" s="9" t="s">
        <v>87</v>
      </c>
      <c r="J1" s="9" t="s">
        <v>88</v>
      </c>
      <c r="K1" s="9" t="s">
        <v>89</v>
      </c>
      <c r="L1" s="10" t="s">
        <v>90</v>
      </c>
      <c r="M1" s="10" t="s">
        <v>91</v>
      </c>
      <c r="N1" s="10" t="s">
        <v>92</v>
      </c>
      <c r="O1" s="10"/>
      <c r="P1" s="10"/>
      <c r="Q1" s="10"/>
    </row>
    <row r="2" spans="1:17" ht="15.6">
      <c r="A2" s="4" t="s">
        <v>561</v>
      </c>
      <c r="B2" s="5">
        <v>44219.210012409298</v>
      </c>
      <c r="C2" s="5">
        <v>44224.736508654903</v>
      </c>
      <c r="D2" s="4" t="s">
        <v>98</v>
      </c>
      <c r="E2" s="4" t="s">
        <v>562</v>
      </c>
      <c r="F2" s="4" t="s">
        <v>96</v>
      </c>
      <c r="G2" s="4">
        <f t="shared" ref="G2:G65" ca="1" si="0">RANDBETWEEN(10,100)</f>
        <v>90</v>
      </c>
      <c r="H2" s="4">
        <v>4</v>
      </c>
      <c r="I2">
        <f ca="1">G2*H2</f>
        <v>360</v>
      </c>
      <c r="J2">
        <f>MONTH(B2)</f>
        <v>1</v>
      </c>
      <c r="K2" t="str">
        <f>VLOOKUP(E2,地区表!$A$2:$C$255,3,FALSE)</f>
        <v>西南</v>
      </c>
      <c r="L2" s="23" t="str" cm="1">
        <f t="array" ref="L2:N2">_xlfn.TEXTSPLIT(A2,"-")</f>
        <v>CN</v>
      </c>
      <c r="M2" s="22" t="str">
        <v>2763</v>
      </c>
      <c r="N2" s="22" t="str">
        <v>5102195</v>
      </c>
      <c r="O2" s="11"/>
      <c r="P2" s="11"/>
      <c r="Q2" s="11"/>
    </row>
    <row r="3" spans="1:17" ht="15.6">
      <c r="A3" s="4" t="s">
        <v>561</v>
      </c>
      <c r="B3" s="5">
        <v>44219.726380426902</v>
      </c>
      <c r="C3" s="5">
        <v>44224.5217270832</v>
      </c>
      <c r="D3" s="4" t="s">
        <v>98</v>
      </c>
      <c r="E3" s="4" t="s">
        <v>562</v>
      </c>
      <c r="F3" s="4" t="s">
        <v>96</v>
      </c>
      <c r="G3" s="4">
        <f t="shared" ca="1" si="0"/>
        <v>56</v>
      </c>
      <c r="H3" s="4">
        <v>2</v>
      </c>
      <c r="I3">
        <f t="shared" ref="I3:I66" ca="1" si="1">G3*H3</f>
        <v>112</v>
      </c>
      <c r="J3">
        <f t="shared" ref="J3:J66" si="2">MONTH(B3)</f>
        <v>1</v>
      </c>
      <c r="K3" t="str">
        <f>VLOOKUP(E3,地区表!$A$2:$C$255,3,FALSE)</f>
        <v>西南</v>
      </c>
      <c r="L3" s="23" t="str" cm="1">
        <f t="array" ref="L3:N3">_xlfn.TEXTSPLIT(A3,"-")</f>
        <v>CN</v>
      </c>
      <c r="M3" s="22" t="str">
        <v>2763</v>
      </c>
      <c r="N3" s="22" t="str">
        <v>5102195</v>
      </c>
    </row>
    <row r="4" spans="1:17" ht="15.6">
      <c r="A4" s="4" t="s">
        <v>561</v>
      </c>
      <c r="B4" s="5">
        <v>44219.166764171001</v>
      </c>
      <c r="C4" s="5">
        <v>44224.054225516003</v>
      </c>
      <c r="D4" s="4" t="s">
        <v>98</v>
      </c>
      <c r="E4" s="4" t="s">
        <v>562</v>
      </c>
      <c r="F4" s="4" t="s">
        <v>109</v>
      </c>
      <c r="G4" s="4">
        <f t="shared" ca="1" si="0"/>
        <v>46</v>
      </c>
      <c r="H4" s="4">
        <v>4</v>
      </c>
      <c r="I4">
        <f t="shared" ca="1" si="1"/>
        <v>184</v>
      </c>
      <c r="J4">
        <f t="shared" si="2"/>
        <v>1</v>
      </c>
      <c r="K4" t="str">
        <f>VLOOKUP(E4,地区表!$A$2:$C$255,3,FALSE)</f>
        <v>西南</v>
      </c>
      <c r="L4" s="23" t="str" cm="1">
        <f t="array" ref="L4:N4">_xlfn.TEXTSPLIT(A4,"-")</f>
        <v>CN</v>
      </c>
      <c r="M4" s="22" t="str">
        <v>2763</v>
      </c>
      <c r="N4" s="22" t="str">
        <v>5102195</v>
      </c>
    </row>
    <row r="5" spans="1:17" ht="15.6">
      <c r="A5" s="4" t="s">
        <v>561</v>
      </c>
      <c r="B5" s="5">
        <v>44219.187481504399</v>
      </c>
      <c r="C5" s="5">
        <v>44224.435794508099</v>
      </c>
      <c r="D5" s="4" t="s">
        <v>98</v>
      </c>
      <c r="E5" s="4" t="s">
        <v>562</v>
      </c>
      <c r="F5" s="4" t="s">
        <v>110</v>
      </c>
      <c r="G5" s="4">
        <f t="shared" ca="1" si="0"/>
        <v>25</v>
      </c>
      <c r="H5" s="4">
        <v>1</v>
      </c>
      <c r="I5">
        <f t="shared" ca="1" si="1"/>
        <v>25</v>
      </c>
      <c r="J5">
        <f t="shared" si="2"/>
        <v>1</v>
      </c>
      <c r="K5" t="str">
        <f>VLOOKUP(E5,地区表!$A$2:$C$255,3,FALSE)</f>
        <v>西南</v>
      </c>
      <c r="L5" s="23" t="str" cm="1">
        <f t="array" ref="L5:N5">_xlfn.TEXTSPLIT(A5,"-")</f>
        <v>CN</v>
      </c>
      <c r="M5" s="22" t="str">
        <v>2763</v>
      </c>
      <c r="N5" s="22" t="str">
        <v>5102195</v>
      </c>
    </row>
    <row r="6" spans="1:17" ht="15.6">
      <c r="A6" s="4" t="s">
        <v>561</v>
      </c>
      <c r="B6" s="5">
        <v>44219.1295160031</v>
      </c>
      <c r="C6" s="5">
        <v>44224.585302784297</v>
      </c>
      <c r="D6" s="4" t="s">
        <v>98</v>
      </c>
      <c r="E6" s="4" t="s">
        <v>562</v>
      </c>
      <c r="F6" s="4" t="s">
        <v>101</v>
      </c>
      <c r="G6" s="4">
        <f t="shared" ca="1" si="0"/>
        <v>84</v>
      </c>
      <c r="H6" s="4">
        <v>3</v>
      </c>
      <c r="I6">
        <f t="shared" ca="1" si="1"/>
        <v>252</v>
      </c>
      <c r="J6">
        <f t="shared" si="2"/>
        <v>1</v>
      </c>
      <c r="K6" t="str">
        <f>VLOOKUP(E6,地区表!$A$2:$C$255,3,FALSE)</f>
        <v>西南</v>
      </c>
      <c r="L6" s="23" t="str" cm="1">
        <f t="array" ref="L6:N6">_xlfn.TEXTSPLIT(A6,"-")</f>
        <v>CN</v>
      </c>
      <c r="M6" s="22" t="str">
        <v>2763</v>
      </c>
      <c r="N6" s="22" t="str">
        <v>5102195</v>
      </c>
    </row>
    <row r="7" spans="1:17" ht="15.6">
      <c r="A7" s="4" t="s">
        <v>561</v>
      </c>
      <c r="B7" s="5">
        <v>44219.119840663399</v>
      </c>
      <c r="C7" s="5">
        <v>44224.073154282501</v>
      </c>
      <c r="D7" s="4" t="s">
        <v>98</v>
      </c>
      <c r="E7" s="4" t="s">
        <v>562</v>
      </c>
      <c r="F7" s="4" t="s">
        <v>122</v>
      </c>
      <c r="G7" s="4">
        <f t="shared" ca="1" si="0"/>
        <v>25</v>
      </c>
      <c r="H7" s="4">
        <v>3</v>
      </c>
      <c r="I7">
        <f t="shared" ca="1" si="1"/>
        <v>75</v>
      </c>
      <c r="J7">
        <f t="shared" si="2"/>
        <v>1</v>
      </c>
      <c r="K7" t="str">
        <f>VLOOKUP(E7,地区表!$A$2:$C$255,3,FALSE)</f>
        <v>西南</v>
      </c>
      <c r="L7" s="23" t="str" cm="1">
        <f t="array" ref="L7:N7">_xlfn.TEXTSPLIT(A7,"-")</f>
        <v>CN</v>
      </c>
      <c r="M7" s="22" t="str">
        <v>2763</v>
      </c>
      <c r="N7" s="22" t="str">
        <v>5102195</v>
      </c>
    </row>
    <row r="8" spans="1:17" ht="15.6">
      <c r="A8" s="4" t="s">
        <v>589</v>
      </c>
      <c r="B8" s="5">
        <v>44274.109584795202</v>
      </c>
      <c r="C8" s="5">
        <v>44274.224521930002</v>
      </c>
      <c r="D8" s="4" t="s">
        <v>114</v>
      </c>
      <c r="E8" s="4" t="s">
        <v>590</v>
      </c>
      <c r="F8" s="4" t="s">
        <v>125</v>
      </c>
      <c r="G8" s="4">
        <f t="shared" ca="1" si="0"/>
        <v>29</v>
      </c>
      <c r="H8" s="4">
        <v>2</v>
      </c>
      <c r="I8">
        <f t="shared" ca="1" si="1"/>
        <v>58</v>
      </c>
      <c r="J8">
        <f t="shared" si="2"/>
        <v>3</v>
      </c>
      <c r="K8" t="str">
        <f>VLOOKUP(E8,地区表!$A$2:$C$255,3,FALSE)</f>
        <v>华东</v>
      </c>
      <c r="L8" s="23" t="str" cm="1">
        <f t="array" ref="L8:N8">_xlfn.TEXTSPLIT(A8,"-")</f>
        <v>CN</v>
      </c>
      <c r="M8" s="22" t="str">
        <v>2818</v>
      </c>
      <c r="N8" s="22" t="str">
        <v>2328434</v>
      </c>
    </row>
    <row r="9" spans="1:17" ht="15.6">
      <c r="A9" s="4" t="s">
        <v>161</v>
      </c>
      <c r="B9" s="5">
        <v>44229.139406074297</v>
      </c>
      <c r="C9" s="5">
        <v>44235.897524933302</v>
      </c>
      <c r="D9" s="4" t="s">
        <v>94</v>
      </c>
      <c r="E9" s="4" t="s">
        <v>162</v>
      </c>
      <c r="F9" s="4" t="s">
        <v>130</v>
      </c>
      <c r="G9" s="4">
        <f t="shared" ca="1" si="0"/>
        <v>31</v>
      </c>
      <c r="H9" s="4">
        <v>2</v>
      </c>
      <c r="I9">
        <f t="shared" ca="1" si="1"/>
        <v>62</v>
      </c>
      <c r="J9">
        <f t="shared" si="2"/>
        <v>2</v>
      </c>
      <c r="K9" t="str">
        <f>VLOOKUP(E9,地区表!$A$2:$C$255,3,FALSE)</f>
        <v>中南</v>
      </c>
      <c r="L9" s="23" t="str" cm="1">
        <f t="array" ref="L9:N9">_xlfn.TEXTSPLIT(A9,"-")</f>
        <v>US</v>
      </c>
      <c r="M9" s="22" t="str">
        <v>2773</v>
      </c>
      <c r="N9" s="22" t="str">
        <v>4292548</v>
      </c>
    </row>
    <row r="10" spans="1:17" ht="15.6">
      <c r="A10" s="4" t="s">
        <v>726</v>
      </c>
      <c r="B10" s="5">
        <v>44636.631315717801</v>
      </c>
      <c r="C10" s="5">
        <v>44639.505876027397</v>
      </c>
      <c r="D10" s="4" t="s">
        <v>98</v>
      </c>
      <c r="E10" s="4" t="s">
        <v>162</v>
      </c>
      <c r="F10" s="4" t="s">
        <v>141</v>
      </c>
      <c r="G10" s="4">
        <f t="shared" ca="1" si="0"/>
        <v>28</v>
      </c>
      <c r="H10" s="4">
        <v>6</v>
      </c>
      <c r="I10">
        <f t="shared" ca="1" si="1"/>
        <v>168</v>
      </c>
      <c r="J10">
        <f t="shared" si="2"/>
        <v>3</v>
      </c>
      <c r="K10" t="str">
        <f>VLOOKUP(E10,地区表!$A$2:$C$255,3,FALSE)</f>
        <v>中南</v>
      </c>
      <c r="L10" s="23" t="str" cm="1">
        <f t="array" ref="L10:N10">_xlfn.TEXTSPLIT(A10,"-")</f>
        <v>US</v>
      </c>
      <c r="M10" s="22" t="str">
        <v>3180</v>
      </c>
      <c r="N10" s="22" t="str">
        <v>3988119</v>
      </c>
    </row>
    <row r="11" spans="1:17" ht="15.6">
      <c r="A11" s="4" t="s">
        <v>726</v>
      </c>
      <c r="B11" s="5">
        <v>44636.972935539503</v>
      </c>
      <c r="C11" s="5">
        <v>44639.107116661798</v>
      </c>
      <c r="D11" s="4" t="s">
        <v>98</v>
      </c>
      <c r="E11" s="4" t="s">
        <v>162</v>
      </c>
      <c r="F11" s="4" t="s">
        <v>130</v>
      </c>
      <c r="G11" s="4">
        <f t="shared" ca="1" si="0"/>
        <v>95</v>
      </c>
      <c r="H11" s="4">
        <v>4</v>
      </c>
      <c r="I11">
        <f t="shared" ca="1" si="1"/>
        <v>380</v>
      </c>
      <c r="J11">
        <f t="shared" si="2"/>
        <v>3</v>
      </c>
      <c r="K11" t="str">
        <f>VLOOKUP(E11,地区表!$A$2:$C$255,3,FALSE)</f>
        <v>中南</v>
      </c>
      <c r="L11" s="23" t="str" cm="1">
        <f t="array" ref="L11:N11">_xlfn.TEXTSPLIT(A11,"-")</f>
        <v>US</v>
      </c>
      <c r="M11" s="22" t="str">
        <v>3180</v>
      </c>
      <c r="N11" s="22" t="str">
        <v>3988119</v>
      </c>
    </row>
    <row r="12" spans="1:17" ht="15.6">
      <c r="A12" s="4" t="s">
        <v>726</v>
      </c>
      <c r="B12" s="5">
        <v>44636.402396362799</v>
      </c>
      <c r="C12" s="5">
        <v>44639.484680566798</v>
      </c>
      <c r="D12" s="4" t="s">
        <v>98</v>
      </c>
      <c r="E12" s="4" t="s">
        <v>162</v>
      </c>
      <c r="F12" s="4" t="s">
        <v>118</v>
      </c>
      <c r="G12" s="4">
        <f t="shared" ca="1" si="0"/>
        <v>45</v>
      </c>
      <c r="H12" s="4">
        <v>13</v>
      </c>
      <c r="I12">
        <f t="shared" ca="1" si="1"/>
        <v>585</v>
      </c>
      <c r="J12">
        <f t="shared" si="2"/>
        <v>3</v>
      </c>
      <c r="K12" t="str">
        <f>VLOOKUP(E12,地区表!$A$2:$C$255,3,FALSE)</f>
        <v>中南</v>
      </c>
      <c r="L12" s="23" t="str" cm="1">
        <f t="array" ref="L12:N12">_xlfn.TEXTSPLIT(A12,"-")</f>
        <v>US</v>
      </c>
      <c r="M12" s="22" t="str">
        <v>3180</v>
      </c>
      <c r="N12" s="22" t="str">
        <v>3988119</v>
      </c>
    </row>
    <row r="13" spans="1:17" ht="15.6">
      <c r="A13" s="4" t="s">
        <v>371</v>
      </c>
      <c r="B13" s="5">
        <v>44426.137345230301</v>
      </c>
      <c r="C13" s="5">
        <v>44430.841392047398</v>
      </c>
      <c r="D13" s="4" t="s">
        <v>98</v>
      </c>
      <c r="E13" s="4" t="s">
        <v>372</v>
      </c>
      <c r="F13" s="4" t="s">
        <v>130</v>
      </c>
      <c r="G13" s="4">
        <f t="shared" ca="1" si="0"/>
        <v>77</v>
      </c>
      <c r="H13" s="4">
        <v>3</v>
      </c>
      <c r="I13">
        <f t="shared" ca="1" si="1"/>
        <v>231</v>
      </c>
      <c r="J13">
        <f t="shared" si="2"/>
        <v>8</v>
      </c>
      <c r="K13" t="str">
        <f>VLOOKUP(E13,地区表!$A$2:$C$255,3,FALSE)</f>
        <v>华东</v>
      </c>
      <c r="L13" s="23" t="str" cm="1">
        <f t="array" ref="L13:N13">_xlfn.TEXTSPLIT(A13,"-")</f>
        <v>CN</v>
      </c>
      <c r="M13" s="22" t="str">
        <v>2970</v>
      </c>
      <c r="N13" s="22" t="str">
        <v>2075002</v>
      </c>
    </row>
    <row r="14" spans="1:17" ht="15.6">
      <c r="A14" s="4" t="s">
        <v>252</v>
      </c>
      <c r="B14" s="5">
        <v>45024.8977671924</v>
      </c>
      <c r="C14" s="5">
        <v>45029.157732315201</v>
      </c>
      <c r="D14" s="4" t="s">
        <v>94</v>
      </c>
      <c r="E14" s="4" t="s">
        <v>253</v>
      </c>
      <c r="F14" s="4" t="s">
        <v>141</v>
      </c>
      <c r="G14" s="4">
        <f t="shared" ca="1" si="0"/>
        <v>93</v>
      </c>
      <c r="H14" s="4">
        <v>4</v>
      </c>
      <c r="I14">
        <f t="shared" ca="1" si="1"/>
        <v>372</v>
      </c>
      <c r="J14">
        <f t="shared" si="2"/>
        <v>4</v>
      </c>
      <c r="K14" t="str">
        <f>VLOOKUP(E14,地区表!$A$2:$C$255,3,FALSE)</f>
        <v>东北</v>
      </c>
      <c r="L14" s="23" t="str" cm="1">
        <f t="array" ref="L14:N14">_xlfn.TEXTSPLIT(A14,"-")</f>
        <v>CN</v>
      </c>
      <c r="M14" s="22" t="str">
        <v>2473</v>
      </c>
      <c r="N14" s="22" t="str">
        <v>5173564</v>
      </c>
    </row>
    <row r="15" spans="1:17" ht="15.6">
      <c r="A15" s="4" t="s">
        <v>535</v>
      </c>
      <c r="B15" s="5">
        <v>45031.9544063094</v>
      </c>
      <c r="C15" s="5">
        <v>45035.574523606803</v>
      </c>
      <c r="D15" s="4" t="s">
        <v>94</v>
      </c>
      <c r="E15" s="4" t="s">
        <v>536</v>
      </c>
      <c r="F15" s="4" t="s">
        <v>130</v>
      </c>
      <c r="G15" s="4">
        <f t="shared" ca="1" si="0"/>
        <v>58</v>
      </c>
      <c r="H15" s="4">
        <v>2</v>
      </c>
      <c r="I15">
        <f t="shared" ca="1" si="1"/>
        <v>116</v>
      </c>
      <c r="J15">
        <f t="shared" si="2"/>
        <v>4</v>
      </c>
      <c r="K15" t="str">
        <f>VLOOKUP(E15,地区表!$A$2:$C$255,3,FALSE)</f>
        <v>中南</v>
      </c>
      <c r="L15" s="23" t="str" cm="1">
        <f t="array" ref="L15:N15">_xlfn.TEXTSPLIT(A15,"-")</f>
        <v>CN</v>
      </c>
      <c r="M15" s="22" t="str">
        <v>2480</v>
      </c>
      <c r="N15" s="22" t="str">
        <v>3420308</v>
      </c>
    </row>
    <row r="16" spans="1:17" ht="15.6">
      <c r="A16" s="4" t="s">
        <v>535</v>
      </c>
      <c r="B16" s="5">
        <v>45031.8266320736</v>
      </c>
      <c r="C16" s="5">
        <v>45035.555989128698</v>
      </c>
      <c r="D16" s="4" t="s">
        <v>94</v>
      </c>
      <c r="E16" s="4" t="s">
        <v>536</v>
      </c>
      <c r="F16" s="4" t="s">
        <v>130</v>
      </c>
      <c r="G16" s="4">
        <f t="shared" ca="1" si="0"/>
        <v>59</v>
      </c>
      <c r="H16" s="4">
        <v>4</v>
      </c>
      <c r="I16">
        <f t="shared" ca="1" si="1"/>
        <v>236</v>
      </c>
      <c r="J16">
        <f t="shared" si="2"/>
        <v>4</v>
      </c>
      <c r="K16" t="str">
        <f>VLOOKUP(E16,地区表!$A$2:$C$255,3,FALSE)</f>
        <v>中南</v>
      </c>
      <c r="L16" s="23" t="str" cm="1">
        <f t="array" ref="L16:N16">_xlfn.TEXTSPLIT(A16,"-")</f>
        <v>CN</v>
      </c>
      <c r="M16" s="22" t="str">
        <v>2480</v>
      </c>
      <c r="N16" s="22" t="str">
        <v>3420308</v>
      </c>
    </row>
    <row r="17" spans="1:14" ht="15.6">
      <c r="A17" s="4" t="s">
        <v>535</v>
      </c>
      <c r="B17" s="5">
        <v>45031.622348136902</v>
      </c>
      <c r="C17" s="5">
        <v>45035.557568006901</v>
      </c>
      <c r="D17" s="4" t="s">
        <v>94</v>
      </c>
      <c r="E17" s="4" t="s">
        <v>536</v>
      </c>
      <c r="F17" s="4" t="s">
        <v>130</v>
      </c>
      <c r="G17" s="4">
        <f t="shared" ca="1" si="0"/>
        <v>63</v>
      </c>
      <c r="H17" s="4">
        <v>3</v>
      </c>
      <c r="I17">
        <f t="shared" ca="1" si="1"/>
        <v>189</v>
      </c>
      <c r="J17">
        <f t="shared" si="2"/>
        <v>4</v>
      </c>
      <c r="K17" t="str">
        <f>VLOOKUP(E17,地区表!$A$2:$C$255,3,FALSE)</f>
        <v>中南</v>
      </c>
      <c r="L17" s="23" t="str" cm="1">
        <f t="array" ref="L17:N17">_xlfn.TEXTSPLIT(A17,"-")</f>
        <v>CN</v>
      </c>
      <c r="M17" s="22" t="str">
        <v>2480</v>
      </c>
      <c r="N17" s="22" t="str">
        <v>3420308</v>
      </c>
    </row>
    <row r="18" spans="1:14" ht="15.6">
      <c r="A18" s="4" t="s">
        <v>441</v>
      </c>
      <c r="B18" s="5">
        <v>44232.201496114998</v>
      </c>
      <c r="C18" s="5">
        <v>44235.069853313697</v>
      </c>
      <c r="D18" s="4" t="s">
        <v>98</v>
      </c>
      <c r="E18" s="4" t="s">
        <v>442</v>
      </c>
      <c r="F18" s="4" t="s">
        <v>131</v>
      </c>
      <c r="G18" s="4">
        <f t="shared" ca="1" si="0"/>
        <v>60</v>
      </c>
      <c r="H18" s="4">
        <v>2</v>
      </c>
      <c r="I18">
        <f t="shared" ca="1" si="1"/>
        <v>120</v>
      </c>
      <c r="J18">
        <f t="shared" si="2"/>
        <v>2</v>
      </c>
      <c r="K18" t="str">
        <f>VLOOKUP(E18,地区表!$A$2:$C$255,3,FALSE)</f>
        <v>东北</v>
      </c>
      <c r="L18" s="23" t="str" cm="1">
        <f t="array" ref="L18:N18">_xlfn.TEXTSPLIT(A18,"-")</f>
        <v>CN</v>
      </c>
      <c r="M18" s="22" t="str">
        <v>2776</v>
      </c>
      <c r="N18" s="22" t="str">
        <v>2075782</v>
      </c>
    </row>
    <row r="19" spans="1:14" ht="15.6">
      <c r="A19" s="4" t="s">
        <v>623</v>
      </c>
      <c r="B19" s="5">
        <v>44585.620286700898</v>
      </c>
      <c r="C19" s="5">
        <v>44590.6131977482</v>
      </c>
      <c r="D19" s="4" t="s">
        <v>98</v>
      </c>
      <c r="E19" s="4" t="s">
        <v>624</v>
      </c>
      <c r="F19" s="4" t="s">
        <v>122</v>
      </c>
      <c r="G19" s="4">
        <f t="shared" ca="1" si="0"/>
        <v>43</v>
      </c>
      <c r="H19" s="4">
        <v>10</v>
      </c>
      <c r="I19">
        <f t="shared" ca="1" si="1"/>
        <v>430</v>
      </c>
      <c r="J19">
        <f t="shared" si="2"/>
        <v>1</v>
      </c>
      <c r="K19" t="str">
        <f>VLOOKUP(E19,地区表!$A$2:$C$255,3,FALSE)</f>
        <v>华东</v>
      </c>
      <c r="L19" s="23" t="str" cm="1">
        <f t="array" ref="L19:N19">_xlfn.TEXTSPLIT(A19,"-")</f>
        <v>US</v>
      </c>
      <c r="M19" s="22" t="str">
        <v>3129</v>
      </c>
      <c r="N19" s="22" t="str">
        <v>1231498</v>
      </c>
    </row>
    <row r="20" spans="1:14" ht="15.6">
      <c r="A20" s="4" t="s">
        <v>623</v>
      </c>
      <c r="B20" s="5">
        <v>44585.841296752798</v>
      </c>
      <c r="C20" s="5">
        <v>44590.743883458803</v>
      </c>
      <c r="D20" s="4" t="s">
        <v>98</v>
      </c>
      <c r="E20" s="4" t="s">
        <v>624</v>
      </c>
      <c r="F20" s="4" t="s">
        <v>101</v>
      </c>
      <c r="G20" s="4">
        <f t="shared" ca="1" si="0"/>
        <v>25</v>
      </c>
      <c r="H20" s="4">
        <v>9</v>
      </c>
      <c r="I20">
        <f t="shared" ca="1" si="1"/>
        <v>225</v>
      </c>
      <c r="J20">
        <f t="shared" si="2"/>
        <v>1</v>
      </c>
      <c r="K20" t="str">
        <f>VLOOKUP(E20,地区表!$A$2:$C$255,3,FALSE)</f>
        <v>华东</v>
      </c>
      <c r="L20" s="23" t="str" cm="1">
        <f t="array" ref="L20:N20">_xlfn.TEXTSPLIT(A20,"-")</f>
        <v>US</v>
      </c>
      <c r="M20" s="22" t="str">
        <v>3129</v>
      </c>
      <c r="N20" s="22" t="str">
        <v>1231498</v>
      </c>
    </row>
    <row r="21" spans="1:14" ht="15.6">
      <c r="A21" s="4" t="s">
        <v>261</v>
      </c>
      <c r="B21" s="5">
        <v>44825.268520061603</v>
      </c>
      <c r="C21" s="5">
        <v>44829.621386752398</v>
      </c>
      <c r="D21" s="4" t="s">
        <v>114</v>
      </c>
      <c r="E21" s="4" t="s">
        <v>262</v>
      </c>
      <c r="F21" s="4" t="s">
        <v>118</v>
      </c>
      <c r="G21" s="4">
        <f t="shared" ca="1" si="0"/>
        <v>78</v>
      </c>
      <c r="H21" s="4">
        <v>2</v>
      </c>
      <c r="I21">
        <f t="shared" ca="1" si="1"/>
        <v>156</v>
      </c>
      <c r="J21">
        <f t="shared" si="2"/>
        <v>9</v>
      </c>
      <c r="K21" t="str">
        <f>VLOOKUP(E21,地区表!$A$2:$C$255,3,FALSE)</f>
        <v>华东</v>
      </c>
      <c r="L21" s="23" t="str" cm="1">
        <f t="array" ref="L21:N21">_xlfn.TEXTSPLIT(A21,"-")</f>
        <v>CN</v>
      </c>
      <c r="M21" s="22" t="str">
        <v>2274</v>
      </c>
      <c r="N21" s="22" t="str">
        <v>2810282</v>
      </c>
    </row>
    <row r="22" spans="1:14" ht="15.6">
      <c r="A22" s="4" t="s">
        <v>807</v>
      </c>
      <c r="B22" s="5">
        <v>45069.244229829201</v>
      </c>
      <c r="C22" s="5">
        <v>45074.209718845203</v>
      </c>
      <c r="D22" s="4" t="s">
        <v>98</v>
      </c>
      <c r="E22" s="4" t="s">
        <v>808</v>
      </c>
      <c r="F22" s="4" t="s">
        <v>112</v>
      </c>
      <c r="G22" s="4">
        <f t="shared" ca="1" si="0"/>
        <v>82</v>
      </c>
      <c r="H22" s="4">
        <v>2</v>
      </c>
      <c r="I22">
        <f t="shared" ca="1" si="1"/>
        <v>164</v>
      </c>
      <c r="J22">
        <f t="shared" si="2"/>
        <v>5</v>
      </c>
      <c r="K22" t="str">
        <f>VLOOKUP(E22,地区表!$A$2:$C$255,3,FALSE)</f>
        <v>华东</v>
      </c>
      <c r="L22" s="23" t="str" cm="1">
        <f t="array" ref="L22:N22">_xlfn.TEXTSPLIT(A22,"-")</f>
        <v>CN</v>
      </c>
      <c r="M22" s="22" t="str">
        <v>1787</v>
      </c>
      <c r="N22" s="22" t="str">
        <v>3064630</v>
      </c>
    </row>
    <row r="23" spans="1:14" ht="15.6">
      <c r="A23" s="4" t="s">
        <v>646</v>
      </c>
      <c r="B23" s="5">
        <v>45285.504541242401</v>
      </c>
      <c r="C23" s="5">
        <v>45287.820065362197</v>
      </c>
      <c r="D23" s="4" t="s">
        <v>98</v>
      </c>
      <c r="E23" s="4" t="s">
        <v>647</v>
      </c>
      <c r="F23" s="4" t="s">
        <v>100</v>
      </c>
      <c r="G23" s="4">
        <f t="shared" ca="1" si="0"/>
        <v>86</v>
      </c>
      <c r="H23" s="4">
        <v>6</v>
      </c>
      <c r="I23">
        <f t="shared" ca="1" si="1"/>
        <v>516</v>
      </c>
      <c r="J23">
        <f t="shared" si="2"/>
        <v>12</v>
      </c>
      <c r="K23" t="str">
        <f>VLOOKUP(E23,地区表!$A$2:$C$255,3,FALSE)</f>
        <v>中南</v>
      </c>
      <c r="L23" s="23" t="str" cm="1">
        <f t="array" ref="L23:N23">_xlfn.TEXTSPLIT(A23,"-")</f>
        <v>CN</v>
      </c>
      <c r="M23" s="22" t="str">
        <v>2734</v>
      </c>
      <c r="N23" s="22" t="str">
        <v>3409532</v>
      </c>
    </row>
    <row r="24" spans="1:14" ht="15.6">
      <c r="A24" s="4" t="s">
        <v>198</v>
      </c>
      <c r="B24" s="5">
        <v>44640.155315612901</v>
      </c>
      <c r="C24" s="5">
        <v>44645.787880850003</v>
      </c>
      <c r="D24" s="4" t="s">
        <v>98</v>
      </c>
      <c r="E24" s="4" t="s">
        <v>199</v>
      </c>
      <c r="F24" s="4" t="s">
        <v>101</v>
      </c>
      <c r="G24" s="4">
        <f t="shared" ca="1" si="0"/>
        <v>37</v>
      </c>
      <c r="H24" s="4">
        <v>2</v>
      </c>
      <c r="I24">
        <f t="shared" ca="1" si="1"/>
        <v>74</v>
      </c>
      <c r="J24">
        <f t="shared" si="2"/>
        <v>3</v>
      </c>
      <c r="K24" t="str">
        <f>VLOOKUP(E24,地区表!$A$2:$C$255,3,FALSE)</f>
        <v>西北</v>
      </c>
      <c r="L24" s="23" t="str" cm="1">
        <f t="array" ref="L24:N24">_xlfn.TEXTSPLIT(A24,"-")</f>
        <v>CN</v>
      </c>
      <c r="M24" s="22" t="str">
        <v>2089</v>
      </c>
      <c r="N24" s="22" t="str">
        <v>5926511</v>
      </c>
    </row>
    <row r="25" spans="1:14" ht="15.6">
      <c r="A25" s="4" t="s">
        <v>198</v>
      </c>
      <c r="B25" s="5">
        <v>44640.5017564347</v>
      </c>
      <c r="C25" s="5">
        <v>44645.224781300501</v>
      </c>
      <c r="D25" s="4" t="s">
        <v>98</v>
      </c>
      <c r="E25" s="4" t="s">
        <v>199</v>
      </c>
      <c r="F25" s="4" t="s">
        <v>135</v>
      </c>
      <c r="G25" s="4">
        <f t="shared" ca="1" si="0"/>
        <v>43</v>
      </c>
      <c r="H25" s="4">
        <v>3</v>
      </c>
      <c r="I25">
        <f t="shared" ca="1" si="1"/>
        <v>129</v>
      </c>
      <c r="J25">
        <f t="shared" si="2"/>
        <v>3</v>
      </c>
      <c r="K25" t="str">
        <f>VLOOKUP(E25,地区表!$A$2:$C$255,3,FALSE)</f>
        <v>西北</v>
      </c>
      <c r="L25" s="23" t="str" cm="1">
        <f t="array" ref="L25:N25">_xlfn.TEXTSPLIT(A25,"-")</f>
        <v>CN</v>
      </c>
      <c r="M25" s="22" t="str">
        <v>2089</v>
      </c>
      <c r="N25" s="22" t="str">
        <v>5926511</v>
      </c>
    </row>
    <row r="26" spans="1:14" ht="15.6">
      <c r="A26" s="4" t="s">
        <v>198</v>
      </c>
      <c r="B26" s="5">
        <v>44640.994159985297</v>
      </c>
      <c r="C26" s="5">
        <v>44645.1258281634</v>
      </c>
      <c r="D26" s="4" t="s">
        <v>98</v>
      </c>
      <c r="E26" s="4" t="s">
        <v>199</v>
      </c>
      <c r="F26" s="4" t="s">
        <v>135</v>
      </c>
      <c r="G26" s="4">
        <f t="shared" ca="1" si="0"/>
        <v>38</v>
      </c>
      <c r="H26" s="4">
        <v>2</v>
      </c>
      <c r="I26">
        <f t="shared" ca="1" si="1"/>
        <v>76</v>
      </c>
      <c r="J26">
        <f t="shared" si="2"/>
        <v>3</v>
      </c>
      <c r="K26" t="str">
        <f>VLOOKUP(E26,地区表!$A$2:$C$255,3,FALSE)</f>
        <v>西北</v>
      </c>
      <c r="L26" s="23" t="str" cm="1">
        <f t="array" ref="L26:N26">_xlfn.TEXTSPLIT(A26,"-")</f>
        <v>CN</v>
      </c>
      <c r="M26" s="22" t="str">
        <v>2089</v>
      </c>
      <c r="N26" s="22" t="str">
        <v>5926511</v>
      </c>
    </row>
    <row r="27" spans="1:14" ht="15.6">
      <c r="A27" s="4" t="s">
        <v>198</v>
      </c>
      <c r="B27" s="5">
        <v>44640.383843185198</v>
      </c>
      <c r="C27" s="5">
        <v>44645.1051360864</v>
      </c>
      <c r="D27" s="4" t="s">
        <v>98</v>
      </c>
      <c r="E27" s="4" t="s">
        <v>199</v>
      </c>
      <c r="F27" s="4" t="s">
        <v>135</v>
      </c>
      <c r="G27" s="4">
        <f t="shared" ca="1" si="0"/>
        <v>71</v>
      </c>
      <c r="H27" s="4">
        <v>2</v>
      </c>
      <c r="I27">
        <f t="shared" ca="1" si="1"/>
        <v>142</v>
      </c>
      <c r="J27">
        <f t="shared" si="2"/>
        <v>3</v>
      </c>
      <c r="K27" t="str">
        <f>VLOOKUP(E27,地区表!$A$2:$C$255,3,FALSE)</f>
        <v>西北</v>
      </c>
      <c r="L27" s="23" t="str" cm="1">
        <f t="array" ref="L27:N27">_xlfn.TEXTSPLIT(A27,"-")</f>
        <v>CN</v>
      </c>
      <c r="M27" s="22" t="str">
        <v>2089</v>
      </c>
      <c r="N27" s="22" t="str">
        <v>5926511</v>
      </c>
    </row>
    <row r="28" spans="1:14" ht="15.6">
      <c r="A28" s="4" t="s">
        <v>276</v>
      </c>
      <c r="B28" s="5">
        <v>44575.096356021997</v>
      </c>
      <c r="C28" s="5">
        <v>44580.630735816303</v>
      </c>
      <c r="D28" s="4" t="s">
        <v>94</v>
      </c>
      <c r="E28" s="4" t="s">
        <v>277</v>
      </c>
      <c r="F28" s="4" t="s">
        <v>106</v>
      </c>
      <c r="G28" s="4">
        <f t="shared" ca="1" si="0"/>
        <v>100</v>
      </c>
      <c r="H28" s="4">
        <v>5</v>
      </c>
      <c r="I28">
        <f t="shared" ca="1" si="1"/>
        <v>500</v>
      </c>
      <c r="J28">
        <f t="shared" si="2"/>
        <v>1</v>
      </c>
      <c r="K28" t="str">
        <f>VLOOKUP(E28,地区表!$A$2:$C$255,3,FALSE)</f>
        <v>东北</v>
      </c>
      <c r="L28" s="23" t="str" cm="1">
        <f t="array" ref="L28:N28">_xlfn.TEXTSPLIT(A28,"-")</f>
        <v>US</v>
      </c>
      <c r="M28" s="22" t="str">
        <v>3119</v>
      </c>
      <c r="N28" s="22" t="str">
        <v>5448418</v>
      </c>
    </row>
    <row r="29" spans="1:14" ht="15.6">
      <c r="A29" s="4" t="s">
        <v>276</v>
      </c>
      <c r="B29" s="5">
        <v>44575.817163763197</v>
      </c>
      <c r="C29" s="5">
        <v>44580.539215600897</v>
      </c>
      <c r="D29" s="4" t="s">
        <v>94</v>
      </c>
      <c r="E29" s="4" t="s">
        <v>277</v>
      </c>
      <c r="F29" s="4" t="s">
        <v>122</v>
      </c>
      <c r="G29" s="4">
        <f t="shared" ca="1" si="0"/>
        <v>66</v>
      </c>
      <c r="H29" s="4">
        <v>3</v>
      </c>
      <c r="I29">
        <f t="shared" ca="1" si="1"/>
        <v>198</v>
      </c>
      <c r="J29">
        <f t="shared" si="2"/>
        <v>1</v>
      </c>
      <c r="K29" t="str">
        <f>VLOOKUP(E29,地区表!$A$2:$C$255,3,FALSE)</f>
        <v>东北</v>
      </c>
      <c r="L29" s="23" t="str" cm="1">
        <f t="array" ref="L29:N29">_xlfn.TEXTSPLIT(A29,"-")</f>
        <v>US</v>
      </c>
      <c r="M29" s="22" t="str">
        <v>3119</v>
      </c>
      <c r="N29" s="22" t="str">
        <v>5448418</v>
      </c>
    </row>
    <row r="30" spans="1:14" ht="15.6">
      <c r="A30" s="4" t="s">
        <v>566</v>
      </c>
      <c r="B30" s="5">
        <v>44497.519401533602</v>
      </c>
      <c r="C30" s="5">
        <v>44502.225152864397</v>
      </c>
      <c r="D30" s="4" t="s">
        <v>98</v>
      </c>
      <c r="E30" s="4" t="s">
        <v>277</v>
      </c>
      <c r="F30" s="4" t="s">
        <v>106</v>
      </c>
      <c r="G30" s="4">
        <f t="shared" ca="1" si="0"/>
        <v>29</v>
      </c>
      <c r="H30" s="4">
        <v>3</v>
      </c>
      <c r="I30">
        <f t="shared" ca="1" si="1"/>
        <v>87</v>
      </c>
      <c r="J30">
        <f t="shared" si="2"/>
        <v>10</v>
      </c>
      <c r="K30" t="str">
        <f>VLOOKUP(E30,地区表!$A$2:$C$255,3,FALSE)</f>
        <v>东北</v>
      </c>
      <c r="L30" s="23" t="str" cm="1">
        <f t="array" ref="L30:N30">_xlfn.TEXTSPLIT(A30,"-")</f>
        <v>US</v>
      </c>
      <c r="M30" s="22" t="str">
        <v>3041</v>
      </c>
      <c r="N30" s="22" t="str">
        <v>1594949</v>
      </c>
    </row>
    <row r="31" spans="1:14" ht="15.6">
      <c r="A31" s="4" t="s">
        <v>566</v>
      </c>
      <c r="B31" s="5">
        <v>44497.217875410402</v>
      </c>
      <c r="C31" s="5">
        <v>44502.809797552698</v>
      </c>
      <c r="D31" s="4" t="s">
        <v>98</v>
      </c>
      <c r="E31" s="4" t="s">
        <v>277</v>
      </c>
      <c r="F31" s="4" t="s">
        <v>110</v>
      </c>
      <c r="G31" s="4">
        <f t="shared" ca="1" si="0"/>
        <v>61</v>
      </c>
      <c r="H31" s="4">
        <v>6</v>
      </c>
      <c r="I31">
        <f t="shared" ca="1" si="1"/>
        <v>366</v>
      </c>
      <c r="J31">
        <f t="shared" si="2"/>
        <v>10</v>
      </c>
      <c r="K31" t="str">
        <f>VLOOKUP(E31,地区表!$A$2:$C$255,3,FALSE)</f>
        <v>东北</v>
      </c>
      <c r="L31" s="23" t="str" cm="1">
        <f t="array" ref="L31:N31">_xlfn.TEXTSPLIT(A31,"-")</f>
        <v>US</v>
      </c>
      <c r="M31" s="22" t="str">
        <v>3041</v>
      </c>
      <c r="N31" s="22" t="str">
        <v>1594949</v>
      </c>
    </row>
    <row r="32" spans="1:14" ht="15.6">
      <c r="A32" s="4" t="s">
        <v>406</v>
      </c>
      <c r="B32" s="5">
        <v>44608.431819595899</v>
      </c>
      <c r="C32" s="5">
        <v>44612.888773459803</v>
      </c>
      <c r="D32" s="4" t="s">
        <v>94</v>
      </c>
      <c r="E32" s="4" t="s">
        <v>407</v>
      </c>
      <c r="F32" s="4" t="s">
        <v>125</v>
      </c>
      <c r="G32" s="4">
        <f t="shared" ca="1" si="0"/>
        <v>69</v>
      </c>
      <c r="H32" s="4">
        <v>5</v>
      </c>
      <c r="I32">
        <f t="shared" ca="1" si="1"/>
        <v>345</v>
      </c>
      <c r="J32">
        <f t="shared" si="2"/>
        <v>2</v>
      </c>
      <c r="K32" t="str">
        <f>VLOOKUP(E32,地区表!$A$2:$C$255,3,FALSE)</f>
        <v>华东</v>
      </c>
      <c r="L32" s="23" t="str" cm="1">
        <f t="array" ref="L32:N32">_xlfn.TEXTSPLIT(A32,"-")</f>
        <v>CN</v>
      </c>
      <c r="M32" s="22" t="str">
        <v>3152</v>
      </c>
      <c r="N32" s="22" t="str">
        <v>2102819</v>
      </c>
    </row>
    <row r="33" spans="1:14" ht="15.6">
      <c r="A33" s="4" t="s">
        <v>119</v>
      </c>
      <c r="B33" s="5">
        <v>44841.642032539698</v>
      </c>
      <c r="C33" s="5">
        <v>44845.603649248798</v>
      </c>
      <c r="D33" s="4" t="s">
        <v>98</v>
      </c>
      <c r="E33" s="4" t="s">
        <v>120</v>
      </c>
      <c r="F33" s="4" t="s">
        <v>100</v>
      </c>
      <c r="G33" s="4">
        <f t="shared" ca="1" si="0"/>
        <v>31</v>
      </c>
      <c r="H33" s="4">
        <v>3</v>
      </c>
      <c r="I33">
        <f t="shared" ca="1" si="1"/>
        <v>93</v>
      </c>
      <c r="J33">
        <f t="shared" si="2"/>
        <v>10</v>
      </c>
      <c r="K33" t="str">
        <f>VLOOKUP(E33,地区表!$A$2:$C$255,3,FALSE)</f>
        <v>华东</v>
      </c>
      <c r="L33" s="23" t="str" cm="1">
        <f t="array" ref="L33:N33">_xlfn.TEXTSPLIT(A33,"-")</f>
        <v>CN</v>
      </c>
      <c r="M33" s="22" t="str">
        <v>2290</v>
      </c>
      <c r="N33" s="22" t="str">
        <v>2752724</v>
      </c>
    </row>
    <row r="34" spans="1:14" ht="15.6">
      <c r="A34" s="4" t="s">
        <v>119</v>
      </c>
      <c r="B34" s="5">
        <v>44841.215889350897</v>
      </c>
      <c r="C34" s="5">
        <v>44845.691686359103</v>
      </c>
      <c r="D34" s="4" t="s">
        <v>98</v>
      </c>
      <c r="E34" s="4" t="s">
        <v>120</v>
      </c>
      <c r="F34" s="4" t="s">
        <v>121</v>
      </c>
      <c r="G34" s="4">
        <f t="shared" ca="1" si="0"/>
        <v>23</v>
      </c>
      <c r="H34" s="4">
        <v>5</v>
      </c>
      <c r="I34">
        <f t="shared" ca="1" si="1"/>
        <v>115</v>
      </c>
      <c r="J34">
        <f t="shared" si="2"/>
        <v>10</v>
      </c>
      <c r="K34" t="str">
        <f>VLOOKUP(E34,地区表!$A$2:$C$255,3,FALSE)</f>
        <v>华东</v>
      </c>
      <c r="L34" s="23" t="str" cm="1">
        <f t="array" ref="L34:N34">_xlfn.TEXTSPLIT(A34,"-")</f>
        <v>CN</v>
      </c>
      <c r="M34" s="22" t="str">
        <v>2290</v>
      </c>
      <c r="N34" s="22" t="str">
        <v>2752724</v>
      </c>
    </row>
    <row r="35" spans="1:14" ht="15.6">
      <c r="A35" s="4" t="s">
        <v>119</v>
      </c>
      <c r="B35" s="5">
        <v>44841.245135347999</v>
      </c>
      <c r="C35" s="5">
        <v>44845.713817453798</v>
      </c>
      <c r="D35" s="4" t="s">
        <v>98</v>
      </c>
      <c r="E35" s="4" t="s">
        <v>120</v>
      </c>
      <c r="F35" s="4" t="s">
        <v>122</v>
      </c>
      <c r="G35" s="4">
        <f t="shared" ca="1" si="0"/>
        <v>35</v>
      </c>
      <c r="H35" s="4">
        <v>2</v>
      </c>
      <c r="I35">
        <f t="shared" ca="1" si="1"/>
        <v>70</v>
      </c>
      <c r="J35">
        <f t="shared" si="2"/>
        <v>10</v>
      </c>
      <c r="K35" t="str">
        <f>VLOOKUP(E35,地区表!$A$2:$C$255,3,FALSE)</f>
        <v>华东</v>
      </c>
      <c r="L35" s="23" t="str" cm="1">
        <f t="array" ref="L35:N35">_xlfn.TEXTSPLIT(A35,"-")</f>
        <v>CN</v>
      </c>
      <c r="M35" s="22" t="str">
        <v>2290</v>
      </c>
      <c r="N35" s="22" t="str">
        <v>2752724</v>
      </c>
    </row>
    <row r="36" spans="1:14" ht="15.6">
      <c r="A36" s="4" t="s">
        <v>158</v>
      </c>
      <c r="B36" s="5">
        <v>45192.0707007784</v>
      </c>
      <c r="C36" s="5">
        <v>45196.675445355701</v>
      </c>
      <c r="D36" s="4" t="s">
        <v>98</v>
      </c>
      <c r="E36" s="4" t="s">
        <v>120</v>
      </c>
      <c r="F36" s="4" t="s">
        <v>106</v>
      </c>
      <c r="G36" s="4">
        <f t="shared" ca="1" si="0"/>
        <v>18</v>
      </c>
      <c r="H36" s="4">
        <v>5</v>
      </c>
      <c r="I36">
        <f t="shared" ca="1" si="1"/>
        <v>90</v>
      </c>
      <c r="J36">
        <f t="shared" si="2"/>
        <v>9</v>
      </c>
      <c r="K36" t="str">
        <f>VLOOKUP(E36,地区表!$A$2:$C$255,3,FALSE)</f>
        <v>华东</v>
      </c>
      <c r="L36" s="23" t="str" cm="1">
        <f t="array" ref="L36:N36">_xlfn.TEXTSPLIT(A36,"-")</f>
        <v>CN</v>
      </c>
      <c r="M36" s="22" t="str">
        <v>2641</v>
      </c>
      <c r="N36" s="22" t="str">
        <v>2828982</v>
      </c>
    </row>
    <row r="37" spans="1:14" ht="15.6">
      <c r="A37" s="4" t="s">
        <v>158</v>
      </c>
      <c r="B37" s="5">
        <v>45192.543106134501</v>
      </c>
      <c r="C37" s="5">
        <v>45196.540348560899</v>
      </c>
      <c r="D37" s="4" t="s">
        <v>98</v>
      </c>
      <c r="E37" s="4" t="s">
        <v>120</v>
      </c>
      <c r="F37" s="4" t="s">
        <v>106</v>
      </c>
      <c r="G37" s="4">
        <f t="shared" ca="1" si="0"/>
        <v>58</v>
      </c>
      <c r="H37" s="4">
        <v>5</v>
      </c>
      <c r="I37">
        <f t="shared" ca="1" si="1"/>
        <v>290</v>
      </c>
      <c r="J37">
        <f t="shared" si="2"/>
        <v>9</v>
      </c>
      <c r="K37" t="str">
        <f>VLOOKUP(E37,地区表!$A$2:$C$255,3,FALSE)</f>
        <v>华东</v>
      </c>
      <c r="L37" s="23" t="str" cm="1">
        <f t="array" ref="L37:N37">_xlfn.TEXTSPLIT(A37,"-")</f>
        <v>CN</v>
      </c>
      <c r="M37" s="22" t="str">
        <v>2641</v>
      </c>
      <c r="N37" s="22" t="str">
        <v>2828982</v>
      </c>
    </row>
    <row r="38" spans="1:14" ht="15.6">
      <c r="A38" s="4" t="s">
        <v>158</v>
      </c>
      <c r="B38" s="5">
        <v>45192.9447204635</v>
      </c>
      <c r="C38" s="5">
        <v>45196.666124366202</v>
      </c>
      <c r="D38" s="4" t="s">
        <v>98</v>
      </c>
      <c r="E38" s="4" t="s">
        <v>120</v>
      </c>
      <c r="F38" s="4" t="s">
        <v>135</v>
      </c>
      <c r="G38" s="4">
        <f t="shared" ca="1" si="0"/>
        <v>51</v>
      </c>
      <c r="H38" s="4">
        <v>1</v>
      </c>
      <c r="I38">
        <f t="shared" ca="1" si="1"/>
        <v>51</v>
      </c>
      <c r="J38">
        <f t="shared" si="2"/>
        <v>9</v>
      </c>
      <c r="K38" t="str">
        <f>VLOOKUP(E38,地区表!$A$2:$C$255,3,FALSE)</f>
        <v>华东</v>
      </c>
      <c r="L38" s="23" t="str" cm="1">
        <f t="array" ref="L38:N38">_xlfn.TEXTSPLIT(A38,"-")</f>
        <v>CN</v>
      </c>
      <c r="M38" s="22" t="str">
        <v>2641</v>
      </c>
      <c r="N38" s="22" t="str">
        <v>2828982</v>
      </c>
    </row>
    <row r="39" spans="1:14" ht="15.6">
      <c r="A39" s="4" t="s">
        <v>628</v>
      </c>
      <c r="B39" s="5">
        <v>44460.897830405898</v>
      </c>
      <c r="C39" s="5">
        <v>44465.961245767903</v>
      </c>
      <c r="D39" s="4" t="s">
        <v>98</v>
      </c>
      <c r="E39" s="4" t="s">
        <v>120</v>
      </c>
      <c r="F39" s="4" t="s">
        <v>144</v>
      </c>
      <c r="G39" s="4">
        <f t="shared" ca="1" si="0"/>
        <v>69</v>
      </c>
      <c r="H39" s="4">
        <v>4</v>
      </c>
      <c r="I39">
        <f t="shared" ca="1" si="1"/>
        <v>276</v>
      </c>
      <c r="J39">
        <f t="shared" si="2"/>
        <v>9</v>
      </c>
      <c r="K39" t="str">
        <f>VLOOKUP(E39,地区表!$A$2:$C$255,3,FALSE)</f>
        <v>华东</v>
      </c>
      <c r="L39" s="23" t="str" cm="1">
        <f t="array" ref="L39:N39">_xlfn.TEXTSPLIT(A39,"-")</f>
        <v>US</v>
      </c>
      <c r="M39" s="22" t="str">
        <v>3004</v>
      </c>
      <c r="N39" s="22" t="str">
        <v>4217149</v>
      </c>
    </row>
    <row r="40" spans="1:14" ht="15.6">
      <c r="A40" s="4" t="s">
        <v>718</v>
      </c>
      <c r="B40" s="5">
        <v>44806.474807103703</v>
      </c>
      <c r="C40" s="5">
        <v>44808.560599836797</v>
      </c>
      <c r="D40" s="4" t="s">
        <v>98</v>
      </c>
      <c r="E40" s="4" t="s">
        <v>120</v>
      </c>
      <c r="F40" s="4" t="s">
        <v>112</v>
      </c>
      <c r="G40" s="4">
        <f t="shared" ca="1" si="0"/>
        <v>49</v>
      </c>
      <c r="H40" s="4">
        <v>3</v>
      </c>
      <c r="I40">
        <f t="shared" ca="1" si="1"/>
        <v>147</v>
      </c>
      <c r="J40">
        <f t="shared" si="2"/>
        <v>9</v>
      </c>
      <c r="K40" t="str">
        <f>VLOOKUP(E40,地区表!$A$2:$C$255,3,FALSE)</f>
        <v>华东</v>
      </c>
      <c r="L40" s="23" t="str" cm="1">
        <f t="array" ref="L40:N40">_xlfn.TEXTSPLIT(A40,"-")</f>
        <v>CN</v>
      </c>
      <c r="M40" s="22" t="str">
        <v>2255</v>
      </c>
      <c r="N40" s="22" t="str">
        <v>5869022</v>
      </c>
    </row>
    <row r="41" spans="1:14" ht="15.6">
      <c r="A41" s="4" t="s">
        <v>718</v>
      </c>
      <c r="B41" s="5">
        <v>44806.773626162998</v>
      </c>
      <c r="C41" s="5">
        <v>44808.950186645103</v>
      </c>
      <c r="D41" s="4" t="s">
        <v>98</v>
      </c>
      <c r="E41" s="4" t="s">
        <v>120</v>
      </c>
      <c r="F41" s="4" t="s">
        <v>109</v>
      </c>
      <c r="G41" s="4">
        <f t="shared" ca="1" si="0"/>
        <v>50</v>
      </c>
      <c r="H41" s="4">
        <v>3</v>
      </c>
      <c r="I41">
        <f t="shared" ca="1" si="1"/>
        <v>150</v>
      </c>
      <c r="J41">
        <f t="shared" si="2"/>
        <v>9</v>
      </c>
      <c r="K41" t="str">
        <f>VLOOKUP(E41,地区表!$A$2:$C$255,3,FALSE)</f>
        <v>华东</v>
      </c>
      <c r="L41" s="23" t="str" cm="1">
        <f t="array" ref="L41:N41">_xlfn.TEXTSPLIT(A41,"-")</f>
        <v>CN</v>
      </c>
      <c r="M41" s="22" t="str">
        <v>2255</v>
      </c>
      <c r="N41" s="22" t="str">
        <v>5869022</v>
      </c>
    </row>
    <row r="42" spans="1:14" ht="15.6">
      <c r="A42" s="4" t="s">
        <v>718</v>
      </c>
      <c r="B42" s="5">
        <v>44806.0300038286</v>
      </c>
      <c r="C42" s="5">
        <v>44808.004260905604</v>
      </c>
      <c r="D42" s="4" t="s">
        <v>98</v>
      </c>
      <c r="E42" s="4" t="s">
        <v>120</v>
      </c>
      <c r="F42" s="4" t="s">
        <v>101</v>
      </c>
      <c r="G42" s="4">
        <f t="shared" ca="1" si="0"/>
        <v>28</v>
      </c>
      <c r="H42" s="4">
        <v>1</v>
      </c>
      <c r="I42">
        <f t="shared" ca="1" si="1"/>
        <v>28</v>
      </c>
      <c r="J42">
        <f t="shared" si="2"/>
        <v>9</v>
      </c>
      <c r="K42" t="str">
        <f>VLOOKUP(E42,地区表!$A$2:$C$255,3,FALSE)</f>
        <v>华东</v>
      </c>
      <c r="L42" s="23" t="str" cm="1">
        <f t="array" ref="L42:N42">_xlfn.TEXTSPLIT(A42,"-")</f>
        <v>CN</v>
      </c>
      <c r="M42" s="22" t="str">
        <v>2255</v>
      </c>
      <c r="N42" s="22" t="str">
        <v>5869022</v>
      </c>
    </row>
    <row r="43" spans="1:14" ht="15.6">
      <c r="A43" s="4" t="s">
        <v>718</v>
      </c>
      <c r="B43" s="5">
        <v>44806.761946797502</v>
      </c>
      <c r="C43" s="5">
        <v>44808.520161957902</v>
      </c>
      <c r="D43" s="4" t="s">
        <v>98</v>
      </c>
      <c r="E43" s="4" t="s">
        <v>120</v>
      </c>
      <c r="F43" s="4" t="s">
        <v>131</v>
      </c>
      <c r="G43" s="4">
        <f t="shared" ca="1" si="0"/>
        <v>68</v>
      </c>
      <c r="H43" s="4">
        <v>1</v>
      </c>
      <c r="I43">
        <f t="shared" ca="1" si="1"/>
        <v>68</v>
      </c>
      <c r="J43">
        <f t="shared" si="2"/>
        <v>9</v>
      </c>
      <c r="K43" t="str">
        <f>VLOOKUP(E43,地区表!$A$2:$C$255,3,FALSE)</f>
        <v>华东</v>
      </c>
      <c r="L43" s="23" t="str" cm="1">
        <f t="array" ref="L43:N43">_xlfn.TEXTSPLIT(A43,"-")</f>
        <v>CN</v>
      </c>
      <c r="M43" s="22" t="str">
        <v>2255</v>
      </c>
      <c r="N43" s="22" t="str">
        <v>5869022</v>
      </c>
    </row>
    <row r="44" spans="1:14" ht="15.6">
      <c r="A44" s="4" t="s">
        <v>718</v>
      </c>
      <c r="B44" s="5">
        <v>44806.328253591499</v>
      </c>
      <c r="C44" s="5">
        <v>44808.111575612798</v>
      </c>
      <c r="D44" s="4" t="s">
        <v>98</v>
      </c>
      <c r="E44" s="4" t="s">
        <v>120</v>
      </c>
      <c r="F44" s="4" t="s">
        <v>96</v>
      </c>
      <c r="G44" s="4">
        <f t="shared" ca="1" si="0"/>
        <v>32</v>
      </c>
      <c r="H44" s="4">
        <v>4</v>
      </c>
      <c r="I44">
        <f t="shared" ca="1" si="1"/>
        <v>128</v>
      </c>
      <c r="J44">
        <f t="shared" si="2"/>
        <v>9</v>
      </c>
      <c r="K44" t="str">
        <f>VLOOKUP(E44,地区表!$A$2:$C$255,3,FALSE)</f>
        <v>华东</v>
      </c>
      <c r="L44" s="23" t="str" cm="1">
        <f t="array" ref="L44:N44">_xlfn.TEXTSPLIT(A44,"-")</f>
        <v>CN</v>
      </c>
      <c r="M44" s="22" t="str">
        <v>2255</v>
      </c>
      <c r="N44" s="22" t="str">
        <v>5869022</v>
      </c>
    </row>
    <row r="45" spans="1:14" ht="15.6">
      <c r="A45" s="4" t="s">
        <v>794</v>
      </c>
      <c r="B45" s="5">
        <v>44495.8778884395</v>
      </c>
      <c r="C45" s="5">
        <v>44499.109050569197</v>
      </c>
      <c r="D45" s="4" t="s">
        <v>98</v>
      </c>
      <c r="E45" s="4" t="s">
        <v>120</v>
      </c>
      <c r="F45" s="4" t="s">
        <v>106</v>
      </c>
      <c r="G45" s="4">
        <f t="shared" ca="1" si="0"/>
        <v>42</v>
      </c>
      <c r="H45" s="4">
        <v>1</v>
      </c>
      <c r="I45">
        <f t="shared" ca="1" si="1"/>
        <v>42</v>
      </c>
      <c r="J45">
        <f t="shared" si="2"/>
        <v>10</v>
      </c>
      <c r="K45" t="str">
        <f>VLOOKUP(E45,地区表!$A$2:$C$255,3,FALSE)</f>
        <v>华东</v>
      </c>
      <c r="L45" s="23" t="str" cm="1">
        <f t="array" ref="L45:N45">_xlfn.TEXTSPLIT(A45,"-")</f>
        <v>CN</v>
      </c>
      <c r="M45" s="22" t="str">
        <v>3039</v>
      </c>
      <c r="N45" s="22" t="str">
        <v>4075862</v>
      </c>
    </row>
    <row r="46" spans="1:14" ht="15.6">
      <c r="A46" s="4" t="s">
        <v>794</v>
      </c>
      <c r="B46" s="5">
        <v>44495.120499810597</v>
      </c>
      <c r="C46" s="5">
        <v>44499.893905135497</v>
      </c>
      <c r="D46" s="4" t="s">
        <v>98</v>
      </c>
      <c r="E46" s="4" t="s">
        <v>120</v>
      </c>
      <c r="F46" s="4" t="s">
        <v>118</v>
      </c>
      <c r="G46" s="4">
        <f t="shared" ca="1" si="0"/>
        <v>100</v>
      </c>
      <c r="H46" s="4">
        <v>1</v>
      </c>
      <c r="I46">
        <f t="shared" ca="1" si="1"/>
        <v>100</v>
      </c>
      <c r="J46">
        <f t="shared" si="2"/>
        <v>10</v>
      </c>
      <c r="K46" t="str">
        <f>VLOOKUP(E46,地区表!$A$2:$C$255,3,FALSE)</f>
        <v>华东</v>
      </c>
      <c r="L46" s="23" t="str" cm="1">
        <f t="array" ref="L46:N46">_xlfn.TEXTSPLIT(A46,"-")</f>
        <v>CN</v>
      </c>
      <c r="M46" s="22" t="str">
        <v>3039</v>
      </c>
      <c r="N46" s="22" t="str">
        <v>4075862</v>
      </c>
    </row>
    <row r="47" spans="1:14" ht="15.6">
      <c r="A47" s="4" t="s">
        <v>794</v>
      </c>
      <c r="B47" s="5">
        <v>44495.838771761097</v>
      </c>
      <c r="C47" s="5">
        <v>44499.199981497899</v>
      </c>
      <c r="D47" s="4" t="s">
        <v>98</v>
      </c>
      <c r="E47" s="4" t="s">
        <v>120</v>
      </c>
      <c r="F47" s="4" t="s">
        <v>110</v>
      </c>
      <c r="G47" s="4">
        <f t="shared" ca="1" si="0"/>
        <v>99</v>
      </c>
      <c r="H47" s="4">
        <v>1</v>
      </c>
      <c r="I47">
        <f t="shared" ca="1" si="1"/>
        <v>99</v>
      </c>
      <c r="J47">
        <f t="shared" si="2"/>
        <v>10</v>
      </c>
      <c r="K47" t="str">
        <f>VLOOKUP(E47,地区表!$A$2:$C$255,3,FALSE)</f>
        <v>华东</v>
      </c>
      <c r="L47" s="23" t="str" cm="1">
        <f t="array" ref="L47:N47">_xlfn.TEXTSPLIT(A47,"-")</f>
        <v>CN</v>
      </c>
      <c r="M47" s="22" t="str">
        <v>3039</v>
      </c>
      <c r="N47" s="22" t="str">
        <v>4075862</v>
      </c>
    </row>
    <row r="48" spans="1:14" ht="15.6">
      <c r="A48" s="4" t="s">
        <v>794</v>
      </c>
      <c r="B48" s="5">
        <v>44495.5577186843</v>
      </c>
      <c r="C48" s="5">
        <v>44499.682476048001</v>
      </c>
      <c r="D48" s="4" t="s">
        <v>98</v>
      </c>
      <c r="E48" s="4" t="s">
        <v>120</v>
      </c>
      <c r="F48" s="4" t="s">
        <v>131</v>
      </c>
      <c r="G48" s="4">
        <f t="shared" ca="1" si="0"/>
        <v>97</v>
      </c>
      <c r="H48" s="4">
        <v>5</v>
      </c>
      <c r="I48">
        <f t="shared" ca="1" si="1"/>
        <v>485</v>
      </c>
      <c r="J48">
        <f t="shared" si="2"/>
        <v>10</v>
      </c>
      <c r="K48" t="str">
        <f>VLOOKUP(E48,地区表!$A$2:$C$255,3,FALSE)</f>
        <v>华东</v>
      </c>
      <c r="L48" s="23" t="str" cm="1">
        <f t="array" ref="L48:N48">_xlfn.TEXTSPLIT(A48,"-")</f>
        <v>CN</v>
      </c>
      <c r="M48" s="22" t="str">
        <v>3039</v>
      </c>
      <c r="N48" s="22" t="str">
        <v>4075862</v>
      </c>
    </row>
    <row r="49" spans="1:14" ht="15.6">
      <c r="A49" s="4" t="s">
        <v>217</v>
      </c>
      <c r="B49" s="5">
        <v>44461.497251430599</v>
      </c>
      <c r="C49" s="5">
        <v>44466.9269381739</v>
      </c>
      <c r="D49" s="4" t="s">
        <v>98</v>
      </c>
      <c r="E49" s="4" t="s">
        <v>218</v>
      </c>
      <c r="F49" s="4" t="s">
        <v>122</v>
      </c>
      <c r="G49" s="4">
        <f t="shared" ca="1" si="0"/>
        <v>43</v>
      </c>
      <c r="H49" s="4">
        <v>3</v>
      </c>
      <c r="I49">
        <f t="shared" ca="1" si="1"/>
        <v>129</v>
      </c>
      <c r="J49">
        <f t="shared" si="2"/>
        <v>9</v>
      </c>
      <c r="K49" t="str">
        <f>VLOOKUP(E49,地区表!$A$2:$C$255,3,FALSE)</f>
        <v>东北</v>
      </c>
      <c r="L49" s="23" t="str" cm="1">
        <f t="array" ref="L49:N49">_xlfn.TEXTSPLIT(A49,"-")</f>
        <v>CN</v>
      </c>
      <c r="M49" s="22" t="str">
        <v>3005</v>
      </c>
      <c r="N49" s="22" t="str">
        <v>1118317</v>
      </c>
    </row>
    <row r="50" spans="1:14" ht="15.6">
      <c r="A50" s="4" t="s">
        <v>775</v>
      </c>
      <c r="B50" s="5">
        <v>45270.230720157801</v>
      </c>
      <c r="C50" s="5">
        <v>45274.525817747599</v>
      </c>
      <c r="D50" s="4" t="s">
        <v>114</v>
      </c>
      <c r="E50" s="4" t="s">
        <v>218</v>
      </c>
      <c r="F50" s="4" t="s">
        <v>112</v>
      </c>
      <c r="G50" s="4">
        <f t="shared" ca="1" si="0"/>
        <v>54</v>
      </c>
      <c r="H50" s="4">
        <v>4</v>
      </c>
      <c r="I50">
        <f t="shared" ca="1" si="1"/>
        <v>216</v>
      </c>
      <c r="J50">
        <f t="shared" si="2"/>
        <v>12</v>
      </c>
      <c r="K50" t="str">
        <f>VLOOKUP(E50,地区表!$A$2:$C$255,3,FALSE)</f>
        <v>东北</v>
      </c>
      <c r="L50" s="23" t="str" cm="1">
        <f t="array" ref="L50:N50">_xlfn.TEXTSPLIT(A50,"-")</f>
        <v>CN</v>
      </c>
      <c r="M50" s="22" t="str">
        <v>2719</v>
      </c>
      <c r="N50" s="22" t="str">
        <v>4092734</v>
      </c>
    </row>
    <row r="51" spans="1:14" ht="15.6">
      <c r="A51" s="4" t="s">
        <v>775</v>
      </c>
      <c r="B51" s="5">
        <v>45270.244919271601</v>
      </c>
      <c r="C51" s="5">
        <v>45274.548076594103</v>
      </c>
      <c r="D51" s="4" t="s">
        <v>114</v>
      </c>
      <c r="E51" s="4" t="s">
        <v>218</v>
      </c>
      <c r="F51" s="4" t="s">
        <v>106</v>
      </c>
      <c r="G51" s="4">
        <f t="shared" ca="1" si="0"/>
        <v>76</v>
      </c>
      <c r="H51" s="4">
        <v>5</v>
      </c>
      <c r="I51">
        <f t="shared" ca="1" si="1"/>
        <v>380</v>
      </c>
      <c r="J51">
        <f t="shared" si="2"/>
        <v>12</v>
      </c>
      <c r="K51" t="str">
        <f>VLOOKUP(E51,地区表!$A$2:$C$255,3,FALSE)</f>
        <v>东北</v>
      </c>
      <c r="L51" s="23" t="str" cm="1">
        <f t="array" ref="L51:N51">_xlfn.TEXTSPLIT(A51,"-")</f>
        <v>CN</v>
      </c>
      <c r="M51" s="22" t="str">
        <v>2719</v>
      </c>
      <c r="N51" s="22" t="str">
        <v>4092734</v>
      </c>
    </row>
    <row r="52" spans="1:14" ht="15.6">
      <c r="A52" s="4" t="s">
        <v>775</v>
      </c>
      <c r="B52" s="5">
        <v>45270.101471653099</v>
      </c>
      <c r="C52" s="5">
        <v>45274.461919284702</v>
      </c>
      <c r="D52" s="4" t="s">
        <v>114</v>
      </c>
      <c r="E52" s="4" t="s">
        <v>218</v>
      </c>
      <c r="F52" s="4" t="s">
        <v>135</v>
      </c>
      <c r="G52" s="4">
        <f t="shared" ca="1" si="0"/>
        <v>13</v>
      </c>
      <c r="H52" s="4">
        <v>5</v>
      </c>
      <c r="I52">
        <f t="shared" ca="1" si="1"/>
        <v>65</v>
      </c>
      <c r="J52">
        <f t="shared" si="2"/>
        <v>12</v>
      </c>
      <c r="K52" t="str">
        <f>VLOOKUP(E52,地区表!$A$2:$C$255,3,FALSE)</f>
        <v>东北</v>
      </c>
      <c r="L52" s="23" t="str" cm="1">
        <f t="array" ref="L52:N52">_xlfn.TEXTSPLIT(A52,"-")</f>
        <v>CN</v>
      </c>
      <c r="M52" s="22" t="str">
        <v>2719</v>
      </c>
      <c r="N52" s="22" t="str">
        <v>4092734</v>
      </c>
    </row>
    <row r="53" spans="1:14" ht="15.6">
      <c r="A53" s="4" t="s">
        <v>504</v>
      </c>
      <c r="B53" s="5">
        <v>44586.439593110597</v>
      </c>
      <c r="C53" s="5">
        <v>44590.734179783503</v>
      </c>
      <c r="D53" s="4" t="s">
        <v>94</v>
      </c>
      <c r="E53" s="4" t="s">
        <v>505</v>
      </c>
      <c r="F53" s="4" t="s">
        <v>131</v>
      </c>
      <c r="G53" s="4">
        <f t="shared" ca="1" si="0"/>
        <v>11</v>
      </c>
      <c r="H53" s="4">
        <v>3</v>
      </c>
      <c r="I53">
        <f t="shared" ca="1" si="1"/>
        <v>33</v>
      </c>
      <c r="J53">
        <f t="shared" si="2"/>
        <v>1</v>
      </c>
      <c r="K53" t="str">
        <f>VLOOKUP(E53,地区表!$A$2:$C$255,3,FALSE)</f>
        <v>东北</v>
      </c>
      <c r="L53" s="23" t="str" cm="1">
        <f t="array" ref="L53:N53">_xlfn.TEXTSPLIT(A53,"-")</f>
        <v>CN</v>
      </c>
      <c r="M53" s="22" t="str">
        <v>3130</v>
      </c>
      <c r="N53" s="22" t="str">
        <v>1574908</v>
      </c>
    </row>
    <row r="54" spans="1:14" ht="15.6">
      <c r="A54" s="4" t="s">
        <v>607</v>
      </c>
      <c r="B54" s="5">
        <v>44582.9778146186</v>
      </c>
      <c r="C54" s="5">
        <v>44584.379531498998</v>
      </c>
      <c r="D54" s="4" t="s">
        <v>94</v>
      </c>
      <c r="E54" s="4" t="s">
        <v>505</v>
      </c>
      <c r="F54" s="4" t="s">
        <v>121</v>
      </c>
      <c r="G54" s="4">
        <f t="shared" ca="1" si="0"/>
        <v>25</v>
      </c>
      <c r="H54" s="4">
        <v>1</v>
      </c>
      <c r="I54">
        <f t="shared" ca="1" si="1"/>
        <v>25</v>
      </c>
      <c r="J54">
        <f t="shared" si="2"/>
        <v>1</v>
      </c>
      <c r="K54" t="str">
        <f>VLOOKUP(E54,地区表!$A$2:$C$255,3,FALSE)</f>
        <v>东北</v>
      </c>
      <c r="L54" s="23" t="str" cm="1">
        <f t="array" ref="L54:N54">_xlfn.TEXTSPLIT(A54,"-")</f>
        <v>CN</v>
      </c>
      <c r="M54" s="22" t="str">
        <v>3126</v>
      </c>
      <c r="N54" s="22" t="str">
        <v>4433229</v>
      </c>
    </row>
    <row r="55" spans="1:14" ht="15.6">
      <c r="A55" s="4" t="s">
        <v>607</v>
      </c>
      <c r="B55" s="5">
        <v>44582.116434662603</v>
      </c>
      <c r="C55" s="5">
        <v>44584.702355252099</v>
      </c>
      <c r="D55" s="4" t="s">
        <v>94</v>
      </c>
      <c r="E55" s="4" t="s">
        <v>505</v>
      </c>
      <c r="F55" s="4" t="s">
        <v>122</v>
      </c>
      <c r="G55" s="4">
        <f t="shared" ca="1" si="0"/>
        <v>69</v>
      </c>
      <c r="H55" s="4">
        <v>2</v>
      </c>
      <c r="I55">
        <f t="shared" ca="1" si="1"/>
        <v>138</v>
      </c>
      <c r="J55">
        <f t="shared" si="2"/>
        <v>1</v>
      </c>
      <c r="K55" t="str">
        <f>VLOOKUP(E55,地区表!$A$2:$C$255,3,FALSE)</f>
        <v>东北</v>
      </c>
      <c r="L55" s="23" t="str" cm="1">
        <f t="array" ref="L55:N55">_xlfn.TEXTSPLIT(A55,"-")</f>
        <v>CN</v>
      </c>
      <c r="M55" s="22" t="str">
        <v>3126</v>
      </c>
      <c r="N55" s="22" t="str">
        <v>4433229</v>
      </c>
    </row>
    <row r="56" spans="1:14" ht="15.6">
      <c r="A56" s="4" t="s">
        <v>523</v>
      </c>
      <c r="B56" s="5">
        <v>44319.904523858997</v>
      </c>
      <c r="C56" s="5">
        <v>44322.326028899399</v>
      </c>
      <c r="D56" s="4" t="s">
        <v>94</v>
      </c>
      <c r="E56" s="4" t="s">
        <v>524</v>
      </c>
      <c r="F56" s="4" t="s">
        <v>125</v>
      </c>
      <c r="G56" s="4">
        <f t="shared" ca="1" si="0"/>
        <v>60</v>
      </c>
      <c r="H56" s="4">
        <v>7</v>
      </c>
      <c r="I56">
        <f t="shared" ca="1" si="1"/>
        <v>420</v>
      </c>
      <c r="J56">
        <f t="shared" si="2"/>
        <v>5</v>
      </c>
      <c r="K56" t="str">
        <f>VLOOKUP(E56,地区表!$A$2:$C$255,3,FALSE)</f>
        <v>华东</v>
      </c>
      <c r="L56" s="23" t="str" cm="1">
        <f t="array" ref="L56:N56">_xlfn.TEXTSPLIT(A56,"-")</f>
        <v>CN</v>
      </c>
      <c r="M56" s="22" t="str">
        <v>2863</v>
      </c>
      <c r="N56" s="22" t="str">
        <v>5477816</v>
      </c>
    </row>
    <row r="57" spans="1:14" ht="15.6">
      <c r="A57" s="4" t="s">
        <v>761</v>
      </c>
      <c r="B57" s="5">
        <v>45201.243419219201</v>
      </c>
      <c r="C57" s="5">
        <v>45207.089268981799</v>
      </c>
      <c r="D57" s="4" t="s">
        <v>98</v>
      </c>
      <c r="E57" s="4" t="s">
        <v>762</v>
      </c>
      <c r="F57" s="4" t="s">
        <v>122</v>
      </c>
      <c r="G57" s="4">
        <f t="shared" ca="1" si="0"/>
        <v>17</v>
      </c>
      <c r="H57" s="4">
        <v>6</v>
      </c>
      <c r="I57">
        <f t="shared" ca="1" si="1"/>
        <v>102</v>
      </c>
      <c r="J57">
        <f t="shared" si="2"/>
        <v>10</v>
      </c>
      <c r="K57" t="str">
        <f>VLOOKUP(E57,地区表!$A$2:$C$255,3,FALSE)</f>
        <v>华北</v>
      </c>
      <c r="L57" s="23" t="str" cm="1">
        <f t="array" ref="L57:N57">_xlfn.TEXTSPLIT(A57,"-")</f>
        <v>CN</v>
      </c>
      <c r="M57" s="22" t="str">
        <v>2650</v>
      </c>
      <c r="N57" s="22" t="str">
        <v>3374395</v>
      </c>
    </row>
    <row r="58" spans="1:14" ht="15.6">
      <c r="A58" s="4" t="s">
        <v>165</v>
      </c>
      <c r="B58" s="5">
        <v>45286.919895696497</v>
      </c>
      <c r="C58" s="5">
        <v>45289.101617967601</v>
      </c>
      <c r="D58" s="4" t="s">
        <v>94</v>
      </c>
      <c r="E58" s="4" t="s">
        <v>166</v>
      </c>
      <c r="F58" s="4" t="s">
        <v>118</v>
      </c>
      <c r="G58" s="4">
        <f t="shared" ca="1" si="0"/>
        <v>24</v>
      </c>
      <c r="H58" s="4">
        <v>2</v>
      </c>
      <c r="I58">
        <f t="shared" ca="1" si="1"/>
        <v>48</v>
      </c>
      <c r="J58">
        <f t="shared" si="2"/>
        <v>12</v>
      </c>
      <c r="K58" t="str">
        <f>VLOOKUP(E58,地区表!$A$2:$C$255,3,FALSE)</f>
        <v>中南</v>
      </c>
      <c r="L58" s="23" t="str" cm="1">
        <f t="array" ref="L58:N58">_xlfn.TEXTSPLIT(A58,"-")</f>
        <v>CN</v>
      </c>
      <c r="M58" s="22" t="str">
        <v>2004</v>
      </c>
      <c r="N58" s="22" t="str">
        <v>3232413</v>
      </c>
    </row>
    <row r="59" spans="1:14" ht="15.6">
      <c r="A59" s="4" t="s">
        <v>803</v>
      </c>
      <c r="B59" s="5">
        <v>44600.5292849381</v>
      </c>
      <c r="C59" s="5">
        <v>44602.330134200303</v>
      </c>
      <c r="D59" s="4" t="s">
        <v>98</v>
      </c>
      <c r="E59" s="4" t="s">
        <v>804</v>
      </c>
      <c r="F59" s="4" t="s">
        <v>122</v>
      </c>
      <c r="G59" s="4">
        <f t="shared" ca="1" si="0"/>
        <v>97</v>
      </c>
      <c r="H59" s="4">
        <v>5</v>
      </c>
      <c r="I59">
        <f t="shared" ca="1" si="1"/>
        <v>485</v>
      </c>
      <c r="J59">
        <f t="shared" si="2"/>
        <v>2</v>
      </c>
      <c r="K59" t="str">
        <f>VLOOKUP(E59,地区表!$A$2:$C$255,3,FALSE)</f>
        <v>西南</v>
      </c>
      <c r="L59" s="23" t="str" cm="1">
        <f t="array" ref="L59:N59">_xlfn.TEXTSPLIT(A59,"-")</f>
        <v>US</v>
      </c>
      <c r="M59" s="22" t="str">
        <v>3144</v>
      </c>
      <c r="N59" s="22" t="str">
        <v>5339863</v>
      </c>
    </row>
    <row r="60" spans="1:14" ht="15.6">
      <c r="A60" s="4" t="s">
        <v>837</v>
      </c>
      <c r="B60" s="5">
        <v>44229.163221725699</v>
      </c>
      <c r="C60" s="5">
        <v>44233.7437907821</v>
      </c>
      <c r="D60" s="4" t="s">
        <v>94</v>
      </c>
      <c r="E60" s="4" t="s">
        <v>804</v>
      </c>
      <c r="F60" s="4" t="s">
        <v>122</v>
      </c>
      <c r="G60" s="4">
        <f t="shared" ca="1" si="0"/>
        <v>14</v>
      </c>
      <c r="H60" s="4">
        <v>2</v>
      </c>
      <c r="I60">
        <f t="shared" ca="1" si="1"/>
        <v>28</v>
      </c>
      <c r="J60">
        <f t="shared" si="2"/>
        <v>2</v>
      </c>
      <c r="K60" t="str">
        <f>VLOOKUP(E60,地区表!$A$2:$C$255,3,FALSE)</f>
        <v>西南</v>
      </c>
      <c r="L60" s="23" t="str" cm="1">
        <f t="array" ref="L60:N60">_xlfn.TEXTSPLIT(A60,"-")</f>
        <v>US</v>
      </c>
      <c r="M60" s="22" t="str">
        <v>2773</v>
      </c>
      <c r="N60" s="22" t="str">
        <v>5801512</v>
      </c>
    </row>
    <row r="61" spans="1:14" ht="15.6">
      <c r="A61" s="4" t="s">
        <v>837</v>
      </c>
      <c r="B61" s="5">
        <v>44229.250319453597</v>
      </c>
      <c r="C61" s="5">
        <v>44233.672820262</v>
      </c>
      <c r="D61" s="4" t="s">
        <v>94</v>
      </c>
      <c r="E61" s="4" t="s">
        <v>804</v>
      </c>
      <c r="F61" s="4" t="s">
        <v>135</v>
      </c>
      <c r="G61" s="4">
        <f t="shared" ca="1" si="0"/>
        <v>71</v>
      </c>
      <c r="H61" s="4">
        <v>6</v>
      </c>
      <c r="I61">
        <f t="shared" ca="1" si="1"/>
        <v>426</v>
      </c>
      <c r="J61">
        <f t="shared" si="2"/>
        <v>2</v>
      </c>
      <c r="K61" t="str">
        <f>VLOOKUP(E61,地区表!$A$2:$C$255,3,FALSE)</f>
        <v>西南</v>
      </c>
      <c r="L61" s="23" t="str" cm="1">
        <f t="array" ref="L61:N61">_xlfn.TEXTSPLIT(A61,"-")</f>
        <v>US</v>
      </c>
      <c r="M61" s="22" t="str">
        <v>2773</v>
      </c>
      <c r="N61" s="22" t="str">
        <v>5801512</v>
      </c>
    </row>
    <row r="62" spans="1:14" ht="15.6">
      <c r="A62" s="4" t="s">
        <v>837</v>
      </c>
      <c r="B62" s="5">
        <v>44229.255598250798</v>
      </c>
      <c r="C62" s="5">
        <v>44233.2441452516</v>
      </c>
      <c r="D62" s="4" t="s">
        <v>94</v>
      </c>
      <c r="E62" s="4" t="s">
        <v>804</v>
      </c>
      <c r="F62" s="4" t="s">
        <v>101</v>
      </c>
      <c r="G62" s="4">
        <f t="shared" ca="1" si="0"/>
        <v>86</v>
      </c>
      <c r="H62" s="4">
        <v>1</v>
      </c>
      <c r="I62">
        <f t="shared" ca="1" si="1"/>
        <v>86</v>
      </c>
      <c r="J62">
        <f t="shared" si="2"/>
        <v>2</v>
      </c>
      <c r="K62" t="str">
        <f>VLOOKUP(E62,地区表!$A$2:$C$255,3,FALSE)</f>
        <v>西南</v>
      </c>
      <c r="L62" s="23" t="str" cm="1">
        <f t="array" ref="L62:N62">_xlfn.TEXTSPLIT(A62,"-")</f>
        <v>US</v>
      </c>
      <c r="M62" s="22" t="str">
        <v>2773</v>
      </c>
      <c r="N62" s="22" t="str">
        <v>5801512</v>
      </c>
    </row>
    <row r="63" spans="1:14" ht="15.6">
      <c r="A63" s="4" t="s">
        <v>638</v>
      </c>
      <c r="B63" s="5">
        <v>44482.499109419201</v>
      </c>
      <c r="C63" s="5">
        <v>44484.820484138501</v>
      </c>
      <c r="D63" s="4" t="s">
        <v>94</v>
      </c>
      <c r="E63" s="4" t="s">
        <v>639</v>
      </c>
      <c r="F63" s="4" t="s">
        <v>118</v>
      </c>
      <c r="G63" s="4">
        <f t="shared" ca="1" si="0"/>
        <v>51</v>
      </c>
      <c r="H63" s="4">
        <v>3</v>
      </c>
      <c r="I63">
        <f t="shared" ca="1" si="1"/>
        <v>153</v>
      </c>
      <c r="J63">
        <f t="shared" si="2"/>
        <v>10</v>
      </c>
      <c r="K63" t="str">
        <f>VLOOKUP(E63,地区表!$A$2:$C$255,3,FALSE)</f>
        <v>华北</v>
      </c>
      <c r="L63" s="23" t="str" cm="1">
        <f t="array" ref="L63:N63">_xlfn.TEXTSPLIT(A63,"-")</f>
        <v>CN</v>
      </c>
      <c r="M63" s="22" t="str">
        <v>3026</v>
      </c>
      <c r="N63" s="22" t="str">
        <v>1511005</v>
      </c>
    </row>
    <row r="64" spans="1:14" ht="15.6">
      <c r="A64" s="4" t="s">
        <v>638</v>
      </c>
      <c r="B64" s="5">
        <v>44482.8473787478</v>
      </c>
      <c r="C64" s="5">
        <v>44484.356703814403</v>
      </c>
      <c r="D64" s="4" t="s">
        <v>94</v>
      </c>
      <c r="E64" s="4" t="s">
        <v>639</v>
      </c>
      <c r="F64" s="4" t="s">
        <v>96</v>
      </c>
      <c r="G64" s="4">
        <f t="shared" ca="1" si="0"/>
        <v>72</v>
      </c>
      <c r="H64" s="4">
        <v>3</v>
      </c>
      <c r="I64">
        <f t="shared" ca="1" si="1"/>
        <v>216</v>
      </c>
      <c r="J64">
        <f t="shared" si="2"/>
        <v>10</v>
      </c>
      <c r="K64" t="str">
        <f>VLOOKUP(E64,地区表!$A$2:$C$255,3,FALSE)</f>
        <v>华北</v>
      </c>
      <c r="L64" s="23" t="str" cm="1">
        <f t="array" ref="L64:N64">_xlfn.TEXTSPLIT(A64,"-")</f>
        <v>CN</v>
      </c>
      <c r="M64" s="22" t="str">
        <v>3026</v>
      </c>
      <c r="N64" s="22" t="str">
        <v>1511005</v>
      </c>
    </row>
    <row r="65" spans="1:14" ht="15.6">
      <c r="A65" s="4" t="s">
        <v>638</v>
      </c>
      <c r="B65" s="5">
        <v>44482.6893545352</v>
      </c>
      <c r="C65" s="5">
        <v>44484.466813419102</v>
      </c>
      <c r="D65" s="4" t="s">
        <v>94</v>
      </c>
      <c r="E65" s="4" t="s">
        <v>639</v>
      </c>
      <c r="F65" s="4" t="s">
        <v>101</v>
      </c>
      <c r="G65" s="4">
        <f t="shared" ca="1" si="0"/>
        <v>89</v>
      </c>
      <c r="H65" s="4">
        <v>3</v>
      </c>
      <c r="I65">
        <f t="shared" ca="1" si="1"/>
        <v>267</v>
      </c>
      <c r="J65">
        <f t="shared" si="2"/>
        <v>10</v>
      </c>
      <c r="K65" t="str">
        <f>VLOOKUP(E65,地区表!$A$2:$C$255,3,FALSE)</f>
        <v>华北</v>
      </c>
      <c r="L65" s="23" t="str" cm="1">
        <f t="array" ref="L65:N65">_xlfn.TEXTSPLIT(A65,"-")</f>
        <v>CN</v>
      </c>
      <c r="M65" s="22" t="str">
        <v>3026</v>
      </c>
      <c r="N65" s="22" t="str">
        <v>1511005</v>
      </c>
    </row>
    <row r="66" spans="1:14" ht="15.6">
      <c r="A66" s="4" t="s">
        <v>638</v>
      </c>
      <c r="B66" s="5">
        <v>44482.324155784998</v>
      </c>
      <c r="C66" s="5">
        <v>44484.996028103902</v>
      </c>
      <c r="D66" s="4" t="s">
        <v>94</v>
      </c>
      <c r="E66" s="4" t="s">
        <v>639</v>
      </c>
      <c r="F66" s="4" t="s">
        <v>141</v>
      </c>
      <c r="G66" s="4">
        <f t="shared" ref="G66:G129" ca="1" si="3">RANDBETWEEN(10,100)</f>
        <v>26</v>
      </c>
      <c r="H66" s="4">
        <v>6</v>
      </c>
      <c r="I66">
        <f t="shared" ca="1" si="1"/>
        <v>156</v>
      </c>
      <c r="J66">
        <f t="shared" si="2"/>
        <v>10</v>
      </c>
      <c r="K66" t="str">
        <f>VLOOKUP(E66,地区表!$A$2:$C$255,3,FALSE)</f>
        <v>华北</v>
      </c>
      <c r="L66" s="23" t="str" cm="1">
        <f t="array" ref="L66:N66">_xlfn.TEXTSPLIT(A66,"-")</f>
        <v>CN</v>
      </c>
      <c r="M66" s="22" t="str">
        <v>3026</v>
      </c>
      <c r="N66" s="22" t="str">
        <v>1511005</v>
      </c>
    </row>
    <row r="67" spans="1:14" ht="15.6">
      <c r="A67" s="4" t="s">
        <v>638</v>
      </c>
      <c r="B67" s="5">
        <v>44482.800244090096</v>
      </c>
      <c r="C67" s="5">
        <v>44484.521609586896</v>
      </c>
      <c r="D67" s="4" t="s">
        <v>94</v>
      </c>
      <c r="E67" s="4" t="s">
        <v>639</v>
      </c>
      <c r="F67" s="4" t="s">
        <v>100</v>
      </c>
      <c r="G67" s="4">
        <f t="shared" ca="1" si="3"/>
        <v>55</v>
      </c>
      <c r="H67" s="4">
        <v>6</v>
      </c>
      <c r="I67">
        <f t="shared" ref="I67:I130" ca="1" si="4">G67*H67</f>
        <v>330</v>
      </c>
      <c r="J67">
        <f t="shared" ref="J67:J130" si="5">MONTH(B67)</f>
        <v>10</v>
      </c>
      <c r="K67" t="str">
        <f>VLOOKUP(E67,地区表!$A$2:$C$255,3,FALSE)</f>
        <v>华北</v>
      </c>
      <c r="L67" s="23" t="str" cm="1">
        <f t="array" ref="L67:N67">_xlfn.TEXTSPLIT(A67,"-")</f>
        <v>CN</v>
      </c>
      <c r="M67" s="22" t="str">
        <v>3026</v>
      </c>
      <c r="N67" s="22" t="str">
        <v>1511005</v>
      </c>
    </row>
    <row r="68" spans="1:14" ht="15.6">
      <c r="A68" s="4" t="s">
        <v>764</v>
      </c>
      <c r="B68" s="5">
        <v>45235.700435576</v>
      </c>
      <c r="C68" s="5">
        <v>45239.715273206901</v>
      </c>
      <c r="D68" s="4" t="s">
        <v>114</v>
      </c>
      <c r="E68" s="4" t="s">
        <v>765</v>
      </c>
      <c r="F68" s="4" t="s">
        <v>131</v>
      </c>
      <c r="G68" s="4">
        <f t="shared" ca="1" si="3"/>
        <v>10</v>
      </c>
      <c r="H68" s="4">
        <v>8</v>
      </c>
      <c r="I68">
        <f t="shared" ca="1" si="4"/>
        <v>80</v>
      </c>
      <c r="J68">
        <f t="shared" si="5"/>
        <v>11</v>
      </c>
      <c r="K68" t="str">
        <f>VLOOKUP(E68,地区表!$A$2:$C$255,3,FALSE)</f>
        <v>华北</v>
      </c>
      <c r="L68" s="23" t="str" cm="1">
        <f t="array" ref="L68:N68">_xlfn.TEXTSPLIT(A68,"-")</f>
        <v>CN</v>
      </c>
      <c r="M68" s="22" t="str">
        <v>1953</v>
      </c>
      <c r="N68" s="22" t="str">
        <v>2501800</v>
      </c>
    </row>
    <row r="69" spans="1:14" ht="15.6">
      <c r="A69" s="4" t="s">
        <v>238</v>
      </c>
      <c r="B69" s="5">
        <v>44420.7838731023</v>
      </c>
      <c r="C69" s="5">
        <v>44421.206782396803</v>
      </c>
      <c r="D69" s="4" t="s">
        <v>94</v>
      </c>
      <c r="E69" s="4" t="s">
        <v>239</v>
      </c>
      <c r="F69" s="4" t="s">
        <v>130</v>
      </c>
      <c r="G69" s="4">
        <f t="shared" ca="1" si="3"/>
        <v>80</v>
      </c>
      <c r="H69" s="4">
        <v>2</v>
      </c>
      <c r="I69">
        <f t="shared" ca="1" si="4"/>
        <v>160</v>
      </c>
      <c r="J69">
        <f t="shared" si="5"/>
        <v>8</v>
      </c>
      <c r="K69" t="str">
        <f>VLOOKUP(E69,地区表!$A$2:$C$255,3,FALSE)</f>
        <v>中南</v>
      </c>
      <c r="L69" s="23" t="str" cm="1">
        <f t="array" ref="L69:N69">_xlfn.TEXTSPLIT(A69,"-")</f>
        <v>CN</v>
      </c>
      <c r="M69" s="22" t="str">
        <v>2964</v>
      </c>
      <c r="N69" s="22" t="str">
        <v>3211633</v>
      </c>
    </row>
    <row r="70" spans="1:14" ht="15.6">
      <c r="A70" s="4" t="s">
        <v>238</v>
      </c>
      <c r="B70" s="5">
        <v>44420.765824850998</v>
      </c>
      <c r="C70" s="5">
        <v>44421.267122816898</v>
      </c>
      <c r="D70" s="4" t="s">
        <v>94</v>
      </c>
      <c r="E70" s="4" t="s">
        <v>239</v>
      </c>
      <c r="F70" s="4" t="s">
        <v>106</v>
      </c>
      <c r="G70" s="4">
        <f t="shared" ca="1" si="3"/>
        <v>43</v>
      </c>
      <c r="H70" s="4">
        <v>3</v>
      </c>
      <c r="I70">
        <f t="shared" ca="1" si="4"/>
        <v>129</v>
      </c>
      <c r="J70">
        <f t="shared" si="5"/>
        <v>8</v>
      </c>
      <c r="K70" t="str">
        <f>VLOOKUP(E70,地区表!$A$2:$C$255,3,FALSE)</f>
        <v>中南</v>
      </c>
      <c r="L70" s="23" t="str" cm="1">
        <f t="array" ref="L70:N70">_xlfn.TEXTSPLIT(A70,"-")</f>
        <v>CN</v>
      </c>
      <c r="M70" s="22" t="str">
        <v>2964</v>
      </c>
      <c r="N70" s="22" t="str">
        <v>3211633</v>
      </c>
    </row>
    <row r="71" spans="1:14" ht="15.6">
      <c r="A71" s="4" t="s">
        <v>534</v>
      </c>
      <c r="B71" s="5">
        <v>44580.159778693604</v>
      </c>
      <c r="C71" s="5">
        <v>44585.612428743902</v>
      </c>
      <c r="D71" s="4" t="s">
        <v>94</v>
      </c>
      <c r="E71" s="4" t="s">
        <v>239</v>
      </c>
      <c r="F71" s="4" t="s">
        <v>121</v>
      </c>
      <c r="G71" s="4">
        <f t="shared" ca="1" si="3"/>
        <v>99</v>
      </c>
      <c r="H71" s="4">
        <v>5</v>
      </c>
      <c r="I71">
        <f t="shared" ca="1" si="4"/>
        <v>495</v>
      </c>
      <c r="J71">
        <f t="shared" si="5"/>
        <v>1</v>
      </c>
      <c r="K71" t="str">
        <f>VLOOKUP(E71,地区表!$A$2:$C$255,3,FALSE)</f>
        <v>中南</v>
      </c>
      <c r="L71" s="23" t="str" cm="1">
        <f t="array" ref="L71:N71">_xlfn.TEXTSPLIT(A71,"-")</f>
        <v>CN</v>
      </c>
      <c r="M71" s="22" t="str">
        <v>3124</v>
      </c>
      <c r="N71" s="22" t="str">
        <v>3706710</v>
      </c>
    </row>
    <row r="72" spans="1:14" ht="15.6">
      <c r="A72" s="4" t="s">
        <v>534</v>
      </c>
      <c r="B72" s="5">
        <v>44580.104805818199</v>
      </c>
      <c r="C72" s="5">
        <v>44585.609938981899</v>
      </c>
      <c r="D72" s="4" t="s">
        <v>94</v>
      </c>
      <c r="E72" s="4" t="s">
        <v>239</v>
      </c>
      <c r="F72" s="4" t="s">
        <v>106</v>
      </c>
      <c r="G72" s="4">
        <f t="shared" ca="1" si="3"/>
        <v>47</v>
      </c>
      <c r="H72" s="4">
        <v>11</v>
      </c>
      <c r="I72">
        <f t="shared" ca="1" si="4"/>
        <v>517</v>
      </c>
      <c r="J72">
        <f t="shared" si="5"/>
        <v>1</v>
      </c>
      <c r="K72" t="str">
        <f>VLOOKUP(E72,地区表!$A$2:$C$255,3,FALSE)</f>
        <v>中南</v>
      </c>
      <c r="L72" s="23" t="str" cm="1">
        <f t="array" ref="L72:N72">_xlfn.TEXTSPLIT(A72,"-")</f>
        <v>CN</v>
      </c>
      <c r="M72" s="22" t="str">
        <v>3124</v>
      </c>
      <c r="N72" s="22" t="str">
        <v>3706710</v>
      </c>
    </row>
    <row r="73" spans="1:14" ht="15.6">
      <c r="A73" s="4" t="s">
        <v>818</v>
      </c>
      <c r="B73" s="5">
        <v>44957.072251354199</v>
      </c>
      <c r="C73" s="5">
        <v>44957.999659633897</v>
      </c>
      <c r="D73" s="4" t="s">
        <v>94</v>
      </c>
      <c r="E73" s="4" t="s">
        <v>239</v>
      </c>
      <c r="F73" s="4" t="s">
        <v>135</v>
      </c>
      <c r="G73" s="4">
        <f t="shared" ca="1" si="3"/>
        <v>64</v>
      </c>
      <c r="H73" s="4">
        <v>3</v>
      </c>
      <c r="I73">
        <f t="shared" ca="1" si="4"/>
        <v>192</v>
      </c>
      <c r="J73">
        <f t="shared" si="5"/>
        <v>1</v>
      </c>
      <c r="K73" t="str">
        <f>VLOOKUP(E73,地区表!$A$2:$C$255,3,FALSE)</f>
        <v>中南</v>
      </c>
      <c r="L73" s="23" t="str" cm="1">
        <f t="array" ref="L73:N73">_xlfn.TEXTSPLIT(A73,"-")</f>
        <v>CN</v>
      </c>
      <c r="M73" s="22" t="str">
        <v>2406</v>
      </c>
      <c r="N73" s="22" t="str">
        <v>1301703</v>
      </c>
    </row>
    <row r="74" spans="1:14" ht="15.6">
      <c r="A74" s="4" t="s">
        <v>692</v>
      </c>
      <c r="B74" s="5">
        <v>44960.767765099998</v>
      </c>
      <c r="C74" s="5">
        <v>44965.942964343201</v>
      </c>
      <c r="D74" s="4" t="s">
        <v>94</v>
      </c>
      <c r="E74" s="4" t="s">
        <v>693</v>
      </c>
      <c r="F74" s="4" t="s">
        <v>131</v>
      </c>
      <c r="G74" s="4">
        <f t="shared" ca="1" si="3"/>
        <v>92</v>
      </c>
      <c r="H74" s="4">
        <v>5</v>
      </c>
      <c r="I74">
        <f t="shared" ca="1" si="4"/>
        <v>460</v>
      </c>
      <c r="J74">
        <f t="shared" si="5"/>
        <v>2</v>
      </c>
      <c r="K74" t="str">
        <f>VLOOKUP(E74,地区表!$A$2:$C$255,3,FALSE)</f>
        <v>东北</v>
      </c>
      <c r="L74" s="23" t="str" cm="1">
        <f t="array" ref="L74:N74">_xlfn.TEXTSPLIT(A74,"-")</f>
        <v>CN</v>
      </c>
      <c r="M74" s="22" t="str">
        <v>2409</v>
      </c>
      <c r="N74" s="22" t="str">
        <v>5616321</v>
      </c>
    </row>
    <row r="75" spans="1:14" ht="15.6">
      <c r="A75" s="4" t="s">
        <v>692</v>
      </c>
      <c r="B75" s="5">
        <v>44960.9381957554</v>
      </c>
      <c r="C75" s="5">
        <v>44965.233672718001</v>
      </c>
      <c r="D75" s="4" t="s">
        <v>94</v>
      </c>
      <c r="E75" s="4" t="s">
        <v>693</v>
      </c>
      <c r="F75" s="4" t="s">
        <v>130</v>
      </c>
      <c r="G75" s="4">
        <f t="shared" ca="1" si="3"/>
        <v>67</v>
      </c>
      <c r="H75" s="4">
        <v>3</v>
      </c>
      <c r="I75">
        <f t="shared" ca="1" si="4"/>
        <v>201</v>
      </c>
      <c r="J75">
        <f t="shared" si="5"/>
        <v>2</v>
      </c>
      <c r="K75" t="str">
        <f>VLOOKUP(E75,地区表!$A$2:$C$255,3,FALSE)</f>
        <v>东北</v>
      </c>
      <c r="L75" s="23" t="str" cm="1">
        <f t="array" ref="L75:N75">_xlfn.TEXTSPLIT(A75,"-")</f>
        <v>CN</v>
      </c>
      <c r="M75" s="22" t="str">
        <v>2409</v>
      </c>
      <c r="N75" s="22" t="str">
        <v>5616321</v>
      </c>
    </row>
    <row r="76" spans="1:14" ht="15.6">
      <c r="A76" s="4" t="s">
        <v>754</v>
      </c>
      <c r="B76" s="5">
        <v>44849.751692964499</v>
      </c>
      <c r="C76" s="5">
        <v>44853.830788784799</v>
      </c>
      <c r="D76" s="4" t="s">
        <v>114</v>
      </c>
      <c r="E76" s="4" t="s">
        <v>755</v>
      </c>
      <c r="F76" s="4" t="s">
        <v>121</v>
      </c>
      <c r="G76" s="4">
        <f t="shared" ca="1" si="3"/>
        <v>66</v>
      </c>
      <c r="H76" s="4">
        <v>4</v>
      </c>
      <c r="I76">
        <f t="shared" ca="1" si="4"/>
        <v>264</v>
      </c>
      <c r="J76">
        <f t="shared" si="5"/>
        <v>10</v>
      </c>
      <c r="K76" t="str">
        <f>VLOOKUP(E76,地区表!$A$2:$C$255,3,FALSE)</f>
        <v>东北</v>
      </c>
      <c r="L76" s="23" t="str" cm="1">
        <f t="array" ref="L76:N76">_xlfn.TEXTSPLIT(A76,"-")</f>
        <v>CN</v>
      </c>
      <c r="M76" s="22" t="str">
        <v>2298</v>
      </c>
      <c r="N76" s="22" t="str">
        <v>5533473</v>
      </c>
    </row>
    <row r="77" spans="1:14" ht="15.6">
      <c r="A77" s="4" t="s">
        <v>754</v>
      </c>
      <c r="B77" s="5">
        <v>44849.573576279101</v>
      </c>
      <c r="C77" s="5">
        <v>44853.765951143803</v>
      </c>
      <c r="D77" s="4" t="s">
        <v>114</v>
      </c>
      <c r="E77" s="4" t="s">
        <v>755</v>
      </c>
      <c r="F77" s="4" t="s">
        <v>122</v>
      </c>
      <c r="G77" s="4">
        <f t="shared" ca="1" si="3"/>
        <v>73</v>
      </c>
      <c r="H77" s="4">
        <v>3</v>
      </c>
      <c r="I77">
        <f t="shared" ca="1" si="4"/>
        <v>219</v>
      </c>
      <c r="J77">
        <f t="shared" si="5"/>
        <v>10</v>
      </c>
      <c r="K77" t="str">
        <f>VLOOKUP(E77,地区表!$A$2:$C$255,3,FALSE)</f>
        <v>东北</v>
      </c>
      <c r="L77" s="23" t="str" cm="1">
        <f t="array" ref="L77:N77">_xlfn.TEXTSPLIT(A77,"-")</f>
        <v>CN</v>
      </c>
      <c r="M77" s="22" t="str">
        <v>2298</v>
      </c>
      <c r="N77" s="22" t="str">
        <v>5533473</v>
      </c>
    </row>
    <row r="78" spans="1:14" ht="15.6">
      <c r="A78" s="4" t="s">
        <v>102</v>
      </c>
      <c r="B78" s="5">
        <v>44664.544388679002</v>
      </c>
      <c r="C78" s="5">
        <v>44668.275706719403</v>
      </c>
      <c r="D78" s="4" t="s">
        <v>94</v>
      </c>
      <c r="E78" s="4" t="s">
        <v>103</v>
      </c>
      <c r="F78" s="4" t="s">
        <v>96</v>
      </c>
      <c r="G78" s="4">
        <f t="shared" ca="1" si="3"/>
        <v>84</v>
      </c>
      <c r="H78" s="4">
        <v>4</v>
      </c>
      <c r="I78">
        <f t="shared" ca="1" si="4"/>
        <v>336</v>
      </c>
      <c r="J78">
        <f t="shared" si="5"/>
        <v>4</v>
      </c>
      <c r="K78" t="str">
        <f>VLOOKUP(E78,地区表!$A$2:$C$255,3,FALSE)</f>
        <v>华东</v>
      </c>
      <c r="L78" s="23" t="str" cm="1">
        <f t="array" ref="L78:N78">_xlfn.TEXTSPLIT(A78,"-")</f>
        <v>US</v>
      </c>
      <c r="M78" s="22" t="str">
        <v>3208</v>
      </c>
      <c r="N78" s="22" t="str">
        <v>3017568</v>
      </c>
    </row>
    <row r="79" spans="1:14" ht="15.6">
      <c r="A79" s="4" t="s">
        <v>223</v>
      </c>
      <c r="B79" s="5">
        <v>44966.566913662202</v>
      </c>
      <c r="C79" s="5">
        <v>44966.8126692238</v>
      </c>
      <c r="D79" s="4" t="s">
        <v>98</v>
      </c>
      <c r="E79" s="4" t="s">
        <v>103</v>
      </c>
      <c r="F79" s="4" t="s">
        <v>100</v>
      </c>
      <c r="G79" s="4">
        <f t="shared" ca="1" si="3"/>
        <v>34</v>
      </c>
      <c r="H79" s="4">
        <v>6</v>
      </c>
      <c r="I79">
        <f t="shared" ca="1" si="4"/>
        <v>204</v>
      </c>
      <c r="J79">
        <f t="shared" si="5"/>
        <v>2</v>
      </c>
      <c r="K79" t="str">
        <f>VLOOKUP(E79,地区表!$A$2:$C$255,3,FALSE)</f>
        <v>华东</v>
      </c>
      <c r="L79" s="23" t="str" cm="1">
        <f t="array" ref="L79:N79">_xlfn.TEXTSPLIT(A79,"-")</f>
        <v>CN</v>
      </c>
      <c r="M79" s="22" t="str">
        <v>2415</v>
      </c>
      <c r="N79" s="22" t="str">
        <v>3269021</v>
      </c>
    </row>
    <row r="80" spans="1:14" ht="15.6">
      <c r="A80" s="4" t="s">
        <v>223</v>
      </c>
      <c r="B80" s="5">
        <v>44966.010885357297</v>
      </c>
      <c r="C80" s="5">
        <v>44966.966772621498</v>
      </c>
      <c r="D80" s="4" t="s">
        <v>98</v>
      </c>
      <c r="E80" s="4" t="s">
        <v>103</v>
      </c>
      <c r="F80" s="4" t="s">
        <v>109</v>
      </c>
      <c r="G80" s="4">
        <f t="shared" ca="1" si="3"/>
        <v>86</v>
      </c>
      <c r="H80" s="4">
        <v>1</v>
      </c>
      <c r="I80">
        <f t="shared" ca="1" si="4"/>
        <v>86</v>
      </c>
      <c r="J80">
        <f t="shared" si="5"/>
        <v>2</v>
      </c>
      <c r="K80" t="str">
        <f>VLOOKUP(E80,地区表!$A$2:$C$255,3,FALSE)</f>
        <v>华东</v>
      </c>
      <c r="L80" s="23" t="str" cm="1">
        <f t="array" ref="L80:N80">_xlfn.TEXTSPLIT(A80,"-")</f>
        <v>CN</v>
      </c>
      <c r="M80" s="22" t="str">
        <v>2415</v>
      </c>
      <c r="N80" s="22" t="str">
        <v>3269021</v>
      </c>
    </row>
    <row r="81" spans="1:14" ht="15.6">
      <c r="A81" s="4" t="s">
        <v>223</v>
      </c>
      <c r="B81" s="5">
        <v>44966.270953706298</v>
      </c>
      <c r="C81" s="5">
        <v>44966.6589833658</v>
      </c>
      <c r="D81" s="4" t="s">
        <v>98</v>
      </c>
      <c r="E81" s="4" t="s">
        <v>103</v>
      </c>
      <c r="F81" s="4" t="s">
        <v>100</v>
      </c>
      <c r="G81" s="4">
        <f t="shared" ca="1" si="3"/>
        <v>68</v>
      </c>
      <c r="H81" s="4">
        <v>2</v>
      </c>
      <c r="I81">
        <f t="shared" ca="1" si="4"/>
        <v>136</v>
      </c>
      <c r="J81">
        <f t="shared" si="5"/>
        <v>2</v>
      </c>
      <c r="K81" t="str">
        <f>VLOOKUP(E81,地区表!$A$2:$C$255,3,FALSE)</f>
        <v>华东</v>
      </c>
      <c r="L81" s="23" t="str" cm="1">
        <f t="array" ref="L81:N81">_xlfn.TEXTSPLIT(A81,"-")</f>
        <v>CN</v>
      </c>
      <c r="M81" s="22" t="str">
        <v>2415</v>
      </c>
      <c r="N81" s="22" t="str">
        <v>3269021</v>
      </c>
    </row>
    <row r="82" spans="1:14" ht="15.6">
      <c r="A82" s="4" t="s">
        <v>223</v>
      </c>
      <c r="B82" s="5">
        <v>44966.532028094603</v>
      </c>
      <c r="C82" s="5">
        <v>44966.148686465604</v>
      </c>
      <c r="D82" s="4" t="s">
        <v>98</v>
      </c>
      <c r="E82" s="4" t="s">
        <v>103</v>
      </c>
      <c r="F82" s="4" t="s">
        <v>121</v>
      </c>
      <c r="G82" s="4">
        <f t="shared" ca="1" si="3"/>
        <v>66</v>
      </c>
      <c r="H82" s="4">
        <v>4</v>
      </c>
      <c r="I82">
        <f t="shared" ca="1" si="4"/>
        <v>264</v>
      </c>
      <c r="J82">
        <f t="shared" si="5"/>
        <v>2</v>
      </c>
      <c r="K82" t="str">
        <f>VLOOKUP(E82,地区表!$A$2:$C$255,3,FALSE)</f>
        <v>华东</v>
      </c>
      <c r="L82" s="23" t="str" cm="1">
        <f t="array" ref="L82:N82">_xlfn.TEXTSPLIT(A82,"-")</f>
        <v>CN</v>
      </c>
      <c r="M82" s="22" t="str">
        <v>2415</v>
      </c>
      <c r="N82" s="22" t="str">
        <v>3269021</v>
      </c>
    </row>
    <row r="83" spans="1:14" ht="15.6">
      <c r="A83" s="4" t="s">
        <v>223</v>
      </c>
      <c r="B83" s="5">
        <v>44966.419637370702</v>
      </c>
      <c r="C83" s="5">
        <v>44966.951764294201</v>
      </c>
      <c r="D83" s="4" t="s">
        <v>98</v>
      </c>
      <c r="E83" s="4" t="s">
        <v>103</v>
      </c>
      <c r="F83" s="4" t="s">
        <v>122</v>
      </c>
      <c r="G83" s="4">
        <f t="shared" ca="1" si="3"/>
        <v>30</v>
      </c>
      <c r="H83" s="4">
        <v>7</v>
      </c>
      <c r="I83">
        <f t="shared" ca="1" si="4"/>
        <v>210</v>
      </c>
      <c r="J83">
        <f t="shared" si="5"/>
        <v>2</v>
      </c>
      <c r="K83" t="str">
        <f>VLOOKUP(E83,地区表!$A$2:$C$255,3,FALSE)</f>
        <v>华东</v>
      </c>
      <c r="L83" s="23" t="str" cm="1">
        <f t="array" ref="L83:N83">_xlfn.TEXTSPLIT(A83,"-")</f>
        <v>CN</v>
      </c>
      <c r="M83" s="22" t="str">
        <v>2415</v>
      </c>
      <c r="N83" s="22" t="str">
        <v>3269021</v>
      </c>
    </row>
    <row r="84" spans="1:14" ht="15.6">
      <c r="A84" s="4" t="s">
        <v>223</v>
      </c>
      <c r="B84" s="5">
        <v>44966.809247862897</v>
      </c>
      <c r="C84" s="5">
        <v>44966.731957045798</v>
      </c>
      <c r="D84" s="4" t="s">
        <v>98</v>
      </c>
      <c r="E84" s="4" t="s">
        <v>103</v>
      </c>
      <c r="F84" s="4" t="s">
        <v>135</v>
      </c>
      <c r="G84" s="4">
        <f t="shared" ca="1" si="3"/>
        <v>16</v>
      </c>
      <c r="H84" s="4">
        <v>3</v>
      </c>
      <c r="I84">
        <f t="shared" ca="1" si="4"/>
        <v>48</v>
      </c>
      <c r="J84">
        <f t="shared" si="5"/>
        <v>2</v>
      </c>
      <c r="K84" t="str">
        <f>VLOOKUP(E84,地区表!$A$2:$C$255,3,FALSE)</f>
        <v>华东</v>
      </c>
      <c r="L84" s="23" t="str" cm="1">
        <f t="array" ref="L84:N84">_xlfn.TEXTSPLIT(A84,"-")</f>
        <v>CN</v>
      </c>
      <c r="M84" s="22" t="str">
        <v>2415</v>
      </c>
      <c r="N84" s="22" t="str">
        <v>3269021</v>
      </c>
    </row>
    <row r="85" spans="1:14" ht="15.6">
      <c r="A85" s="4" t="s">
        <v>223</v>
      </c>
      <c r="B85" s="5">
        <v>44966.717472065997</v>
      </c>
      <c r="C85" s="5">
        <v>44966.530352741298</v>
      </c>
      <c r="D85" s="4" t="s">
        <v>98</v>
      </c>
      <c r="E85" s="4" t="s">
        <v>103</v>
      </c>
      <c r="F85" s="4" t="s">
        <v>100</v>
      </c>
      <c r="G85" s="4">
        <f t="shared" ca="1" si="3"/>
        <v>17</v>
      </c>
      <c r="H85" s="4">
        <v>4</v>
      </c>
      <c r="I85">
        <f t="shared" ca="1" si="4"/>
        <v>68</v>
      </c>
      <c r="J85">
        <f t="shared" si="5"/>
        <v>2</v>
      </c>
      <c r="K85" t="str">
        <f>VLOOKUP(E85,地区表!$A$2:$C$255,3,FALSE)</f>
        <v>华东</v>
      </c>
      <c r="L85" s="23" t="str" cm="1">
        <f t="array" ref="L85:N85">_xlfn.TEXTSPLIT(A85,"-")</f>
        <v>CN</v>
      </c>
      <c r="M85" s="22" t="str">
        <v>2415</v>
      </c>
      <c r="N85" s="22" t="str">
        <v>3269021</v>
      </c>
    </row>
    <row r="86" spans="1:14" ht="15.6">
      <c r="A86" s="4" t="s">
        <v>223</v>
      </c>
      <c r="B86" s="5">
        <v>44966.994478522902</v>
      </c>
      <c r="C86" s="5">
        <v>44966.488702313902</v>
      </c>
      <c r="D86" s="4" t="s">
        <v>98</v>
      </c>
      <c r="E86" s="4" t="s">
        <v>103</v>
      </c>
      <c r="F86" s="4" t="s">
        <v>96</v>
      </c>
      <c r="G86" s="4">
        <f t="shared" ca="1" si="3"/>
        <v>16</v>
      </c>
      <c r="H86" s="4">
        <v>2</v>
      </c>
      <c r="I86">
        <f t="shared" ca="1" si="4"/>
        <v>32</v>
      </c>
      <c r="J86">
        <f t="shared" si="5"/>
        <v>2</v>
      </c>
      <c r="K86" t="str">
        <f>VLOOKUP(E86,地区表!$A$2:$C$255,3,FALSE)</f>
        <v>华东</v>
      </c>
      <c r="L86" s="23" t="str" cm="1">
        <f t="array" ref="L86:N86">_xlfn.TEXTSPLIT(A86,"-")</f>
        <v>CN</v>
      </c>
      <c r="M86" s="22" t="str">
        <v>2415</v>
      </c>
      <c r="N86" s="22" t="str">
        <v>3269021</v>
      </c>
    </row>
    <row r="87" spans="1:14" ht="15.6">
      <c r="A87" s="4" t="s">
        <v>467</v>
      </c>
      <c r="B87" s="5">
        <v>44368.340765008397</v>
      </c>
      <c r="C87" s="5">
        <v>44373.581758085602</v>
      </c>
      <c r="D87" s="4" t="s">
        <v>98</v>
      </c>
      <c r="E87" s="4" t="s">
        <v>468</v>
      </c>
      <c r="F87" s="4" t="s">
        <v>131</v>
      </c>
      <c r="G87" s="4">
        <f t="shared" ca="1" si="3"/>
        <v>57</v>
      </c>
      <c r="H87" s="4">
        <v>11</v>
      </c>
      <c r="I87">
        <f t="shared" ca="1" si="4"/>
        <v>627</v>
      </c>
      <c r="J87">
        <f t="shared" si="5"/>
        <v>6</v>
      </c>
      <c r="K87" t="str">
        <f>VLOOKUP(E87,地区表!$A$2:$C$255,3,FALSE)</f>
        <v>西北</v>
      </c>
      <c r="L87" s="23" t="str" cm="1">
        <f t="array" ref="L87:N87">_xlfn.TEXTSPLIT(A87,"-")</f>
        <v>CN</v>
      </c>
      <c r="M87" s="22" t="str">
        <v>2912</v>
      </c>
      <c r="N87" s="22" t="str">
        <v>3585437</v>
      </c>
    </row>
    <row r="88" spans="1:14" ht="15.6">
      <c r="A88" s="4" t="s">
        <v>467</v>
      </c>
      <c r="B88" s="5">
        <v>44368.906366290801</v>
      </c>
      <c r="C88" s="5">
        <v>44373.034371170303</v>
      </c>
      <c r="D88" s="4" t="s">
        <v>98</v>
      </c>
      <c r="E88" s="4" t="s">
        <v>468</v>
      </c>
      <c r="F88" s="4" t="s">
        <v>110</v>
      </c>
      <c r="G88" s="4">
        <f t="shared" ca="1" si="3"/>
        <v>30</v>
      </c>
      <c r="H88" s="4">
        <v>3</v>
      </c>
      <c r="I88">
        <f t="shared" ca="1" si="4"/>
        <v>90</v>
      </c>
      <c r="J88">
        <f t="shared" si="5"/>
        <v>6</v>
      </c>
      <c r="K88" t="str">
        <f>VLOOKUP(E88,地区表!$A$2:$C$255,3,FALSE)</f>
        <v>西北</v>
      </c>
      <c r="L88" s="23" t="str" cm="1">
        <f t="array" ref="L88:N88">_xlfn.TEXTSPLIT(A88,"-")</f>
        <v>CN</v>
      </c>
      <c r="M88" s="22" t="str">
        <v>2912</v>
      </c>
      <c r="N88" s="22" t="str">
        <v>3585437</v>
      </c>
    </row>
    <row r="89" spans="1:14" ht="15.6">
      <c r="A89" s="4" t="s">
        <v>715</v>
      </c>
      <c r="B89" s="5">
        <v>44963.2860308007</v>
      </c>
      <c r="C89" s="5">
        <v>44968.228598092399</v>
      </c>
      <c r="D89" s="4" t="s">
        <v>114</v>
      </c>
      <c r="E89" s="4" t="s">
        <v>716</v>
      </c>
      <c r="F89" s="4" t="s">
        <v>125</v>
      </c>
      <c r="G89" s="4">
        <f t="shared" ca="1" si="3"/>
        <v>30</v>
      </c>
      <c r="H89" s="4">
        <v>1</v>
      </c>
      <c r="I89">
        <f t="shared" ca="1" si="4"/>
        <v>30</v>
      </c>
      <c r="J89">
        <f t="shared" si="5"/>
        <v>2</v>
      </c>
      <c r="K89" t="str">
        <f>VLOOKUP(E89,地区表!$A$2:$C$255,3,FALSE)</f>
        <v>西南</v>
      </c>
      <c r="L89" s="23" t="str" cm="1">
        <f t="array" ref="L89:N89">_xlfn.TEXTSPLIT(A89,"-")</f>
        <v>CN</v>
      </c>
      <c r="M89" s="22" t="str">
        <v>2412</v>
      </c>
      <c r="N89" s="22" t="str">
        <v>5542988</v>
      </c>
    </row>
    <row r="90" spans="1:14" ht="15.6">
      <c r="A90" s="4" t="s">
        <v>436</v>
      </c>
      <c r="B90" s="5">
        <v>45015.025176688403</v>
      </c>
      <c r="C90" s="5">
        <v>45020.3939673692</v>
      </c>
      <c r="D90" s="4" t="s">
        <v>94</v>
      </c>
      <c r="E90" s="4" t="s">
        <v>437</v>
      </c>
      <c r="F90" s="4" t="s">
        <v>106</v>
      </c>
      <c r="G90" s="4">
        <f t="shared" ca="1" si="3"/>
        <v>95</v>
      </c>
      <c r="H90" s="4">
        <v>7</v>
      </c>
      <c r="I90">
        <f t="shared" ca="1" si="4"/>
        <v>665</v>
      </c>
      <c r="J90">
        <f t="shared" si="5"/>
        <v>3</v>
      </c>
      <c r="K90" t="str">
        <f>VLOOKUP(E90,地区表!$A$2:$C$255,3,FALSE)</f>
        <v>东北</v>
      </c>
      <c r="L90" s="23" t="str" cm="1">
        <f t="array" ref="L90:N90">_xlfn.TEXTSPLIT(A90,"-")</f>
        <v>US</v>
      </c>
      <c r="M90" s="22" t="str">
        <v>2464</v>
      </c>
      <c r="N90" s="22" t="str">
        <v>1498643</v>
      </c>
    </row>
    <row r="91" spans="1:14" ht="15.6">
      <c r="A91" s="4" t="s">
        <v>436</v>
      </c>
      <c r="B91" s="5">
        <v>45015.625210209699</v>
      </c>
      <c r="C91" s="5">
        <v>45020.580929246898</v>
      </c>
      <c r="D91" s="4" t="s">
        <v>94</v>
      </c>
      <c r="E91" s="4" t="s">
        <v>437</v>
      </c>
      <c r="F91" s="4" t="s">
        <v>112</v>
      </c>
      <c r="G91" s="4">
        <f t="shared" ca="1" si="3"/>
        <v>97</v>
      </c>
      <c r="H91" s="4">
        <v>4</v>
      </c>
      <c r="I91">
        <f t="shared" ca="1" si="4"/>
        <v>388</v>
      </c>
      <c r="J91">
        <f t="shared" si="5"/>
        <v>3</v>
      </c>
      <c r="K91" t="str">
        <f>VLOOKUP(E91,地区表!$A$2:$C$255,3,FALSE)</f>
        <v>东北</v>
      </c>
      <c r="L91" s="23" t="str" cm="1">
        <f t="array" ref="L91:N91">_xlfn.TEXTSPLIT(A91,"-")</f>
        <v>US</v>
      </c>
      <c r="M91" s="22" t="str">
        <v>2464</v>
      </c>
      <c r="N91" s="22" t="str">
        <v>1498643</v>
      </c>
    </row>
    <row r="92" spans="1:14" ht="15.6">
      <c r="A92" s="4" t="s">
        <v>436</v>
      </c>
      <c r="B92" s="5">
        <v>45015.721993402403</v>
      </c>
      <c r="C92" s="5">
        <v>45020.186730733702</v>
      </c>
      <c r="D92" s="4" t="s">
        <v>94</v>
      </c>
      <c r="E92" s="4" t="s">
        <v>437</v>
      </c>
      <c r="F92" s="4" t="s">
        <v>100</v>
      </c>
      <c r="G92" s="4">
        <f t="shared" ca="1" si="3"/>
        <v>32</v>
      </c>
      <c r="H92" s="4">
        <v>7</v>
      </c>
      <c r="I92">
        <f t="shared" ca="1" si="4"/>
        <v>224</v>
      </c>
      <c r="J92">
        <f t="shared" si="5"/>
        <v>3</v>
      </c>
      <c r="K92" t="str">
        <f>VLOOKUP(E92,地区表!$A$2:$C$255,3,FALSE)</f>
        <v>东北</v>
      </c>
      <c r="L92" s="23" t="str" cm="1">
        <f t="array" ref="L92:N92">_xlfn.TEXTSPLIT(A92,"-")</f>
        <v>US</v>
      </c>
      <c r="M92" s="22" t="str">
        <v>2464</v>
      </c>
      <c r="N92" s="22" t="str">
        <v>1498643</v>
      </c>
    </row>
    <row r="93" spans="1:14" ht="15.6">
      <c r="A93" s="4" t="s">
        <v>436</v>
      </c>
      <c r="B93" s="5">
        <v>45015.6630822558</v>
      </c>
      <c r="C93" s="5">
        <v>45020.700081757903</v>
      </c>
      <c r="D93" s="4" t="s">
        <v>94</v>
      </c>
      <c r="E93" s="4" t="s">
        <v>437</v>
      </c>
      <c r="F93" s="4" t="s">
        <v>121</v>
      </c>
      <c r="G93" s="4">
        <f t="shared" ca="1" si="3"/>
        <v>29</v>
      </c>
      <c r="H93" s="4">
        <v>2</v>
      </c>
      <c r="I93">
        <f t="shared" ca="1" si="4"/>
        <v>58</v>
      </c>
      <c r="J93">
        <f t="shared" si="5"/>
        <v>3</v>
      </c>
      <c r="K93" t="str">
        <f>VLOOKUP(E93,地区表!$A$2:$C$255,3,FALSE)</f>
        <v>东北</v>
      </c>
      <c r="L93" s="23" t="str" cm="1">
        <f t="array" ref="L93:N93">_xlfn.TEXTSPLIT(A93,"-")</f>
        <v>US</v>
      </c>
      <c r="M93" s="22" t="str">
        <v>2464</v>
      </c>
      <c r="N93" s="22" t="str">
        <v>1498643</v>
      </c>
    </row>
    <row r="94" spans="1:14" ht="15.6">
      <c r="A94" s="4" t="s">
        <v>436</v>
      </c>
      <c r="B94" s="5">
        <v>45015.693538335501</v>
      </c>
      <c r="C94" s="5">
        <v>45020.049529578399</v>
      </c>
      <c r="D94" s="4" t="s">
        <v>94</v>
      </c>
      <c r="E94" s="4" t="s">
        <v>437</v>
      </c>
      <c r="F94" s="4" t="s">
        <v>122</v>
      </c>
      <c r="G94" s="4">
        <f t="shared" ca="1" si="3"/>
        <v>23</v>
      </c>
      <c r="H94" s="4">
        <v>7</v>
      </c>
      <c r="I94">
        <f t="shared" ca="1" si="4"/>
        <v>161</v>
      </c>
      <c r="J94">
        <f t="shared" si="5"/>
        <v>3</v>
      </c>
      <c r="K94" t="str">
        <f>VLOOKUP(E94,地区表!$A$2:$C$255,3,FALSE)</f>
        <v>东北</v>
      </c>
      <c r="L94" s="23" t="str" cm="1">
        <f t="array" ref="L94:N94">_xlfn.TEXTSPLIT(A94,"-")</f>
        <v>US</v>
      </c>
      <c r="M94" s="22" t="str">
        <v>2464</v>
      </c>
      <c r="N94" s="22" t="str">
        <v>1498643</v>
      </c>
    </row>
    <row r="95" spans="1:14" ht="15.6">
      <c r="A95" s="4" t="s">
        <v>436</v>
      </c>
      <c r="B95" s="5">
        <v>45015.078021105197</v>
      </c>
      <c r="C95" s="5">
        <v>45020.712468700302</v>
      </c>
      <c r="D95" s="4" t="s">
        <v>94</v>
      </c>
      <c r="E95" s="4" t="s">
        <v>437</v>
      </c>
      <c r="F95" s="4" t="s">
        <v>100</v>
      </c>
      <c r="G95" s="4">
        <f t="shared" ca="1" si="3"/>
        <v>87</v>
      </c>
      <c r="H95" s="4">
        <v>3</v>
      </c>
      <c r="I95">
        <f t="shared" ca="1" si="4"/>
        <v>261</v>
      </c>
      <c r="J95">
        <f t="shared" si="5"/>
        <v>3</v>
      </c>
      <c r="K95" t="str">
        <f>VLOOKUP(E95,地区表!$A$2:$C$255,3,FALSE)</f>
        <v>东北</v>
      </c>
      <c r="L95" s="23" t="str" cm="1">
        <f t="array" ref="L95:N95">_xlfn.TEXTSPLIT(A95,"-")</f>
        <v>US</v>
      </c>
      <c r="M95" s="22" t="str">
        <v>2464</v>
      </c>
      <c r="N95" s="22" t="str">
        <v>1498643</v>
      </c>
    </row>
    <row r="96" spans="1:14" ht="15.6">
      <c r="A96" s="4" t="s">
        <v>436</v>
      </c>
      <c r="B96" s="5">
        <v>45015.6384380155</v>
      </c>
      <c r="C96" s="5">
        <v>45020.327661120296</v>
      </c>
      <c r="D96" s="4" t="s">
        <v>94</v>
      </c>
      <c r="E96" s="4" t="s">
        <v>437</v>
      </c>
      <c r="F96" s="4" t="s">
        <v>141</v>
      </c>
      <c r="G96" s="4">
        <f t="shared" ca="1" si="3"/>
        <v>95</v>
      </c>
      <c r="H96" s="4">
        <v>5</v>
      </c>
      <c r="I96">
        <f t="shared" ca="1" si="4"/>
        <v>475</v>
      </c>
      <c r="J96">
        <f t="shared" si="5"/>
        <v>3</v>
      </c>
      <c r="K96" t="str">
        <f>VLOOKUP(E96,地区表!$A$2:$C$255,3,FALSE)</f>
        <v>东北</v>
      </c>
      <c r="L96" s="23" t="str" cm="1">
        <f t="array" ref="L96:N96">_xlfn.TEXTSPLIT(A96,"-")</f>
        <v>US</v>
      </c>
      <c r="M96" s="22" t="str">
        <v>2464</v>
      </c>
      <c r="N96" s="22" t="str">
        <v>1498643</v>
      </c>
    </row>
    <row r="97" spans="1:14" ht="15.6">
      <c r="A97" s="4" t="s">
        <v>424</v>
      </c>
      <c r="B97" s="5">
        <v>44676.518088310899</v>
      </c>
      <c r="C97" s="5">
        <v>44677.0129100337</v>
      </c>
      <c r="D97" s="4" t="s">
        <v>114</v>
      </c>
      <c r="E97" s="4" t="s">
        <v>425</v>
      </c>
      <c r="F97" s="4" t="s">
        <v>135</v>
      </c>
      <c r="G97" s="4">
        <f t="shared" ca="1" si="3"/>
        <v>15</v>
      </c>
      <c r="H97" s="4">
        <v>3</v>
      </c>
      <c r="I97">
        <f t="shared" ca="1" si="4"/>
        <v>45</v>
      </c>
      <c r="J97">
        <f t="shared" si="5"/>
        <v>4</v>
      </c>
      <c r="K97" t="str">
        <f>VLOOKUP(E97,地区表!$A$2:$C$255,3,FALSE)</f>
        <v>东北</v>
      </c>
      <c r="L97" s="23" t="str" cm="1">
        <f t="array" ref="L97:N97">_xlfn.TEXTSPLIT(A97,"-")</f>
        <v>CN</v>
      </c>
      <c r="M97" s="22" t="str">
        <v>3220</v>
      </c>
      <c r="N97" s="22" t="str">
        <v>1516102</v>
      </c>
    </row>
    <row r="98" spans="1:14" ht="15.6">
      <c r="A98" s="4" t="s">
        <v>424</v>
      </c>
      <c r="B98" s="5">
        <v>44676.340463680302</v>
      </c>
      <c r="C98" s="5">
        <v>44677.5101401188</v>
      </c>
      <c r="D98" s="4" t="s">
        <v>114</v>
      </c>
      <c r="E98" s="4" t="s">
        <v>425</v>
      </c>
      <c r="F98" s="4" t="s">
        <v>110</v>
      </c>
      <c r="G98" s="4">
        <f t="shared" ca="1" si="3"/>
        <v>11</v>
      </c>
      <c r="H98" s="4">
        <v>2</v>
      </c>
      <c r="I98">
        <f t="shared" ca="1" si="4"/>
        <v>22</v>
      </c>
      <c r="J98">
        <f t="shared" si="5"/>
        <v>4</v>
      </c>
      <c r="K98" t="str">
        <f>VLOOKUP(E98,地区表!$A$2:$C$255,3,FALSE)</f>
        <v>东北</v>
      </c>
      <c r="L98" s="23" t="str" cm="1">
        <f t="array" ref="L98:N98">_xlfn.TEXTSPLIT(A98,"-")</f>
        <v>CN</v>
      </c>
      <c r="M98" s="22" t="str">
        <v>3220</v>
      </c>
      <c r="N98" s="22" t="str">
        <v>1516102</v>
      </c>
    </row>
    <row r="99" spans="1:14" ht="15.6">
      <c r="A99" s="4" t="s">
        <v>773</v>
      </c>
      <c r="B99" s="5">
        <v>44593.753495731602</v>
      </c>
      <c r="C99" s="5">
        <v>44597.6934919825</v>
      </c>
      <c r="D99" s="4" t="s">
        <v>98</v>
      </c>
      <c r="E99" s="4" t="s">
        <v>425</v>
      </c>
      <c r="F99" s="4" t="s">
        <v>111</v>
      </c>
      <c r="G99" s="4">
        <f t="shared" ca="1" si="3"/>
        <v>72</v>
      </c>
      <c r="H99" s="4">
        <v>5</v>
      </c>
      <c r="I99">
        <f t="shared" ca="1" si="4"/>
        <v>360</v>
      </c>
      <c r="J99">
        <f t="shared" si="5"/>
        <v>2</v>
      </c>
      <c r="K99" t="str">
        <f>VLOOKUP(E99,地区表!$A$2:$C$255,3,FALSE)</f>
        <v>东北</v>
      </c>
      <c r="L99" s="23" t="str" cm="1">
        <f t="array" ref="L99:N99">_xlfn.TEXTSPLIT(A99,"-")</f>
        <v>CN</v>
      </c>
      <c r="M99" s="22" t="str">
        <v>3137</v>
      </c>
      <c r="N99" s="22" t="str">
        <v>5378913</v>
      </c>
    </row>
    <row r="100" spans="1:14" ht="15.6">
      <c r="A100" s="4" t="s">
        <v>774</v>
      </c>
      <c r="B100" s="5">
        <v>44684.872993943798</v>
      </c>
      <c r="C100" s="5">
        <v>44686.745876070003</v>
      </c>
      <c r="D100" s="4" t="s">
        <v>98</v>
      </c>
      <c r="E100" s="4" t="s">
        <v>425</v>
      </c>
      <c r="F100" s="4" t="s">
        <v>121</v>
      </c>
      <c r="G100" s="4">
        <f t="shared" ca="1" si="3"/>
        <v>80</v>
      </c>
      <c r="H100" s="4">
        <v>3</v>
      </c>
      <c r="I100">
        <f t="shared" ca="1" si="4"/>
        <v>240</v>
      </c>
      <c r="J100">
        <f t="shared" si="5"/>
        <v>5</v>
      </c>
      <c r="K100" t="str">
        <f>VLOOKUP(E100,地区表!$A$2:$C$255,3,FALSE)</f>
        <v>东北</v>
      </c>
      <c r="L100" s="23" t="str" cm="1">
        <f t="array" ref="L100:N100">_xlfn.TEXTSPLIT(A100,"-")</f>
        <v>CN</v>
      </c>
      <c r="M100" s="22" t="str">
        <v>3228</v>
      </c>
      <c r="N100" s="22" t="str">
        <v>4121606</v>
      </c>
    </row>
    <row r="101" spans="1:14" ht="15.6">
      <c r="A101" s="4" t="s">
        <v>422</v>
      </c>
      <c r="B101" s="5">
        <v>44575.290397504701</v>
      </c>
      <c r="C101" s="5">
        <v>44579.997795120398</v>
      </c>
      <c r="D101" s="4" t="s">
        <v>98</v>
      </c>
      <c r="E101" s="4" t="s">
        <v>423</v>
      </c>
      <c r="F101" s="4" t="s">
        <v>131</v>
      </c>
      <c r="G101" s="4">
        <f t="shared" ca="1" si="3"/>
        <v>72</v>
      </c>
      <c r="H101" s="4">
        <v>4</v>
      </c>
      <c r="I101">
        <f t="shared" ca="1" si="4"/>
        <v>288</v>
      </c>
      <c r="J101">
        <f t="shared" si="5"/>
        <v>1</v>
      </c>
      <c r="K101" t="str">
        <f>VLOOKUP(E101,地区表!$A$2:$C$255,3,FALSE)</f>
        <v>中南</v>
      </c>
      <c r="L101" s="23" t="str" cm="1">
        <f t="array" ref="L101:N101">_xlfn.TEXTSPLIT(A101,"-")</f>
        <v>CN</v>
      </c>
      <c r="M101" s="22" t="str">
        <v>3119</v>
      </c>
      <c r="N101" s="22" t="str">
        <v>3132230</v>
      </c>
    </row>
    <row r="102" spans="1:14" ht="15.6">
      <c r="A102" s="4" t="s">
        <v>422</v>
      </c>
      <c r="B102" s="5">
        <v>44575.333501225003</v>
      </c>
      <c r="C102" s="5">
        <v>44579.910289707899</v>
      </c>
      <c r="D102" s="4" t="s">
        <v>98</v>
      </c>
      <c r="E102" s="4" t="s">
        <v>423</v>
      </c>
      <c r="F102" s="4" t="s">
        <v>135</v>
      </c>
      <c r="G102" s="4">
        <f t="shared" ca="1" si="3"/>
        <v>60</v>
      </c>
      <c r="H102" s="4">
        <v>13</v>
      </c>
      <c r="I102">
        <f t="shared" ca="1" si="4"/>
        <v>780</v>
      </c>
      <c r="J102">
        <f t="shared" si="5"/>
        <v>1</v>
      </c>
      <c r="K102" t="str">
        <f>VLOOKUP(E102,地区表!$A$2:$C$255,3,FALSE)</f>
        <v>中南</v>
      </c>
      <c r="L102" s="23" t="str" cm="1">
        <f t="array" ref="L102:N102">_xlfn.TEXTSPLIT(A102,"-")</f>
        <v>CN</v>
      </c>
      <c r="M102" s="22" t="str">
        <v>3119</v>
      </c>
      <c r="N102" s="22" t="str">
        <v>3132230</v>
      </c>
    </row>
    <row r="103" spans="1:14" ht="15.6">
      <c r="A103" s="4" t="s">
        <v>422</v>
      </c>
      <c r="B103" s="5">
        <v>44575.261166379198</v>
      </c>
      <c r="C103" s="5">
        <v>44579.862246925302</v>
      </c>
      <c r="D103" s="4" t="s">
        <v>98</v>
      </c>
      <c r="E103" s="4" t="s">
        <v>423</v>
      </c>
      <c r="F103" s="4" t="s">
        <v>101</v>
      </c>
      <c r="G103" s="4">
        <f t="shared" ca="1" si="3"/>
        <v>80</v>
      </c>
      <c r="H103" s="4">
        <v>2</v>
      </c>
      <c r="I103">
        <f t="shared" ca="1" si="4"/>
        <v>160</v>
      </c>
      <c r="J103">
        <f t="shared" si="5"/>
        <v>1</v>
      </c>
      <c r="K103" t="str">
        <f>VLOOKUP(E103,地区表!$A$2:$C$255,3,FALSE)</f>
        <v>中南</v>
      </c>
      <c r="L103" s="23" t="str" cm="1">
        <f t="array" ref="L103:N103">_xlfn.TEXTSPLIT(A103,"-")</f>
        <v>CN</v>
      </c>
      <c r="M103" s="22" t="str">
        <v>3119</v>
      </c>
      <c r="N103" s="22" t="str">
        <v>3132230</v>
      </c>
    </row>
    <row r="104" spans="1:14" ht="15.6">
      <c r="A104" s="4" t="s">
        <v>331</v>
      </c>
      <c r="B104" s="5">
        <v>44232.1191625172</v>
      </c>
      <c r="C104" s="5">
        <v>44235.782591792398</v>
      </c>
      <c r="D104" s="4" t="s">
        <v>98</v>
      </c>
      <c r="E104" s="4" t="s">
        <v>332</v>
      </c>
      <c r="F104" s="4" t="s">
        <v>109</v>
      </c>
      <c r="G104" s="4">
        <f t="shared" ca="1" si="3"/>
        <v>40</v>
      </c>
      <c r="H104" s="4">
        <v>3</v>
      </c>
      <c r="I104">
        <f t="shared" ca="1" si="4"/>
        <v>120</v>
      </c>
      <c r="J104">
        <f t="shared" si="5"/>
        <v>2</v>
      </c>
      <c r="K104" t="str">
        <f>VLOOKUP(E104,地区表!$A$2:$C$255,3,FALSE)</f>
        <v>中南</v>
      </c>
      <c r="L104" s="23" t="str" cm="1">
        <f t="array" ref="L104:N104">_xlfn.TEXTSPLIT(A104,"-")</f>
        <v>US</v>
      </c>
      <c r="M104" s="22" t="str">
        <v>2776</v>
      </c>
      <c r="N104" s="22" t="str">
        <v>1815663</v>
      </c>
    </row>
    <row r="105" spans="1:14" ht="15.6">
      <c r="A105" s="4" t="s">
        <v>331</v>
      </c>
      <c r="B105" s="5">
        <v>44232.014434020297</v>
      </c>
      <c r="C105" s="5">
        <v>44235.269447846797</v>
      </c>
      <c r="D105" s="4" t="s">
        <v>98</v>
      </c>
      <c r="E105" s="4" t="s">
        <v>332</v>
      </c>
      <c r="F105" s="4" t="s">
        <v>125</v>
      </c>
      <c r="G105" s="4">
        <f t="shared" ca="1" si="3"/>
        <v>46</v>
      </c>
      <c r="H105" s="4">
        <v>4</v>
      </c>
      <c r="I105">
        <f t="shared" ca="1" si="4"/>
        <v>184</v>
      </c>
      <c r="J105">
        <f t="shared" si="5"/>
        <v>2</v>
      </c>
      <c r="K105" t="str">
        <f>VLOOKUP(E105,地区表!$A$2:$C$255,3,FALSE)</f>
        <v>中南</v>
      </c>
      <c r="L105" s="23" t="str" cm="1">
        <f t="array" ref="L105:N105">_xlfn.TEXTSPLIT(A105,"-")</f>
        <v>US</v>
      </c>
      <c r="M105" s="22" t="str">
        <v>2776</v>
      </c>
      <c r="N105" s="22" t="str">
        <v>1815663</v>
      </c>
    </row>
    <row r="106" spans="1:14" ht="15.6">
      <c r="A106" s="4" t="s">
        <v>331</v>
      </c>
      <c r="B106" s="5">
        <v>44232.692535571201</v>
      </c>
      <c r="C106" s="5">
        <v>44235.117287991401</v>
      </c>
      <c r="D106" s="4" t="s">
        <v>98</v>
      </c>
      <c r="E106" s="4" t="s">
        <v>332</v>
      </c>
      <c r="F106" s="4" t="s">
        <v>96</v>
      </c>
      <c r="G106" s="4">
        <f t="shared" ca="1" si="3"/>
        <v>51</v>
      </c>
      <c r="H106" s="4">
        <v>1</v>
      </c>
      <c r="I106">
        <f t="shared" ca="1" si="4"/>
        <v>51</v>
      </c>
      <c r="J106">
        <f t="shared" si="5"/>
        <v>2</v>
      </c>
      <c r="K106" t="str">
        <f>VLOOKUP(E106,地区表!$A$2:$C$255,3,FALSE)</f>
        <v>中南</v>
      </c>
      <c r="L106" s="23" t="str" cm="1">
        <f t="array" ref="L106:N106">_xlfn.TEXTSPLIT(A106,"-")</f>
        <v>US</v>
      </c>
      <c r="M106" s="22" t="str">
        <v>2776</v>
      </c>
      <c r="N106" s="22" t="str">
        <v>1815663</v>
      </c>
    </row>
    <row r="107" spans="1:14" ht="15.6">
      <c r="A107" s="4" t="s">
        <v>356</v>
      </c>
      <c r="B107" s="5">
        <v>44581.047162122297</v>
      </c>
      <c r="C107" s="5">
        <v>44583.346658836002</v>
      </c>
      <c r="D107" s="4" t="s">
        <v>114</v>
      </c>
      <c r="E107" s="4" t="s">
        <v>357</v>
      </c>
      <c r="F107" s="4" t="s">
        <v>106</v>
      </c>
      <c r="G107" s="4">
        <f t="shared" ca="1" si="3"/>
        <v>65</v>
      </c>
      <c r="H107" s="4">
        <v>2</v>
      </c>
      <c r="I107">
        <f t="shared" ca="1" si="4"/>
        <v>130</v>
      </c>
      <c r="J107">
        <f t="shared" si="5"/>
        <v>1</v>
      </c>
      <c r="K107" t="str">
        <f>VLOOKUP(E107,地区表!$A$2:$C$255,3,FALSE)</f>
        <v>华东</v>
      </c>
      <c r="L107" s="23" t="str" cm="1">
        <f t="array" ref="L107:N107">_xlfn.TEXTSPLIT(A107,"-")</f>
        <v>CN</v>
      </c>
      <c r="M107" s="22" t="str">
        <v>3125</v>
      </c>
      <c r="N107" s="22" t="str">
        <v>1574908</v>
      </c>
    </row>
    <row r="108" spans="1:14" ht="15.6">
      <c r="A108" s="4" t="s">
        <v>356</v>
      </c>
      <c r="B108" s="5">
        <v>44581.990421279297</v>
      </c>
      <c r="C108" s="5">
        <v>44583.671752707101</v>
      </c>
      <c r="D108" s="4" t="s">
        <v>114</v>
      </c>
      <c r="E108" s="4" t="s">
        <v>357</v>
      </c>
      <c r="F108" s="4" t="s">
        <v>135</v>
      </c>
      <c r="G108" s="4">
        <f t="shared" ca="1" si="3"/>
        <v>69</v>
      </c>
      <c r="H108" s="4">
        <v>2</v>
      </c>
      <c r="I108">
        <f t="shared" ca="1" si="4"/>
        <v>138</v>
      </c>
      <c r="J108">
        <f t="shared" si="5"/>
        <v>1</v>
      </c>
      <c r="K108" t="str">
        <f>VLOOKUP(E108,地区表!$A$2:$C$255,3,FALSE)</f>
        <v>华东</v>
      </c>
      <c r="L108" s="23" t="str" cm="1">
        <f t="array" ref="L108:N108">_xlfn.TEXTSPLIT(A108,"-")</f>
        <v>CN</v>
      </c>
      <c r="M108" s="22" t="str">
        <v>3125</v>
      </c>
      <c r="N108" s="22" t="str">
        <v>1574908</v>
      </c>
    </row>
    <row r="109" spans="1:14" ht="15.6">
      <c r="A109" s="4" t="s">
        <v>356</v>
      </c>
      <c r="B109" s="5">
        <v>44581.121138826798</v>
      </c>
      <c r="C109" s="5">
        <v>44583.131813035798</v>
      </c>
      <c r="D109" s="4" t="s">
        <v>114</v>
      </c>
      <c r="E109" s="4" t="s">
        <v>357</v>
      </c>
      <c r="F109" s="4" t="s">
        <v>110</v>
      </c>
      <c r="G109" s="4">
        <f t="shared" ca="1" si="3"/>
        <v>79</v>
      </c>
      <c r="H109" s="4">
        <v>1</v>
      </c>
      <c r="I109">
        <f t="shared" ca="1" si="4"/>
        <v>79</v>
      </c>
      <c r="J109">
        <f t="shared" si="5"/>
        <v>1</v>
      </c>
      <c r="K109" t="str">
        <f>VLOOKUP(E109,地区表!$A$2:$C$255,3,FALSE)</f>
        <v>华东</v>
      </c>
      <c r="L109" s="23" t="str" cm="1">
        <f t="array" ref="L109:N109">_xlfn.TEXTSPLIT(A109,"-")</f>
        <v>CN</v>
      </c>
      <c r="M109" s="22" t="str">
        <v>3125</v>
      </c>
      <c r="N109" s="22" t="str">
        <v>1574908</v>
      </c>
    </row>
    <row r="110" spans="1:14" ht="15.6">
      <c r="A110" s="4" t="s">
        <v>356</v>
      </c>
      <c r="B110" s="5">
        <v>44581.971593577902</v>
      </c>
      <c r="C110" s="5">
        <v>44583.199500885799</v>
      </c>
      <c r="D110" s="4" t="s">
        <v>114</v>
      </c>
      <c r="E110" s="4" t="s">
        <v>357</v>
      </c>
      <c r="F110" s="4" t="s">
        <v>110</v>
      </c>
      <c r="G110" s="4">
        <f t="shared" ca="1" si="3"/>
        <v>82</v>
      </c>
      <c r="H110" s="4">
        <v>2</v>
      </c>
      <c r="I110">
        <f t="shared" ca="1" si="4"/>
        <v>164</v>
      </c>
      <c r="J110">
        <f t="shared" si="5"/>
        <v>1</v>
      </c>
      <c r="K110" t="str">
        <f>VLOOKUP(E110,地区表!$A$2:$C$255,3,FALSE)</f>
        <v>华东</v>
      </c>
      <c r="L110" s="23" t="str" cm="1">
        <f t="array" ref="L110:N110">_xlfn.TEXTSPLIT(A110,"-")</f>
        <v>CN</v>
      </c>
      <c r="M110" s="22" t="str">
        <v>3125</v>
      </c>
      <c r="N110" s="22" t="str">
        <v>1574908</v>
      </c>
    </row>
    <row r="111" spans="1:14" ht="15.6">
      <c r="A111" s="4" t="s">
        <v>356</v>
      </c>
      <c r="B111" s="5">
        <v>44581.092344133896</v>
      </c>
      <c r="C111" s="5">
        <v>44583.202624003803</v>
      </c>
      <c r="D111" s="4" t="s">
        <v>114</v>
      </c>
      <c r="E111" s="4" t="s">
        <v>357</v>
      </c>
      <c r="F111" s="4" t="s">
        <v>130</v>
      </c>
      <c r="G111" s="4">
        <f t="shared" ca="1" si="3"/>
        <v>48</v>
      </c>
      <c r="H111" s="4">
        <v>5</v>
      </c>
      <c r="I111">
        <f t="shared" ca="1" si="4"/>
        <v>240</v>
      </c>
      <c r="J111">
        <f t="shared" si="5"/>
        <v>1</v>
      </c>
      <c r="K111" t="str">
        <f>VLOOKUP(E111,地区表!$A$2:$C$255,3,FALSE)</f>
        <v>华东</v>
      </c>
      <c r="L111" s="23" t="str" cm="1">
        <f t="array" ref="L111:N111">_xlfn.TEXTSPLIT(A111,"-")</f>
        <v>CN</v>
      </c>
      <c r="M111" s="22" t="str">
        <v>3125</v>
      </c>
      <c r="N111" s="22" t="str">
        <v>1574908</v>
      </c>
    </row>
    <row r="112" spans="1:14" ht="15.6">
      <c r="A112" s="4" t="s">
        <v>182</v>
      </c>
      <c r="B112" s="5">
        <v>44620.956348045998</v>
      </c>
      <c r="C112" s="5">
        <v>44622.745607619603</v>
      </c>
      <c r="D112" s="4" t="s">
        <v>94</v>
      </c>
      <c r="E112" s="4" t="s">
        <v>183</v>
      </c>
      <c r="F112" s="4" t="s">
        <v>122</v>
      </c>
      <c r="G112" s="4">
        <f t="shared" ca="1" si="3"/>
        <v>58</v>
      </c>
      <c r="H112" s="4">
        <v>3</v>
      </c>
      <c r="I112">
        <f t="shared" ca="1" si="4"/>
        <v>174</v>
      </c>
      <c r="J112">
        <f t="shared" si="5"/>
        <v>2</v>
      </c>
      <c r="K112" t="str">
        <f>VLOOKUP(E112,地区表!$A$2:$C$255,3,FALSE)</f>
        <v>西南</v>
      </c>
      <c r="L112" s="23" t="str" cm="1">
        <f t="array" ref="L112:N112">_xlfn.TEXTSPLIT(A112,"-")</f>
        <v>CN</v>
      </c>
      <c r="M112" s="22" t="str">
        <v>3164</v>
      </c>
      <c r="N112" s="22" t="str">
        <v>2187292</v>
      </c>
    </row>
    <row r="113" spans="1:14" ht="15.6">
      <c r="A113" s="4" t="s">
        <v>182</v>
      </c>
      <c r="B113" s="5">
        <v>44620.309938551902</v>
      </c>
      <c r="C113" s="5">
        <v>44622.674461472197</v>
      </c>
      <c r="D113" s="4" t="s">
        <v>94</v>
      </c>
      <c r="E113" s="4" t="s">
        <v>183</v>
      </c>
      <c r="F113" s="4" t="s">
        <v>100</v>
      </c>
      <c r="G113" s="4">
        <f t="shared" ca="1" si="3"/>
        <v>87</v>
      </c>
      <c r="H113" s="4">
        <v>3</v>
      </c>
      <c r="I113">
        <f t="shared" ca="1" si="4"/>
        <v>261</v>
      </c>
      <c r="J113">
        <f t="shared" si="5"/>
        <v>2</v>
      </c>
      <c r="K113" t="str">
        <f>VLOOKUP(E113,地区表!$A$2:$C$255,3,FALSE)</f>
        <v>西南</v>
      </c>
      <c r="L113" s="23" t="str" cm="1">
        <f t="array" ref="L113:N113">_xlfn.TEXTSPLIT(A113,"-")</f>
        <v>CN</v>
      </c>
      <c r="M113" s="22" t="str">
        <v>3164</v>
      </c>
      <c r="N113" s="22" t="str">
        <v>2187292</v>
      </c>
    </row>
    <row r="114" spans="1:14" ht="15.6">
      <c r="A114" s="4" t="s">
        <v>182</v>
      </c>
      <c r="B114" s="5">
        <v>44620.548704937399</v>
      </c>
      <c r="C114" s="5">
        <v>44622.286360373</v>
      </c>
      <c r="D114" s="4" t="s">
        <v>94</v>
      </c>
      <c r="E114" s="4" t="s">
        <v>183</v>
      </c>
      <c r="F114" s="4" t="s">
        <v>122</v>
      </c>
      <c r="G114" s="4">
        <f t="shared" ca="1" si="3"/>
        <v>73</v>
      </c>
      <c r="H114" s="4">
        <v>1</v>
      </c>
      <c r="I114">
        <f t="shared" ca="1" si="4"/>
        <v>73</v>
      </c>
      <c r="J114">
        <f t="shared" si="5"/>
        <v>2</v>
      </c>
      <c r="K114" t="str">
        <f>VLOOKUP(E114,地区表!$A$2:$C$255,3,FALSE)</f>
        <v>西南</v>
      </c>
      <c r="L114" s="23" t="str" cm="1">
        <f t="array" ref="L114:N114">_xlfn.TEXTSPLIT(A114,"-")</f>
        <v>CN</v>
      </c>
      <c r="M114" s="22" t="str">
        <v>3164</v>
      </c>
      <c r="N114" s="22" t="str">
        <v>2187292</v>
      </c>
    </row>
    <row r="115" spans="1:14" ht="15.6">
      <c r="A115" s="4" t="s">
        <v>231</v>
      </c>
      <c r="B115" s="5">
        <v>44271.467921510601</v>
      </c>
      <c r="C115" s="5">
        <v>44276.506863620598</v>
      </c>
      <c r="D115" s="4" t="s">
        <v>98</v>
      </c>
      <c r="E115" s="4" t="s">
        <v>183</v>
      </c>
      <c r="F115" s="4" t="s">
        <v>125</v>
      </c>
      <c r="G115" s="4">
        <f t="shared" ca="1" si="3"/>
        <v>44</v>
      </c>
      <c r="H115" s="4">
        <v>4</v>
      </c>
      <c r="I115">
        <f t="shared" ca="1" si="4"/>
        <v>176</v>
      </c>
      <c r="J115">
        <f t="shared" si="5"/>
        <v>3</v>
      </c>
      <c r="K115" t="str">
        <f>VLOOKUP(E115,地区表!$A$2:$C$255,3,FALSE)</f>
        <v>西南</v>
      </c>
      <c r="L115" s="23" t="str" cm="1">
        <f t="array" ref="L115:N115">_xlfn.TEXTSPLIT(A115,"-")</f>
        <v>CN</v>
      </c>
      <c r="M115" s="22" t="str">
        <v>2815</v>
      </c>
      <c r="N115" s="22" t="str">
        <v>4214287</v>
      </c>
    </row>
    <row r="116" spans="1:14" ht="15.6">
      <c r="A116" s="4" t="s">
        <v>231</v>
      </c>
      <c r="B116" s="5">
        <v>44271.230018435897</v>
      </c>
      <c r="C116" s="5">
        <v>44276.409440601798</v>
      </c>
      <c r="D116" s="4" t="s">
        <v>98</v>
      </c>
      <c r="E116" s="4" t="s">
        <v>183</v>
      </c>
      <c r="F116" s="4" t="s">
        <v>101</v>
      </c>
      <c r="G116" s="4">
        <f t="shared" ca="1" si="3"/>
        <v>58</v>
      </c>
      <c r="H116" s="4">
        <v>4</v>
      </c>
      <c r="I116">
        <f t="shared" ca="1" si="4"/>
        <v>232</v>
      </c>
      <c r="J116">
        <f t="shared" si="5"/>
        <v>3</v>
      </c>
      <c r="K116" t="str">
        <f>VLOOKUP(E116,地区表!$A$2:$C$255,3,FALSE)</f>
        <v>西南</v>
      </c>
      <c r="L116" s="23" t="str" cm="1">
        <f t="array" ref="L116:N116">_xlfn.TEXTSPLIT(A116,"-")</f>
        <v>CN</v>
      </c>
      <c r="M116" s="22" t="str">
        <v>2815</v>
      </c>
      <c r="N116" s="22" t="str">
        <v>4214287</v>
      </c>
    </row>
    <row r="117" spans="1:14" ht="15.6">
      <c r="A117" s="4" t="s">
        <v>312</v>
      </c>
      <c r="B117" s="5">
        <v>44523.572800130503</v>
      </c>
      <c r="C117" s="5">
        <v>44525.8224714479</v>
      </c>
      <c r="D117" s="4" t="s">
        <v>94</v>
      </c>
      <c r="E117" s="4" t="s">
        <v>183</v>
      </c>
      <c r="F117" s="4" t="s">
        <v>121</v>
      </c>
      <c r="G117" s="4">
        <f t="shared" ca="1" si="3"/>
        <v>53</v>
      </c>
      <c r="H117" s="4">
        <v>6</v>
      </c>
      <c r="I117">
        <f t="shared" ca="1" si="4"/>
        <v>318</v>
      </c>
      <c r="J117">
        <f t="shared" si="5"/>
        <v>11</v>
      </c>
      <c r="K117" t="str">
        <f>VLOOKUP(E117,地区表!$A$2:$C$255,3,FALSE)</f>
        <v>西南</v>
      </c>
      <c r="L117" s="23" t="str" cm="1">
        <f t="array" ref="L117:N117">_xlfn.TEXTSPLIT(A117,"-")</f>
        <v>CN</v>
      </c>
      <c r="M117" s="22" t="str">
        <v>3067</v>
      </c>
      <c r="N117" s="22" t="str">
        <v>4159546</v>
      </c>
    </row>
    <row r="118" spans="1:14" ht="15.6">
      <c r="A118" s="4" t="s">
        <v>312</v>
      </c>
      <c r="B118" s="5">
        <v>44523.501160166699</v>
      </c>
      <c r="C118" s="5">
        <v>44525.368781608398</v>
      </c>
      <c r="D118" s="4" t="s">
        <v>94</v>
      </c>
      <c r="E118" s="4" t="s">
        <v>183</v>
      </c>
      <c r="F118" s="4" t="s">
        <v>101</v>
      </c>
      <c r="G118" s="4">
        <f t="shared" ca="1" si="3"/>
        <v>60</v>
      </c>
      <c r="H118" s="4">
        <v>2</v>
      </c>
      <c r="I118">
        <f t="shared" ca="1" si="4"/>
        <v>120</v>
      </c>
      <c r="J118">
        <f t="shared" si="5"/>
        <v>11</v>
      </c>
      <c r="K118" t="str">
        <f>VLOOKUP(E118,地区表!$A$2:$C$255,3,FALSE)</f>
        <v>西南</v>
      </c>
      <c r="L118" s="23" t="str" cm="1">
        <f t="array" ref="L118:N118">_xlfn.TEXTSPLIT(A118,"-")</f>
        <v>CN</v>
      </c>
      <c r="M118" s="22" t="str">
        <v>3067</v>
      </c>
      <c r="N118" s="22" t="str">
        <v>4159546</v>
      </c>
    </row>
    <row r="119" spans="1:14" ht="15.6">
      <c r="A119" s="4" t="s">
        <v>312</v>
      </c>
      <c r="B119" s="5">
        <v>44523.857354033302</v>
      </c>
      <c r="C119" s="5">
        <v>44525.9069136951</v>
      </c>
      <c r="D119" s="4" t="s">
        <v>94</v>
      </c>
      <c r="E119" s="4" t="s">
        <v>183</v>
      </c>
      <c r="F119" s="4" t="s">
        <v>122</v>
      </c>
      <c r="G119" s="4">
        <f t="shared" ca="1" si="3"/>
        <v>66</v>
      </c>
      <c r="H119" s="4">
        <v>5</v>
      </c>
      <c r="I119">
        <f t="shared" ca="1" si="4"/>
        <v>330</v>
      </c>
      <c r="J119">
        <f t="shared" si="5"/>
        <v>11</v>
      </c>
      <c r="K119" t="str">
        <f>VLOOKUP(E119,地区表!$A$2:$C$255,3,FALSE)</f>
        <v>西南</v>
      </c>
      <c r="L119" s="23" t="str" cm="1">
        <f t="array" ref="L119:N119">_xlfn.TEXTSPLIT(A119,"-")</f>
        <v>CN</v>
      </c>
      <c r="M119" s="22" t="str">
        <v>3067</v>
      </c>
      <c r="N119" s="22" t="str">
        <v>4159546</v>
      </c>
    </row>
    <row r="120" spans="1:14" ht="15.6">
      <c r="A120" s="4" t="s">
        <v>352</v>
      </c>
      <c r="B120" s="5">
        <v>44246.259619278702</v>
      </c>
      <c r="C120" s="5">
        <v>44250.151471974401</v>
      </c>
      <c r="D120" s="4" t="s">
        <v>94</v>
      </c>
      <c r="E120" s="4" t="s">
        <v>183</v>
      </c>
      <c r="F120" s="4" t="s">
        <v>135</v>
      </c>
      <c r="G120" s="4">
        <f t="shared" ca="1" si="3"/>
        <v>16</v>
      </c>
      <c r="H120" s="4">
        <v>4</v>
      </c>
      <c r="I120">
        <f t="shared" ca="1" si="4"/>
        <v>64</v>
      </c>
      <c r="J120">
        <f t="shared" si="5"/>
        <v>2</v>
      </c>
      <c r="K120" t="str">
        <f>VLOOKUP(E120,地区表!$A$2:$C$255,3,FALSE)</f>
        <v>西南</v>
      </c>
      <c r="L120" s="23" t="str" cm="1">
        <f t="array" ref="L120:N120">_xlfn.TEXTSPLIT(A120,"-")</f>
        <v>CN</v>
      </c>
      <c r="M120" s="22" t="str">
        <v>2790</v>
      </c>
      <c r="N120" s="22" t="str">
        <v>1776641</v>
      </c>
    </row>
    <row r="121" spans="1:14" ht="15.6">
      <c r="A121" s="4" t="s">
        <v>352</v>
      </c>
      <c r="B121" s="5">
        <v>44246.732432316698</v>
      </c>
      <c r="C121" s="5">
        <v>44250.911727567502</v>
      </c>
      <c r="D121" s="4" t="s">
        <v>94</v>
      </c>
      <c r="E121" s="4" t="s">
        <v>183</v>
      </c>
      <c r="F121" s="4" t="s">
        <v>96</v>
      </c>
      <c r="G121" s="4">
        <f t="shared" ca="1" si="3"/>
        <v>26</v>
      </c>
      <c r="H121" s="4">
        <v>4</v>
      </c>
      <c r="I121">
        <f t="shared" ca="1" si="4"/>
        <v>104</v>
      </c>
      <c r="J121">
        <f t="shared" si="5"/>
        <v>2</v>
      </c>
      <c r="K121" t="str">
        <f>VLOOKUP(E121,地区表!$A$2:$C$255,3,FALSE)</f>
        <v>西南</v>
      </c>
      <c r="L121" s="23" t="str" cm="1">
        <f t="array" ref="L121:N121">_xlfn.TEXTSPLIT(A121,"-")</f>
        <v>CN</v>
      </c>
      <c r="M121" s="22" t="str">
        <v>2790</v>
      </c>
      <c r="N121" s="22" t="str">
        <v>1776641</v>
      </c>
    </row>
    <row r="122" spans="1:14" ht="15.6">
      <c r="A122" s="4" t="s">
        <v>497</v>
      </c>
      <c r="B122" s="5">
        <v>44643.639970963603</v>
      </c>
      <c r="C122" s="5">
        <v>44643.751486142697</v>
      </c>
      <c r="D122" s="4" t="s">
        <v>98</v>
      </c>
      <c r="E122" s="4" t="s">
        <v>183</v>
      </c>
      <c r="F122" s="4" t="s">
        <v>131</v>
      </c>
      <c r="G122" s="4">
        <f t="shared" ca="1" si="3"/>
        <v>89</v>
      </c>
      <c r="H122" s="4">
        <v>4</v>
      </c>
      <c r="I122">
        <f t="shared" ca="1" si="4"/>
        <v>356</v>
      </c>
      <c r="J122">
        <f t="shared" si="5"/>
        <v>3</v>
      </c>
      <c r="K122" t="str">
        <f>VLOOKUP(E122,地区表!$A$2:$C$255,3,FALSE)</f>
        <v>西南</v>
      </c>
      <c r="L122" s="23" t="str" cm="1">
        <f t="array" ref="L122:N122">_xlfn.TEXTSPLIT(A122,"-")</f>
        <v>CN</v>
      </c>
      <c r="M122" s="22" t="str">
        <v>3187</v>
      </c>
      <c r="N122" s="22" t="str">
        <v>3232918</v>
      </c>
    </row>
    <row r="123" spans="1:14" ht="15.6">
      <c r="A123" s="4" t="s">
        <v>497</v>
      </c>
      <c r="B123" s="5">
        <v>44643.713734221703</v>
      </c>
      <c r="C123" s="5">
        <v>44643.915011531397</v>
      </c>
      <c r="D123" s="4" t="s">
        <v>98</v>
      </c>
      <c r="E123" s="4" t="s">
        <v>183</v>
      </c>
      <c r="F123" s="4" t="s">
        <v>131</v>
      </c>
      <c r="G123" s="4">
        <f t="shared" ca="1" si="3"/>
        <v>26</v>
      </c>
      <c r="H123" s="4">
        <v>2</v>
      </c>
      <c r="I123">
        <f t="shared" ca="1" si="4"/>
        <v>52</v>
      </c>
      <c r="J123">
        <f t="shared" si="5"/>
        <v>3</v>
      </c>
      <c r="K123" t="str">
        <f>VLOOKUP(E123,地区表!$A$2:$C$255,3,FALSE)</f>
        <v>西南</v>
      </c>
      <c r="L123" s="23" t="str" cm="1">
        <f t="array" ref="L123:N123">_xlfn.TEXTSPLIT(A123,"-")</f>
        <v>CN</v>
      </c>
      <c r="M123" s="22" t="str">
        <v>3187</v>
      </c>
      <c r="N123" s="22" t="str">
        <v>3232918</v>
      </c>
    </row>
    <row r="124" spans="1:14" ht="15.6">
      <c r="A124" s="4" t="s">
        <v>606</v>
      </c>
      <c r="B124" s="5">
        <v>44989.749436102204</v>
      </c>
      <c r="C124" s="5">
        <v>44993.543275320197</v>
      </c>
      <c r="D124" s="4" t="s">
        <v>114</v>
      </c>
      <c r="E124" s="4" t="s">
        <v>183</v>
      </c>
      <c r="F124" s="4" t="s">
        <v>141</v>
      </c>
      <c r="G124" s="4">
        <f t="shared" ca="1" si="3"/>
        <v>78</v>
      </c>
      <c r="H124" s="4">
        <v>8</v>
      </c>
      <c r="I124">
        <f t="shared" ca="1" si="4"/>
        <v>624</v>
      </c>
      <c r="J124">
        <f t="shared" si="5"/>
        <v>3</v>
      </c>
      <c r="K124" t="str">
        <f>VLOOKUP(E124,地区表!$A$2:$C$255,3,FALSE)</f>
        <v>西南</v>
      </c>
      <c r="L124" s="23" t="str" cm="1">
        <f t="array" ref="L124:N124">_xlfn.TEXTSPLIT(A124,"-")</f>
        <v>CN</v>
      </c>
      <c r="M124" s="22" t="str">
        <v>2438</v>
      </c>
      <c r="N124" s="22" t="str">
        <v>3781425</v>
      </c>
    </row>
    <row r="125" spans="1:14" ht="15.6">
      <c r="A125" s="4" t="s">
        <v>790</v>
      </c>
      <c r="B125" s="5">
        <v>44843.013587350397</v>
      </c>
      <c r="C125" s="5">
        <v>44848.223392924403</v>
      </c>
      <c r="D125" s="4" t="s">
        <v>94</v>
      </c>
      <c r="E125" s="4" t="s">
        <v>183</v>
      </c>
      <c r="F125" s="4" t="s">
        <v>101</v>
      </c>
      <c r="G125" s="4">
        <f t="shared" ca="1" si="3"/>
        <v>61</v>
      </c>
      <c r="H125" s="4">
        <v>2</v>
      </c>
      <c r="I125">
        <f t="shared" ca="1" si="4"/>
        <v>122</v>
      </c>
      <c r="J125">
        <f t="shared" si="5"/>
        <v>10</v>
      </c>
      <c r="K125" t="str">
        <f>VLOOKUP(E125,地区表!$A$2:$C$255,3,FALSE)</f>
        <v>西南</v>
      </c>
      <c r="L125" s="23" t="str" cm="1">
        <f t="array" ref="L125:N125">_xlfn.TEXTSPLIT(A125,"-")</f>
        <v>CN</v>
      </c>
      <c r="M125" s="22" t="str">
        <v>2292</v>
      </c>
      <c r="N125" s="22" t="str">
        <v>4595101</v>
      </c>
    </row>
    <row r="126" spans="1:14" ht="15.6">
      <c r="A126" s="4" t="s">
        <v>795</v>
      </c>
      <c r="B126" s="5">
        <v>44452.547007026304</v>
      </c>
      <c r="C126" s="5">
        <v>44453.819783728301</v>
      </c>
      <c r="D126" s="4" t="s">
        <v>98</v>
      </c>
      <c r="E126" s="4" t="s">
        <v>183</v>
      </c>
      <c r="F126" s="4" t="s">
        <v>118</v>
      </c>
      <c r="G126" s="4">
        <f t="shared" ca="1" si="3"/>
        <v>56</v>
      </c>
      <c r="H126" s="4">
        <v>2</v>
      </c>
      <c r="I126">
        <f t="shared" ca="1" si="4"/>
        <v>112</v>
      </c>
      <c r="J126">
        <f t="shared" si="5"/>
        <v>9</v>
      </c>
      <c r="K126" t="str">
        <f>VLOOKUP(E126,地区表!$A$2:$C$255,3,FALSE)</f>
        <v>西南</v>
      </c>
      <c r="L126" s="23" t="str" cm="1">
        <f t="array" ref="L126:N126">_xlfn.TEXTSPLIT(A126,"-")</f>
        <v>CN</v>
      </c>
      <c r="M126" s="22" t="str">
        <v>2996</v>
      </c>
      <c r="N126" s="22" t="str">
        <v>3415334</v>
      </c>
    </row>
    <row r="127" spans="1:14" ht="15.6">
      <c r="A127" s="4" t="s">
        <v>465</v>
      </c>
      <c r="B127" s="5">
        <v>45022.977342854902</v>
      </c>
      <c r="C127" s="5">
        <v>45026.643937711196</v>
      </c>
      <c r="D127" s="4" t="s">
        <v>114</v>
      </c>
      <c r="E127" s="4" t="s">
        <v>466</v>
      </c>
      <c r="F127" s="4" t="s">
        <v>135</v>
      </c>
      <c r="G127" s="4">
        <f t="shared" ca="1" si="3"/>
        <v>11</v>
      </c>
      <c r="H127" s="4">
        <v>1</v>
      </c>
      <c r="I127">
        <f t="shared" ca="1" si="4"/>
        <v>11</v>
      </c>
      <c r="J127">
        <f t="shared" si="5"/>
        <v>4</v>
      </c>
      <c r="K127" t="str">
        <f>VLOOKUP(E127,地区表!$A$2:$C$255,3,FALSE)</f>
        <v>中南</v>
      </c>
      <c r="L127" s="23" t="str" cm="1">
        <f t="array" ref="L127:N127">_xlfn.TEXTSPLIT(A127,"-")</f>
        <v>CN</v>
      </c>
      <c r="M127" s="22" t="str">
        <v>2471</v>
      </c>
      <c r="N127" s="22" t="str">
        <v>4214931</v>
      </c>
    </row>
    <row r="128" spans="1:14" ht="15.6">
      <c r="A128" s="4" t="s">
        <v>786</v>
      </c>
      <c r="B128" s="5">
        <v>44378.2850389206</v>
      </c>
      <c r="C128" s="5">
        <v>44383.584574483903</v>
      </c>
      <c r="D128" s="4" t="s">
        <v>98</v>
      </c>
      <c r="E128" s="4" t="s">
        <v>787</v>
      </c>
      <c r="F128" s="4" t="s">
        <v>135</v>
      </c>
      <c r="G128" s="4">
        <f t="shared" ca="1" si="3"/>
        <v>19</v>
      </c>
      <c r="H128" s="4">
        <v>3</v>
      </c>
      <c r="I128">
        <f t="shared" ca="1" si="4"/>
        <v>57</v>
      </c>
      <c r="J128">
        <f t="shared" si="5"/>
        <v>7</v>
      </c>
      <c r="K128" t="str">
        <f>VLOOKUP(E128,地区表!$A$2:$C$255,3,FALSE)</f>
        <v>西南</v>
      </c>
      <c r="L128" s="23" t="str" cm="1">
        <f t="array" ref="L128:N128">_xlfn.TEXTSPLIT(A128,"-")</f>
        <v>CN</v>
      </c>
      <c r="M128" s="22" t="str">
        <v>2922</v>
      </c>
      <c r="N128" s="22" t="str">
        <v>1752478</v>
      </c>
    </row>
    <row r="129" spans="1:14" ht="15.6">
      <c r="A129" s="4" t="s">
        <v>786</v>
      </c>
      <c r="B129" s="5">
        <v>44378.711490348302</v>
      </c>
      <c r="C129" s="5">
        <v>44383.3565209179</v>
      </c>
      <c r="D129" s="4" t="s">
        <v>98</v>
      </c>
      <c r="E129" s="4" t="s">
        <v>787</v>
      </c>
      <c r="F129" s="4" t="s">
        <v>131</v>
      </c>
      <c r="G129" s="4">
        <f t="shared" ca="1" si="3"/>
        <v>32</v>
      </c>
      <c r="H129" s="4">
        <v>2</v>
      </c>
      <c r="I129">
        <f t="shared" ca="1" si="4"/>
        <v>64</v>
      </c>
      <c r="J129">
        <f t="shared" si="5"/>
        <v>7</v>
      </c>
      <c r="K129" t="str">
        <f>VLOOKUP(E129,地区表!$A$2:$C$255,3,FALSE)</f>
        <v>西南</v>
      </c>
      <c r="L129" s="23" t="str" cm="1">
        <f t="array" ref="L129:N129">_xlfn.TEXTSPLIT(A129,"-")</f>
        <v>CN</v>
      </c>
      <c r="M129" s="22" t="str">
        <v>2922</v>
      </c>
      <c r="N129" s="22" t="str">
        <v>1752478</v>
      </c>
    </row>
    <row r="130" spans="1:14" ht="15.6">
      <c r="A130" s="4" t="s">
        <v>661</v>
      </c>
      <c r="B130" s="5">
        <v>44279.7966642623</v>
      </c>
      <c r="C130" s="5">
        <v>44282.970509106097</v>
      </c>
      <c r="D130" s="4" t="s">
        <v>94</v>
      </c>
      <c r="E130" s="4" t="s">
        <v>662</v>
      </c>
      <c r="F130" s="4" t="s">
        <v>131</v>
      </c>
      <c r="G130" s="4">
        <f t="shared" ref="G130:G193" ca="1" si="6">RANDBETWEEN(10,100)</f>
        <v>45</v>
      </c>
      <c r="H130" s="4">
        <v>4</v>
      </c>
      <c r="I130">
        <f t="shared" ca="1" si="4"/>
        <v>180</v>
      </c>
      <c r="J130">
        <f t="shared" si="5"/>
        <v>3</v>
      </c>
      <c r="K130" t="str">
        <f>VLOOKUP(E130,地区表!$A$2:$C$255,3,FALSE)</f>
        <v>中南</v>
      </c>
      <c r="L130" s="23" t="str" cm="1">
        <f t="array" ref="L130:N130">_xlfn.TEXTSPLIT(A130,"-")</f>
        <v>CN</v>
      </c>
      <c r="M130" s="22" t="str">
        <v>2823</v>
      </c>
      <c r="N130" s="22" t="str">
        <v>1182921</v>
      </c>
    </row>
    <row r="131" spans="1:14" ht="15.6">
      <c r="A131" s="4" t="s">
        <v>681</v>
      </c>
      <c r="B131" s="5">
        <v>44549.892930821399</v>
      </c>
      <c r="C131" s="5">
        <v>44555.040318361702</v>
      </c>
      <c r="D131" s="4" t="s">
        <v>98</v>
      </c>
      <c r="E131" s="4" t="s">
        <v>682</v>
      </c>
      <c r="F131" s="4" t="s">
        <v>96</v>
      </c>
      <c r="G131" s="4">
        <f t="shared" ca="1" si="6"/>
        <v>57</v>
      </c>
      <c r="H131" s="4">
        <v>2</v>
      </c>
      <c r="I131">
        <f t="shared" ref="I131:I194" ca="1" si="7">G131*H131</f>
        <v>114</v>
      </c>
      <c r="J131">
        <f t="shared" ref="J131:J194" si="8">MONTH(B131)</f>
        <v>12</v>
      </c>
      <c r="K131" t="str">
        <f>VLOOKUP(E131,地区表!$A$2:$C$255,3,FALSE)</f>
        <v>中南</v>
      </c>
      <c r="L131" s="23" t="str" cm="1">
        <f t="array" ref="L131:N131">_xlfn.TEXTSPLIT(A131,"-")</f>
        <v>CN</v>
      </c>
      <c r="M131" s="22" t="str">
        <v>3093</v>
      </c>
      <c r="N131" s="22" t="str">
        <v>3865865</v>
      </c>
    </row>
    <row r="132" spans="1:14" ht="15.6">
      <c r="A132" s="4" t="s">
        <v>811</v>
      </c>
      <c r="B132" s="5">
        <v>44558.3083319695</v>
      </c>
      <c r="C132" s="5">
        <v>44560.451389303998</v>
      </c>
      <c r="D132" s="4" t="s">
        <v>98</v>
      </c>
      <c r="E132" s="4" t="s">
        <v>682</v>
      </c>
      <c r="F132" s="4" t="s">
        <v>109</v>
      </c>
      <c r="G132" s="4">
        <f t="shared" ca="1" si="6"/>
        <v>99</v>
      </c>
      <c r="H132" s="4">
        <v>3</v>
      </c>
      <c r="I132">
        <f t="shared" ca="1" si="7"/>
        <v>297</v>
      </c>
      <c r="J132">
        <f t="shared" si="8"/>
        <v>12</v>
      </c>
      <c r="K132" t="str">
        <f>VLOOKUP(E132,地区表!$A$2:$C$255,3,FALSE)</f>
        <v>中南</v>
      </c>
      <c r="L132" s="23" t="str" cm="1">
        <f t="array" ref="L132:N132">_xlfn.TEXTSPLIT(A132,"-")</f>
        <v>CN</v>
      </c>
      <c r="M132" s="22" t="str">
        <v>3102</v>
      </c>
      <c r="N132" s="22" t="str">
        <v>3560054</v>
      </c>
    </row>
    <row r="133" spans="1:14" ht="15.6">
      <c r="A133" s="4" t="s">
        <v>811</v>
      </c>
      <c r="B133" s="5">
        <v>44558.2646936612</v>
      </c>
      <c r="C133" s="5">
        <v>44560.679441900698</v>
      </c>
      <c r="D133" s="4" t="s">
        <v>98</v>
      </c>
      <c r="E133" s="4" t="s">
        <v>682</v>
      </c>
      <c r="F133" s="4" t="s">
        <v>118</v>
      </c>
      <c r="G133" s="4">
        <f t="shared" ca="1" si="6"/>
        <v>18</v>
      </c>
      <c r="H133" s="4">
        <v>5</v>
      </c>
      <c r="I133">
        <f t="shared" ca="1" si="7"/>
        <v>90</v>
      </c>
      <c r="J133">
        <f t="shared" si="8"/>
        <v>12</v>
      </c>
      <c r="K133" t="str">
        <f>VLOOKUP(E133,地区表!$A$2:$C$255,3,FALSE)</f>
        <v>中南</v>
      </c>
      <c r="L133" s="23" t="str" cm="1">
        <f t="array" ref="L133:N133">_xlfn.TEXTSPLIT(A133,"-")</f>
        <v>CN</v>
      </c>
      <c r="M133" s="22" t="str">
        <v>3102</v>
      </c>
      <c r="N133" s="22" t="str">
        <v>3560054</v>
      </c>
    </row>
    <row r="134" spans="1:14" ht="15.6">
      <c r="A134" s="4" t="s">
        <v>811</v>
      </c>
      <c r="B134" s="5">
        <v>44558.808230026101</v>
      </c>
      <c r="C134" s="5">
        <v>44560.190938617299</v>
      </c>
      <c r="D134" s="4" t="s">
        <v>98</v>
      </c>
      <c r="E134" s="4" t="s">
        <v>682</v>
      </c>
      <c r="F134" s="4" t="s">
        <v>101</v>
      </c>
      <c r="G134" s="4">
        <f t="shared" ca="1" si="6"/>
        <v>79</v>
      </c>
      <c r="H134" s="4">
        <v>2</v>
      </c>
      <c r="I134">
        <f t="shared" ca="1" si="7"/>
        <v>158</v>
      </c>
      <c r="J134">
        <f t="shared" si="8"/>
        <v>12</v>
      </c>
      <c r="K134" t="str">
        <f>VLOOKUP(E134,地区表!$A$2:$C$255,3,FALSE)</f>
        <v>中南</v>
      </c>
      <c r="L134" s="23" t="str" cm="1">
        <f t="array" ref="L134:N134">_xlfn.TEXTSPLIT(A134,"-")</f>
        <v>CN</v>
      </c>
      <c r="M134" s="22" t="str">
        <v>3102</v>
      </c>
      <c r="N134" s="22" t="str">
        <v>3560054</v>
      </c>
    </row>
    <row r="135" spans="1:14" ht="15.6">
      <c r="A135" s="4" t="s">
        <v>811</v>
      </c>
      <c r="B135" s="5">
        <v>44558.522006145897</v>
      </c>
      <c r="C135" s="5">
        <v>44560.367935159702</v>
      </c>
      <c r="D135" s="4" t="s">
        <v>98</v>
      </c>
      <c r="E135" s="4" t="s">
        <v>682</v>
      </c>
      <c r="F135" s="4" t="s">
        <v>106</v>
      </c>
      <c r="G135" s="4">
        <f t="shared" ca="1" si="6"/>
        <v>44</v>
      </c>
      <c r="H135" s="4">
        <v>2</v>
      </c>
      <c r="I135">
        <f t="shared" ca="1" si="7"/>
        <v>88</v>
      </c>
      <c r="J135">
        <f t="shared" si="8"/>
        <v>12</v>
      </c>
      <c r="K135" t="str">
        <f>VLOOKUP(E135,地区表!$A$2:$C$255,3,FALSE)</f>
        <v>中南</v>
      </c>
      <c r="L135" s="23" t="str" cm="1">
        <f t="array" ref="L135:N135">_xlfn.TEXTSPLIT(A135,"-")</f>
        <v>CN</v>
      </c>
      <c r="M135" s="22" t="str">
        <v>3102</v>
      </c>
      <c r="N135" s="22" t="str">
        <v>3560054</v>
      </c>
    </row>
    <row r="136" spans="1:14" ht="15.6">
      <c r="A136" s="4" t="s">
        <v>377</v>
      </c>
      <c r="B136" s="5">
        <v>44533.564203131798</v>
      </c>
      <c r="C136" s="5">
        <v>44538.677428773801</v>
      </c>
      <c r="D136" s="4" t="s">
        <v>98</v>
      </c>
      <c r="E136" s="4" t="s">
        <v>378</v>
      </c>
      <c r="F136" s="4" t="s">
        <v>111</v>
      </c>
      <c r="G136" s="4">
        <f t="shared" ca="1" si="6"/>
        <v>61</v>
      </c>
      <c r="H136" s="4">
        <v>4</v>
      </c>
      <c r="I136">
        <f t="shared" ca="1" si="7"/>
        <v>244</v>
      </c>
      <c r="J136">
        <f t="shared" si="8"/>
        <v>12</v>
      </c>
      <c r="K136" t="str">
        <f>VLOOKUP(E136,地区表!$A$2:$C$255,3,FALSE)</f>
        <v>华北</v>
      </c>
      <c r="L136" s="23" t="str" cm="1">
        <f t="array" ref="L136:N136">_xlfn.TEXTSPLIT(A136,"-")</f>
        <v>CN</v>
      </c>
      <c r="M136" s="22" t="str">
        <v>3077</v>
      </c>
      <c r="N136" s="22" t="str">
        <v>1501002</v>
      </c>
    </row>
    <row r="137" spans="1:14" ht="15.6">
      <c r="A137" s="4" t="s">
        <v>377</v>
      </c>
      <c r="B137" s="5">
        <v>44533.846006654399</v>
      </c>
      <c r="C137" s="5">
        <v>44538.584962323097</v>
      </c>
      <c r="D137" s="4" t="s">
        <v>98</v>
      </c>
      <c r="E137" s="4" t="s">
        <v>378</v>
      </c>
      <c r="F137" s="4" t="s">
        <v>135</v>
      </c>
      <c r="G137" s="4">
        <f t="shared" ca="1" si="6"/>
        <v>100</v>
      </c>
      <c r="H137" s="4">
        <v>2</v>
      </c>
      <c r="I137">
        <f t="shared" ca="1" si="7"/>
        <v>200</v>
      </c>
      <c r="J137">
        <f t="shared" si="8"/>
        <v>12</v>
      </c>
      <c r="K137" t="str">
        <f>VLOOKUP(E137,地区表!$A$2:$C$255,3,FALSE)</f>
        <v>华北</v>
      </c>
      <c r="L137" s="23" t="str" cm="1">
        <f t="array" ref="L137:N137">_xlfn.TEXTSPLIT(A137,"-")</f>
        <v>CN</v>
      </c>
      <c r="M137" s="22" t="str">
        <v>3077</v>
      </c>
      <c r="N137" s="22" t="str">
        <v>1501002</v>
      </c>
    </row>
    <row r="138" spans="1:14" ht="15.6">
      <c r="A138" s="4" t="s">
        <v>377</v>
      </c>
      <c r="B138" s="5">
        <v>44533.595118618301</v>
      </c>
      <c r="C138" s="5">
        <v>44538.415224325799</v>
      </c>
      <c r="D138" s="4" t="s">
        <v>98</v>
      </c>
      <c r="E138" s="4" t="s">
        <v>378</v>
      </c>
      <c r="F138" s="4" t="s">
        <v>130</v>
      </c>
      <c r="G138" s="4">
        <f t="shared" ca="1" si="6"/>
        <v>90</v>
      </c>
      <c r="H138" s="4">
        <v>2</v>
      </c>
      <c r="I138">
        <f t="shared" ca="1" si="7"/>
        <v>180</v>
      </c>
      <c r="J138">
        <f t="shared" si="8"/>
        <v>12</v>
      </c>
      <c r="K138" t="str">
        <f>VLOOKUP(E138,地区表!$A$2:$C$255,3,FALSE)</f>
        <v>华北</v>
      </c>
      <c r="L138" s="23" t="str" cm="1">
        <f t="array" ref="L138:N138">_xlfn.TEXTSPLIT(A138,"-")</f>
        <v>CN</v>
      </c>
      <c r="M138" s="22" t="str">
        <v>3077</v>
      </c>
      <c r="N138" s="22" t="str">
        <v>1501002</v>
      </c>
    </row>
    <row r="139" spans="1:14" ht="15.6">
      <c r="A139" s="4" t="s">
        <v>377</v>
      </c>
      <c r="B139" s="5">
        <v>44533.845139194404</v>
      </c>
      <c r="C139" s="5">
        <v>44538.352940087301</v>
      </c>
      <c r="D139" s="4" t="s">
        <v>98</v>
      </c>
      <c r="E139" s="4" t="s">
        <v>378</v>
      </c>
      <c r="F139" s="4" t="s">
        <v>101</v>
      </c>
      <c r="G139" s="4">
        <f t="shared" ca="1" si="6"/>
        <v>77</v>
      </c>
      <c r="H139" s="4">
        <v>5</v>
      </c>
      <c r="I139">
        <f t="shared" ca="1" si="7"/>
        <v>385</v>
      </c>
      <c r="J139">
        <f t="shared" si="8"/>
        <v>12</v>
      </c>
      <c r="K139" t="str">
        <f>VLOOKUP(E139,地区表!$A$2:$C$255,3,FALSE)</f>
        <v>华北</v>
      </c>
      <c r="L139" s="23" t="str" cm="1">
        <f t="array" ref="L139:N139">_xlfn.TEXTSPLIT(A139,"-")</f>
        <v>CN</v>
      </c>
      <c r="M139" s="22" t="str">
        <v>3077</v>
      </c>
      <c r="N139" s="22" t="str">
        <v>1501002</v>
      </c>
    </row>
    <row r="140" spans="1:14" ht="15.6">
      <c r="A140" s="4" t="s">
        <v>377</v>
      </c>
      <c r="B140" s="5">
        <v>44533.889935688501</v>
      </c>
      <c r="C140" s="5">
        <v>44538.028912131202</v>
      </c>
      <c r="D140" s="4" t="s">
        <v>98</v>
      </c>
      <c r="E140" s="4" t="s">
        <v>378</v>
      </c>
      <c r="F140" s="4" t="s">
        <v>100</v>
      </c>
      <c r="G140" s="4">
        <f t="shared" ca="1" si="6"/>
        <v>40</v>
      </c>
      <c r="H140" s="4">
        <v>9</v>
      </c>
      <c r="I140">
        <f t="shared" ca="1" si="7"/>
        <v>360</v>
      </c>
      <c r="J140">
        <f t="shared" si="8"/>
        <v>12</v>
      </c>
      <c r="K140" t="str">
        <f>VLOOKUP(E140,地区表!$A$2:$C$255,3,FALSE)</f>
        <v>华北</v>
      </c>
      <c r="L140" s="23" t="str" cm="1">
        <f t="array" ref="L140:N140">_xlfn.TEXTSPLIT(A140,"-")</f>
        <v>CN</v>
      </c>
      <c r="M140" s="22" t="str">
        <v>3077</v>
      </c>
      <c r="N140" s="22" t="str">
        <v>1501002</v>
      </c>
    </row>
    <row r="141" spans="1:14" ht="15.6">
      <c r="A141" s="4" t="s">
        <v>477</v>
      </c>
      <c r="B141" s="5">
        <v>44445.601493720198</v>
      </c>
      <c r="C141" s="5">
        <v>44450.119601557402</v>
      </c>
      <c r="D141" s="4" t="s">
        <v>94</v>
      </c>
      <c r="E141" s="4" t="s">
        <v>378</v>
      </c>
      <c r="F141" s="4" t="s">
        <v>101</v>
      </c>
      <c r="G141" s="4">
        <f t="shared" ca="1" si="6"/>
        <v>32</v>
      </c>
      <c r="H141" s="4">
        <v>4</v>
      </c>
      <c r="I141">
        <f t="shared" ca="1" si="7"/>
        <v>128</v>
      </c>
      <c r="J141">
        <f t="shared" si="8"/>
        <v>9</v>
      </c>
      <c r="K141" t="str">
        <f>VLOOKUP(E141,地区表!$A$2:$C$255,3,FALSE)</f>
        <v>华北</v>
      </c>
      <c r="L141" s="23" t="str" cm="1">
        <f t="array" ref="L141:N141">_xlfn.TEXTSPLIT(A141,"-")</f>
        <v>CN</v>
      </c>
      <c r="M141" s="22" t="str">
        <v>2989</v>
      </c>
      <c r="N141" s="22" t="str">
        <v>5816959</v>
      </c>
    </row>
    <row r="142" spans="1:14" ht="15.6">
      <c r="A142" s="4" t="s">
        <v>477</v>
      </c>
      <c r="B142" s="5">
        <v>44445.262294058302</v>
      </c>
      <c r="C142" s="5">
        <v>44450.492550771902</v>
      </c>
      <c r="D142" s="4" t="s">
        <v>94</v>
      </c>
      <c r="E142" s="4" t="s">
        <v>378</v>
      </c>
      <c r="F142" s="4" t="s">
        <v>118</v>
      </c>
      <c r="G142" s="4">
        <f t="shared" ca="1" si="6"/>
        <v>99</v>
      </c>
      <c r="H142" s="4">
        <v>2</v>
      </c>
      <c r="I142">
        <f t="shared" ca="1" si="7"/>
        <v>198</v>
      </c>
      <c r="J142">
        <f t="shared" si="8"/>
        <v>9</v>
      </c>
      <c r="K142" t="str">
        <f>VLOOKUP(E142,地区表!$A$2:$C$255,3,FALSE)</f>
        <v>华北</v>
      </c>
      <c r="L142" s="23" t="str" cm="1">
        <f t="array" ref="L142:N142">_xlfn.TEXTSPLIT(A142,"-")</f>
        <v>CN</v>
      </c>
      <c r="M142" s="22" t="str">
        <v>2989</v>
      </c>
      <c r="N142" s="22" t="str">
        <v>5816959</v>
      </c>
    </row>
    <row r="143" spans="1:14" ht="15.6">
      <c r="A143" s="4" t="s">
        <v>373</v>
      </c>
      <c r="B143" s="5">
        <v>44656.2447068127</v>
      </c>
      <c r="C143" s="5">
        <v>44662.324690790199</v>
      </c>
      <c r="D143" s="4" t="s">
        <v>98</v>
      </c>
      <c r="E143" s="4" t="s">
        <v>374</v>
      </c>
      <c r="F143" s="4" t="s">
        <v>100</v>
      </c>
      <c r="G143" s="4">
        <f t="shared" ca="1" si="6"/>
        <v>10</v>
      </c>
      <c r="H143" s="4">
        <v>3</v>
      </c>
      <c r="I143">
        <f t="shared" ca="1" si="7"/>
        <v>30</v>
      </c>
      <c r="J143">
        <f t="shared" si="8"/>
        <v>4</v>
      </c>
      <c r="K143" t="str">
        <f>VLOOKUP(E143,地区表!$A$2:$C$255,3,FALSE)</f>
        <v>华北</v>
      </c>
      <c r="L143" s="23" t="str" cm="1">
        <f t="array" ref="L143:N143">_xlfn.TEXTSPLIT(A143,"-")</f>
        <v>CN</v>
      </c>
      <c r="M143" s="22" t="str">
        <v>3200</v>
      </c>
      <c r="N143" s="22" t="str">
        <v>3184596</v>
      </c>
    </row>
    <row r="144" spans="1:14" ht="15.6">
      <c r="A144" s="4" t="s">
        <v>373</v>
      </c>
      <c r="B144" s="5">
        <v>44656.949539152702</v>
      </c>
      <c r="C144" s="5">
        <v>44662.506706379398</v>
      </c>
      <c r="D144" s="4" t="s">
        <v>98</v>
      </c>
      <c r="E144" s="4" t="s">
        <v>374</v>
      </c>
      <c r="F144" s="4" t="s">
        <v>96</v>
      </c>
      <c r="G144" s="4">
        <f t="shared" ca="1" si="6"/>
        <v>65</v>
      </c>
      <c r="H144" s="4">
        <v>7</v>
      </c>
      <c r="I144">
        <f t="shared" ca="1" si="7"/>
        <v>455</v>
      </c>
      <c r="J144">
        <f t="shared" si="8"/>
        <v>4</v>
      </c>
      <c r="K144" t="str">
        <f>VLOOKUP(E144,地区表!$A$2:$C$255,3,FALSE)</f>
        <v>华北</v>
      </c>
      <c r="L144" s="23" t="str" cm="1">
        <f t="array" ref="L144:N144">_xlfn.TEXTSPLIT(A144,"-")</f>
        <v>CN</v>
      </c>
      <c r="M144" s="22" t="str">
        <v>3200</v>
      </c>
      <c r="N144" s="22" t="str">
        <v>3184596</v>
      </c>
    </row>
    <row r="145" spans="1:14" ht="15.6">
      <c r="A145" s="4" t="s">
        <v>373</v>
      </c>
      <c r="B145" s="5">
        <v>44656.709048883597</v>
      </c>
      <c r="C145" s="5">
        <v>44662.114051216297</v>
      </c>
      <c r="D145" s="4" t="s">
        <v>98</v>
      </c>
      <c r="E145" s="4" t="s">
        <v>374</v>
      </c>
      <c r="F145" s="4" t="s">
        <v>125</v>
      </c>
      <c r="G145" s="4">
        <f t="shared" ca="1" si="6"/>
        <v>43</v>
      </c>
      <c r="H145" s="4">
        <v>9</v>
      </c>
      <c r="I145">
        <f t="shared" ca="1" si="7"/>
        <v>387</v>
      </c>
      <c r="J145">
        <f t="shared" si="8"/>
        <v>4</v>
      </c>
      <c r="K145" t="str">
        <f>VLOOKUP(E145,地区表!$A$2:$C$255,3,FALSE)</f>
        <v>华北</v>
      </c>
      <c r="L145" s="23" t="str" cm="1">
        <f t="array" ref="L145:N145">_xlfn.TEXTSPLIT(A145,"-")</f>
        <v>CN</v>
      </c>
      <c r="M145" s="22" t="str">
        <v>3200</v>
      </c>
      <c r="N145" s="22" t="str">
        <v>3184596</v>
      </c>
    </row>
    <row r="146" spans="1:14" ht="15.6">
      <c r="A146" s="4" t="s">
        <v>541</v>
      </c>
      <c r="B146" s="5">
        <v>44645.4804716617</v>
      </c>
      <c r="C146" s="5">
        <v>44645.412268801803</v>
      </c>
      <c r="D146" s="4" t="s">
        <v>94</v>
      </c>
      <c r="E146" s="4" t="s">
        <v>374</v>
      </c>
      <c r="F146" s="4" t="s">
        <v>118</v>
      </c>
      <c r="G146" s="4">
        <f t="shared" ca="1" si="6"/>
        <v>59</v>
      </c>
      <c r="H146" s="4">
        <v>9</v>
      </c>
      <c r="I146">
        <f t="shared" ca="1" si="7"/>
        <v>531</v>
      </c>
      <c r="J146">
        <f t="shared" si="8"/>
        <v>3</v>
      </c>
      <c r="K146" t="str">
        <f>VLOOKUP(E146,地区表!$A$2:$C$255,3,FALSE)</f>
        <v>华北</v>
      </c>
      <c r="L146" s="23" t="str" cm="1">
        <f t="array" ref="L146:N146">_xlfn.TEXTSPLIT(A146,"-")</f>
        <v>CN</v>
      </c>
      <c r="M146" s="22" t="str">
        <v>2094</v>
      </c>
      <c r="N146" s="22" t="str">
        <v>5278404</v>
      </c>
    </row>
    <row r="147" spans="1:14" ht="15.6">
      <c r="A147" s="4" t="s">
        <v>167</v>
      </c>
      <c r="B147" s="5">
        <v>45208.333208548996</v>
      </c>
      <c r="C147" s="5">
        <v>45211.435458479602</v>
      </c>
      <c r="D147" s="4" t="s">
        <v>98</v>
      </c>
      <c r="E147" s="4" t="s">
        <v>168</v>
      </c>
      <c r="F147" s="4" t="s">
        <v>109</v>
      </c>
      <c r="G147" s="4">
        <f t="shared" ca="1" si="6"/>
        <v>17</v>
      </c>
      <c r="H147" s="4">
        <v>7</v>
      </c>
      <c r="I147">
        <f t="shared" ca="1" si="7"/>
        <v>119</v>
      </c>
      <c r="J147">
        <f t="shared" si="8"/>
        <v>10</v>
      </c>
      <c r="K147" t="str">
        <f>VLOOKUP(E147,地区表!$A$2:$C$255,3,FALSE)</f>
        <v>中南</v>
      </c>
      <c r="L147" s="23" t="str" cm="1">
        <f t="array" ref="L147:N147">_xlfn.TEXTSPLIT(A147,"-")</f>
        <v>CN</v>
      </c>
      <c r="M147" s="22" t="str">
        <v>2657</v>
      </c>
      <c r="N147" s="22" t="str">
        <v>4162714</v>
      </c>
    </row>
    <row r="148" spans="1:14" ht="15.6">
      <c r="A148" s="4" t="s">
        <v>663</v>
      </c>
      <c r="B148" s="5">
        <v>44208.964442219403</v>
      </c>
      <c r="C148" s="5">
        <v>44213.942988091701</v>
      </c>
      <c r="D148" s="4" t="s">
        <v>94</v>
      </c>
      <c r="E148" s="4" t="s">
        <v>664</v>
      </c>
      <c r="F148" s="4" t="s">
        <v>100</v>
      </c>
      <c r="G148" s="4">
        <f t="shared" ca="1" si="6"/>
        <v>24</v>
      </c>
      <c r="H148" s="4">
        <v>3</v>
      </c>
      <c r="I148">
        <f t="shared" ca="1" si="7"/>
        <v>72</v>
      </c>
      <c r="J148">
        <f t="shared" si="8"/>
        <v>1</v>
      </c>
      <c r="K148" t="str">
        <f>VLOOKUP(E148,地区表!$A$2:$C$255,3,FALSE)</f>
        <v>西南</v>
      </c>
      <c r="L148" s="23" t="str" cm="1">
        <f t="array" ref="L148:N148">_xlfn.TEXTSPLIT(A148,"-")</f>
        <v>CN</v>
      </c>
      <c r="M148" s="22" t="str">
        <v>2752</v>
      </c>
      <c r="N148" s="22" t="str">
        <v>3676630</v>
      </c>
    </row>
    <row r="149" spans="1:14" ht="15.6">
      <c r="A149" s="4" t="s">
        <v>313</v>
      </c>
      <c r="B149" s="5">
        <v>45131.021626373898</v>
      </c>
      <c r="C149" s="5">
        <v>45136.933971916202</v>
      </c>
      <c r="D149" s="4" t="s">
        <v>98</v>
      </c>
      <c r="E149" s="4" t="s">
        <v>314</v>
      </c>
      <c r="F149" s="4" t="s">
        <v>125</v>
      </c>
      <c r="G149" s="4">
        <f t="shared" ca="1" si="6"/>
        <v>31</v>
      </c>
      <c r="H149" s="4">
        <v>2</v>
      </c>
      <c r="I149">
        <f t="shared" ca="1" si="7"/>
        <v>62</v>
      </c>
      <c r="J149">
        <f t="shared" si="8"/>
        <v>7</v>
      </c>
      <c r="K149" t="str">
        <f>VLOOKUP(E149,地区表!$A$2:$C$255,3,FALSE)</f>
        <v>西南</v>
      </c>
      <c r="L149" s="23" t="str" cm="1">
        <f t="array" ref="L149:N149">_xlfn.TEXTSPLIT(A149,"-")</f>
        <v>CN</v>
      </c>
      <c r="M149" s="22" t="str">
        <v>1849</v>
      </c>
      <c r="N149" s="22" t="str">
        <v>3174894</v>
      </c>
    </row>
    <row r="150" spans="1:14" ht="15.6">
      <c r="A150" s="4" t="s">
        <v>763</v>
      </c>
      <c r="B150" s="5">
        <v>45223.538257564098</v>
      </c>
      <c r="C150" s="5">
        <v>45227.877867926698</v>
      </c>
      <c r="D150" s="4" t="s">
        <v>98</v>
      </c>
      <c r="E150" s="4" t="s">
        <v>314</v>
      </c>
      <c r="F150" s="4" t="s">
        <v>110</v>
      </c>
      <c r="G150" s="4">
        <f t="shared" ca="1" si="6"/>
        <v>47</v>
      </c>
      <c r="H150" s="4">
        <v>3</v>
      </c>
      <c r="I150">
        <f t="shared" ca="1" si="7"/>
        <v>141</v>
      </c>
      <c r="J150">
        <f t="shared" si="8"/>
        <v>10</v>
      </c>
      <c r="K150" t="str">
        <f>VLOOKUP(E150,地区表!$A$2:$C$255,3,FALSE)</f>
        <v>西南</v>
      </c>
      <c r="L150" s="23" t="str" cm="1">
        <f t="array" ref="L150:N150">_xlfn.TEXTSPLIT(A150,"-")</f>
        <v>CN</v>
      </c>
      <c r="M150" s="22" t="str">
        <v>2672</v>
      </c>
      <c r="N150" s="22" t="str">
        <v>4651879</v>
      </c>
    </row>
    <row r="151" spans="1:14" ht="15.6">
      <c r="A151" s="4" t="s">
        <v>763</v>
      </c>
      <c r="B151" s="5">
        <v>45223.406484124702</v>
      </c>
      <c r="C151" s="5">
        <v>45227.9497762752</v>
      </c>
      <c r="D151" s="4" t="s">
        <v>98</v>
      </c>
      <c r="E151" s="4" t="s">
        <v>314</v>
      </c>
      <c r="F151" s="4" t="s">
        <v>111</v>
      </c>
      <c r="G151" s="4">
        <f t="shared" ca="1" si="6"/>
        <v>20</v>
      </c>
      <c r="H151" s="4">
        <v>7</v>
      </c>
      <c r="I151">
        <f t="shared" ca="1" si="7"/>
        <v>140</v>
      </c>
      <c r="J151">
        <f t="shared" si="8"/>
        <v>10</v>
      </c>
      <c r="K151" t="str">
        <f>VLOOKUP(E151,地区表!$A$2:$C$255,3,FALSE)</f>
        <v>西南</v>
      </c>
      <c r="L151" s="23" t="str" cm="1">
        <f t="array" ref="L151:N151">_xlfn.TEXTSPLIT(A151,"-")</f>
        <v>CN</v>
      </c>
      <c r="M151" s="22" t="str">
        <v>2672</v>
      </c>
      <c r="N151" s="22" t="str">
        <v>4651879</v>
      </c>
    </row>
    <row r="152" spans="1:14" ht="15.6">
      <c r="A152" s="4" t="s">
        <v>763</v>
      </c>
      <c r="B152" s="5">
        <v>45223.672692877801</v>
      </c>
      <c r="C152" s="5">
        <v>45227.659846215902</v>
      </c>
      <c r="D152" s="4" t="s">
        <v>98</v>
      </c>
      <c r="E152" s="4" t="s">
        <v>314</v>
      </c>
      <c r="F152" s="4" t="s">
        <v>135</v>
      </c>
      <c r="G152" s="4">
        <f t="shared" ca="1" si="6"/>
        <v>62</v>
      </c>
      <c r="H152" s="4">
        <v>5</v>
      </c>
      <c r="I152">
        <f t="shared" ca="1" si="7"/>
        <v>310</v>
      </c>
      <c r="J152">
        <f t="shared" si="8"/>
        <v>10</v>
      </c>
      <c r="K152" t="str">
        <f>VLOOKUP(E152,地区表!$A$2:$C$255,3,FALSE)</f>
        <v>西南</v>
      </c>
      <c r="L152" s="23" t="str" cm="1">
        <f t="array" ref="L152:N152">_xlfn.TEXTSPLIT(A152,"-")</f>
        <v>CN</v>
      </c>
      <c r="M152" s="22" t="str">
        <v>2672</v>
      </c>
      <c r="N152" s="22" t="str">
        <v>4651879</v>
      </c>
    </row>
    <row r="153" spans="1:14" ht="15.6">
      <c r="A153" s="4" t="s">
        <v>270</v>
      </c>
      <c r="B153" s="5">
        <v>45108.298697270402</v>
      </c>
      <c r="C153" s="5">
        <v>45112.614333318197</v>
      </c>
      <c r="D153" s="4" t="s">
        <v>94</v>
      </c>
      <c r="E153" s="4" t="s">
        <v>271</v>
      </c>
      <c r="F153" s="4" t="s">
        <v>144</v>
      </c>
      <c r="G153" s="4">
        <f t="shared" ca="1" si="6"/>
        <v>44</v>
      </c>
      <c r="H153" s="4">
        <v>5</v>
      </c>
      <c r="I153">
        <f t="shared" ca="1" si="7"/>
        <v>220</v>
      </c>
      <c r="J153">
        <f t="shared" si="8"/>
        <v>7</v>
      </c>
      <c r="K153" t="str">
        <f>VLOOKUP(E153,地区表!$A$2:$C$255,3,FALSE)</f>
        <v>华北</v>
      </c>
      <c r="L153" s="23" t="str" cm="1">
        <f t="array" ref="L153:N153">_xlfn.TEXTSPLIT(A153,"-")</f>
        <v>CN</v>
      </c>
      <c r="M153" s="22" t="str">
        <v>2557</v>
      </c>
      <c r="N153" s="22" t="str">
        <v>1122727</v>
      </c>
    </row>
    <row r="154" spans="1:14" ht="15.6">
      <c r="A154" s="4" t="s">
        <v>657</v>
      </c>
      <c r="B154" s="5">
        <v>44341.494516463797</v>
      </c>
      <c r="C154" s="5">
        <v>44345.666475167804</v>
      </c>
      <c r="D154" s="4" t="s">
        <v>94</v>
      </c>
      <c r="E154" s="4" t="s">
        <v>271</v>
      </c>
      <c r="F154" s="4" t="s">
        <v>135</v>
      </c>
      <c r="G154" s="4">
        <f t="shared" ca="1" si="6"/>
        <v>69</v>
      </c>
      <c r="H154" s="4">
        <v>7</v>
      </c>
      <c r="I154">
        <f t="shared" ca="1" si="7"/>
        <v>483</v>
      </c>
      <c r="J154">
        <f t="shared" si="8"/>
        <v>5</v>
      </c>
      <c r="K154" t="str">
        <f>VLOOKUP(E154,地区表!$A$2:$C$255,3,FALSE)</f>
        <v>华北</v>
      </c>
      <c r="L154" s="23" t="str" cm="1">
        <f t="array" ref="L154:N154">_xlfn.TEXTSPLIT(A154,"-")</f>
        <v>CN</v>
      </c>
      <c r="M154" s="22" t="str">
        <v>2885</v>
      </c>
      <c r="N154" s="22" t="str">
        <v>2190451</v>
      </c>
    </row>
    <row r="155" spans="1:14" ht="15.6">
      <c r="A155" s="4" t="s">
        <v>657</v>
      </c>
      <c r="B155" s="5">
        <v>44341.429209382601</v>
      </c>
      <c r="C155" s="5">
        <v>44345.315471888498</v>
      </c>
      <c r="D155" s="4" t="s">
        <v>94</v>
      </c>
      <c r="E155" s="4" t="s">
        <v>271</v>
      </c>
      <c r="F155" s="4" t="s">
        <v>110</v>
      </c>
      <c r="G155" s="4">
        <f t="shared" ca="1" si="6"/>
        <v>88</v>
      </c>
      <c r="H155" s="4">
        <v>3</v>
      </c>
      <c r="I155">
        <f t="shared" ca="1" si="7"/>
        <v>264</v>
      </c>
      <c r="J155">
        <f t="shared" si="8"/>
        <v>5</v>
      </c>
      <c r="K155" t="str">
        <f>VLOOKUP(E155,地区表!$A$2:$C$255,3,FALSE)</f>
        <v>华北</v>
      </c>
      <c r="L155" s="23" t="str" cm="1">
        <f t="array" ref="L155:N155">_xlfn.TEXTSPLIT(A155,"-")</f>
        <v>CN</v>
      </c>
      <c r="M155" s="22" t="str">
        <v>2885</v>
      </c>
      <c r="N155" s="22" t="str">
        <v>2190451</v>
      </c>
    </row>
    <row r="156" spans="1:14" ht="15.6">
      <c r="A156" s="4" t="s">
        <v>657</v>
      </c>
      <c r="B156" s="5">
        <v>44341.2953618838</v>
      </c>
      <c r="C156" s="5">
        <v>44345.489439256198</v>
      </c>
      <c r="D156" s="4" t="s">
        <v>94</v>
      </c>
      <c r="E156" s="4" t="s">
        <v>271</v>
      </c>
      <c r="F156" s="4" t="s">
        <v>141</v>
      </c>
      <c r="G156" s="4">
        <f t="shared" ca="1" si="6"/>
        <v>28</v>
      </c>
      <c r="H156" s="4">
        <v>5</v>
      </c>
      <c r="I156">
        <f t="shared" ca="1" si="7"/>
        <v>140</v>
      </c>
      <c r="J156">
        <f t="shared" si="8"/>
        <v>5</v>
      </c>
      <c r="K156" t="str">
        <f>VLOOKUP(E156,地区表!$A$2:$C$255,3,FALSE)</f>
        <v>华北</v>
      </c>
      <c r="L156" s="23" t="str" cm="1">
        <f t="array" ref="L156:N156">_xlfn.TEXTSPLIT(A156,"-")</f>
        <v>CN</v>
      </c>
      <c r="M156" s="22" t="str">
        <v>2885</v>
      </c>
      <c r="N156" s="22" t="str">
        <v>2190451</v>
      </c>
    </row>
    <row r="157" spans="1:14" ht="15.6">
      <c r="A157" s="4" t="s">
        <v>710</v>
      </c>
      <c r="B157" s="5">
        <v>45086.793986056997</v>
      </c>
      <c r="C157" s="5">
        <v>45089.3998696946</v>
      </c>
      <c r="D157" s="4" t="s">
        <v>94</v>
      </c>
      <c r="E157" s="4" t="s">
        <v>711</v>
      </c>
      <c r="F157" s="4" t="s">
        <v>122</v>
      </c>
      <c r="G157" s="4">
        <f t="shared" ca="1" si="6"/>
        <v>69</v>
      </c>
      <c r="H157" s="4">
        <v>2</v>
      </c>
      <c r="I157">
        <f t="shared" ca="1" si="7"/>
        <v>138</v>
      </c>
      <c r="J157">
        <f t="shared" si="8"/>
        <v>6</v>
      </c>
      <c r="K157" t="str">
        <f>VLOOKUP(E157,地区表!$A$2:$C$255,3,FALSE)</f>
        <v>东北</v>
      </c>
      <c r="L157" s="23" t="str" cm="1">
        <f t="array" ref="L157:N157">_xlfn.TEXTSPLIT(A157,"-")</f>
        <v>CN</v>
      </c>
      <c r="M157" s="22" t="str">
        <v>2535</v>
      </c>
      <c r="N157" s="22" t="str">
        <v>3852845</v>
      </c>
    </row>
    <row r="158" spans="1:14" ht="15.6">
      <c r="A158" s="4" t="s">
        <v>750</v>
      </c>
      <c r="B158" s="5">
        <v>44548.571942324001</v>
      </c>
      <c r="C158" s="5">
        <v>44549.189173795399</v>
      </c>
      <c r="D158" s="4" t="s">
        <v>98</v>
      </c>
      <c r="E158" s="4" t="s">
        <v>711</v>
      </c>
      <c r="F158" s="4" t="s">
        <v>112</v>
      </c>
      <c r="G158" s="4">
        <f t="shared" ca="1" si="6"/>
        <v>73</v>
      </c>
      <c r="H158" s="4">
        <v>5</v>
      </c>
      <c r="I158">
        <f t="shared" ca="1" si="7"/>
        <v>365</v>
      </c>
      <c r="J158">
        <f t="shared" si="8"/>
        <v>12</v>
      </c>
      <c r="K158" t="str">
        <f>VLOOKUP(E158,地区表!$A$2:$C$255,3,FALSE)</f>
        <v>东北</v>
      </c>
      <c r="L158" s="23" t="str" cm="1">
        <f t="array" ref="L158:N158">_xlfn.TEXTSPLIT(A158,"-")</f>
        <v>CN</v>
      </c>
      <c r="M158" s="22" t="str">
        <v>3092</v>
      </c>
      <c r="N158" s="22" t="str">
        <v>4927110</v>
      </c>
    </row>
    <row r="159" spans="1:14" ht="15.6">
      <c r="A159" s="4" t="s">
        <v>750</v>
      </c>
      <c r="B159" s="5">
        <v>44548.172645231898</v>
      </c>
      <c r="C159" s="5">
        <v>44549.7758439311</v>
      </c>
      <c r="D159" s="4" t="s">
        <v>98</v>
      </c>
      <c r="E159" s="4" t="s">
        <v>711</v>
      </c>
      <c r="F159" s="4" t="s">
        <v>141</v>
      </c>
      <c r="G159" s="4">
        <f t="shared" ca="1" si="6"/>
        <v>45</v>
      </c>
      <c r="H159" s="4">
        <v>4</v>
      </c>
      <c r="I159">
        <f t="shared" ca="1" si="7"/>
        <v>180</v>
      </c>
      <c r="J159">
        <f t="shared" si="8"/>
        <v>12</v>
      </c>
      <c r="K159" t="str">
        <f>VLOOKUP(E159,地区表!$A$2:$C$255,3,FALSE)</f>
        <v>东北</v>
      </c>
      <c r="L159" s="23" t="str" cm="1">
        <f t="array" ref="L159:N159">_xlfn.TEXTSPLIT(A159,"-")</f>
        <v>CN</v>
      </c>
      <c r="M159" s="22" t="str">
        <v>3092</v>
      </c>
      <c r="N159" s="22" t="str">
        <v>4927110</v>
      </c>
    </row>
    <row r="160" spans="1:14" ht="15.6">
      <c r="A160" s="4" t="s">
        <v>750</v>
      </c>
      <c r="B160" s="5">
        <v>44548.329333378802</v>
      </c>
      <c r="C160" s="5">
        <v>44549.129895005797</v>
      </c>
      <c r="D160" s="4" t="s">
        <v>98</v>
      </c>
      <c r="E160" s="4" t="s">
        <v>711</v>
      </c>
      <c r="F160" s="4" t="s">
        <v>110</v>
      </c>
      <c r="G160" s="4">
        <f t="shared" ca="1" si="6"/>
        <v>49</v>
      </c>
      <c r="H160" s="4">
        <v>2</v>
      </c>
      <c r="I160">
        <f t="shared" ca="1" si="7"/>
        <v>98</v>
      </c>
      <c r="J160">
        <f t="shared" si="8"/>
        <v>12</v>
      </c>
      <c r="K160" t="str">
        <f>VLOOKUP(E160,地区表!$A$2:$C$255,3,FALSE)</f>
        <v>东北</v>
      </c>
      <c r="L160" s="23" t="str" cm="1">
        <f t="array" ref="L160:N160">_xlfn.TEXTSPLIT(A160,"-")</f>
        <v>CN</v>
      </c>
      <c r="M160" s="22" t="str">
        <v>3092</v>
      </c>
      <c r="N160" s="22" t="str">
        <v>4927110</v>
      </c>
    </row>
    <row r="161" spans="1:14" ht="15.6">
      <c r="A161" s="4" t="s">
        <v>750</v>
      </c>
      <c r="B161" s="5">
        <v>44548.480537924297</v>
      </c>
      <c r="C161" s="5">
        <v>44549.9533506238</v>
      </c>
      <c r="D161" s="4" t="s">
        <v>98</v>
      </c>
      <c r="E161" s="4" t="s">
        <v>711</v>
      </c>
      <c r="F161" s="4" t="s">
        <v>111</v>
      </c>
      <c r="G161" s="4">
        <f t="shared" ca="1" si="6"/>
        <v>60</v>
      </c>
      <c r="H161" s="4">
        <v>2</v>
      </c>
      <c r="I161">
        <f t="shared" ca="1" si="7"/>
        <v>120</v>
      </c>
      <c r="J161">
        <f t="shared" si="8"/>
        <v>12</v>
      </c>
      <c r="K161" t="str">
        <f>VLOOKUP(E161,地区表!$A$2:$C$255,3,FALSE)</f>
        <v>东北</v>
      </c>
      <c r="L161" s="23" t="str" cm="1">
        <f t="array" ref="L161:N161">_xlfn.TEXTSPLIT(A161,"-")</f>
        <v>CN</v>
      </c>
      <c r="M161" s="22" t="str">
        <v>3092</v>
      </c>
      <c r="N161" s="22" t="str">
        <v>4927110</v>
      </c>
    </row>
    <row r="162" spans="1:14" ht="15.6">
      <c r="A162" s="4" t="s">
        <v>750</v>
      </c>
      <c r="B162" s="5">
        <v>44548.472193656198</v>
      </c>
      <c r="C162" s="5">
        <v>44549.416724415001</v>
      </c>
      <c r="D162" s="4" t="s">
        <v>98</v>
      </c>
      <c r="E162" s="4" t="s">
        <v>711</v>
      </c>
      <c r="F162" s="4" t="s">
        <v>118</v>
      </c>
      <c r="G162" s="4">
        <f t="shared" ca="1" si="6"/>
        <v>63</v>
      </c>
      <c r="H162" s="4">
        <v>5</v>
      </c>
      <c r="I162">
        <f t="shared" ca="1" si="7"/>
        <v>315</v>
      </c>
      <c r="J162">
        <f t="shared" si="8"/>
        <v>12</v>
      </c>
      <c r="K162" t="str">
        <f>VLOOKUP(E162,地区表!$A$2:$C$255,3,FALSE)</f>
        <v>东北</v>
      </c>
      <c r="L162" s="23" t="str" cm="1">
        <f t="array" ref="L162:N162">_xlfn.TEXTSPLIT(A162,"-")</f>
        <v>CN</v>
      </c>
      <c r="M162" s="22" t="str">
        <v>3092</v>
      </c>
      <c r="N162" s="22" t="str">
        <v>4927110</v>
      </c>
    </row>
    <row r="163" spans="1:14" ht="15.6">
      <c r="A163" s="4" t="s">
        <v>750</v>
      </c>
      <c r="B163" s="5">
        <v>44548.960348774403</v>
      </c>
      <c r="C163" s="5">
        <v>44549.004783828997</v>
      </c>
      <c r="D163" s="4" t="s">
        <v>98</v>
      </c>
      <c r="E163" s="4" t="s">
        <v>711</v>
      </c>
      <c r="F163" s="4" t="s">
        <v>122</v>
      </c>
      <c r="G163" s="4">
        <f t="shared" ca="1" si="6"/>
        <v>52</v>
      </c>
      <c r="H163" s="4">
        <v>5</v>
      </c>
      <c r="I163">
        <f t="shared" ca="1" si="7"/>
        <v>260</v>
      </c>
      <c r="J163">
        <f t="shared" si="8"/>
        <v>12</v>
      </c>
      <c r="K163" t="str">
        <f>VLOOKUP(E163,地区表!$A$2:$C$255,3,FALSE)</f>
        <v>东北</v>
      </c>
      <c r="L163" s="23" t="str" cm="1">
        <f t="array" ref="L163:N163">_xlfn.TEXTSPLIT(A163,"-")</f>
        <v>CN</v>
      </c>
      <c r="M163" s="22" t="str">
        <v>3092</v>
      </c>
      <c r="N163" s="22" t="str">
        <v>4927110</v>
      </c>
    </row>
    <row r="164" spans="1:14" ht="15.6">
      <c r="A164" s="4" t="s">
        <v>676</v>
      </c>
      <c r="B164" s="5">
        <v>45095.368040147499</v>
      </c>
      <c r="C164" s="5">
        <v>45100.969896451301</v>
      </c>
      <c r="D164" s="4" t="s">
        <v>98</v>
      </c>
      <c r="E164" s="4" t="s">
        <v>677</v>
      </c>
      <c r="F164" s="4" t="s">
        <v>121</v>
      </c>
      <c r="G164" s="4">
        <f t="shared" ca="1" si="6"/>
        <v>61</v>
      </c>
      <c r="H164" s="4">
        <v>1</v>
      </c>
      <c r="I164">
        <f t="shared" ca="1" si="7"/>
        <v>61</v>
      </c>
      <c r="J164">
        <f t="shared" si="8"/>
        <v>6</v>
      </c>
      <c r="K164" t="str">
        <f>VLOOKUP(E164,地区表!$A$2:$C$255,3,FALSE)</f>
        <v>华东</v>
      </c>
      <c r="L164" s="23" t="str" cm="1">
        <f t="array" ref="L164:N164">_xlfn.TEXTSPLIT(A164,"-")</f>
        <v>CN</v>
      </c>
      <c r="M164" s="22" t="str">
        <v>1813</v>
      </c>
      <c r="N164" s="22" t="str">
        <v>2213009</v>
      </c>
    </row>
    <row r="165" spans="1:14" ht="15.6">
      <c r="A165" s="4" t="s">
        <v>676</v>
      </c>
      <c r="B165" s="5">
        <v>45095.563410623101</v>
      </c>
      <c r="C165" s="5">
        <v>45100.664718850901</v>
      </c>
      <c r="D165" s="4" t="s">
        <v>98</v>
      </c>
      <c r="E165" s="4" t="s">
        <v>677</v>
      </c>
      <c r="F165" s="4" t="s">
        <v>122</v>
      </c>
      <c r="G165" s="4">
        <f t="shared" ca="1" si="6"/>
        <v>72</v>
      </c>
      <c r="H165" s="4">
        <v>2</v>
      </c>
      <c r="I165">
        <f t="shared" ca="1" si="7"/>
        <v>144</v>
      </c>
      <c r="J165">
        <f t="shared" si="8"/>
        <v>6</v>
      </c>
      <c r="K165" t="str">
        <f>VLOOKUP(E165,地区表!$A$2:$C$255,3,FALSE)</f>
        <v>华东</v>
      </c>
      <c r="L165" s="23" t="str" cm="1">
        <f t="array" ref="L165:N165">_xlfn.TEXTSPLIT(A165,"-")</f>
        <v>CN</v>
      </c>
      <c r="M165" s="22" t="str">
        <v>1813</v>
      </c>
      <c r="N165" s="22" t="str">
        <v>2213009</v>
      </c>
    </row>
    <row r="166" spans="1:14" ht="15.6">
      <c r="A166" s="4" t="s">
        <v>676</v>
      </c>
      <c r="B166" s="5">
        <v>45095.230958399101</v>
      </c>
      <c r="C166" s="5">
        <v>45100.291479721302</v>
      </c>
      <c r="D166" s="4" t="s">
        <v>98</v>
      </c>
      <c r="E166" s="4" t="s">
        <v>677</v>
      </c>
      <c r="F166" s="4" t="s">
        <v>101</v>
      </c>
      <c r="G166" s="4">
        <f t="shared" ca="1" si="6"/>
        <v>76</v>
      </c>
      <c r="H166" s="4">
        <v>7</v>
      </c>
      <c r="I166">
        <f t="shared" ca="1" si="7"/>
        <v>532</v>
      </c>
      <c r="J166">
        <f t="shared" si="8"/>
        <v>6</v>
      </c>
      <c r="K166" t="str">
        <f>VLOOKUP(E166,地区表!$A$2:$C$255,3,FALSE)</f>
        <v>华东</v>
      </c>
      <c r="L166" s="23" t="str" cm="1">
        <f t="array" ref="L166:N166">_xlfn.TEXTSPLIT(A166,"-")</f>
        <v>CN</v>
      </c>
      <c r="M166" s="22" t="str">
        <v>1813</v>
      </c>
      <c r="N166" s="22" t="str">
        <v>2213009</v>
      </c>
    </row>
    <row r="167" spans="1:14" ht="15.6">
      <c r="A167" s="4" t="s">
        <v>676</v>
      </c>
      <c r="B167" s="5">
        <v>45095.641689593896</v>
      </c>
      <c r="C167" s="5">
        <v>45100.377259200701</v>
      </c>
      <c r="D167" s="4" t="s">
        <v>98</v>
      </c>
      <c r="E167" s="4" t="s">
        <v>677</v>
      </c>
      <c r="F167" s="4" t="s">
        <v>121</v>
      </c>
      <c r="G167" s="4">
        <f t="shared" ca="1" si="6"/>
        <v>29</v>
      </c>
      <c r="H167" s="4">
        <v>2</v>
      </c>
      <c r="I167">
        <f t="shared" ca="1" si="7"/>
        <v>58</v>
      </c>
      <c r="J167">
        <f t="shared" si="8"/>
        <v>6</v>
      </c>
      <c r="K167" t="str">
        <f>VLOOKUP(E167,地区表!$A$2:$C$255,3,FALSE)</f>
        <v>华东</v>
      </c>
      <c r="L167" s="23" t="str" cm="1">
        <f t="array" ref="L167:N167">_xlfn.TEXTSPLIT(A167,"-")</f>
        <v>CN</v>
      </c>
      <c r="M167" s="22" t="str">
        <v>1813</v>
      </c>
      <c r="N167" s="22" t="str">
        <v>2213009</v>
      </c>
    </row>
    <row r="168" spans="1:14" ht="15.6">
      <c r="A168" s="4" t="s">
        <v>708</v>
      </c>
      <c r="B168" s="5">
        <v>44928.185836622302</v>
      </c>
      <c r="C168" s="5">
        <v>44933.6380172434</v>
      </c>
      <c r="D168" s="4" t="s">
        <v>114</v>
      </c>
      <c r="E168" s="4" t="s">
        <v>709</v>
      </c>
      <c r="F168" s="4" t="s">
        <v>100</v>
      </c>
      <c r="G168" s="4">
        <f t="shared" ca="1" si="6"/>
        <v>61</v>
      </c>
      <c r="H168" s="4">
        <v>3</v>
      </c>
      <c r="I168">
        <f t="shared" ca="1" si="7"/>
        <v>183</v>
      </c>
      <c r="J168">
        <f t="shared" si="8"/>
        <v>1</v>
      </c>
      <c r="K168" t="str">
        <f>VLOOKUP(E168,地区表!$A$2:$C$255,3,FALSE)</f>
        <v>华北</v>
      </c>
      <c r="L168" s="23" t="str" cm="1">
        <f t="array" ref="L168:N168">_xlfn.TEXTSPLIT(A168,"-")</f>
        <v>CN</v>
      </c>
      <c r="M168" s="22" t="str">
        <v>2377</v>
      </c>
      <c r="N168" s="22" t="str">
        <v>4451680</v>
      </c>
    </row>
    <row r="169" spans="1:14" ht="15.6">
      <c r="A169" s="4" t="s">
        <v>708</v>
      </c>
      <c r="B169" s="5">
        <v>44928.390265679402</v>
      </c>
      <c r="C169" s="5">
        <v>44933.959456076103</v>
      </c>
      <c r="D169" s="4" t="s">
        <v>114</v>
      </c>
      <c r="E169" s="4" t="s">
        <v>709</v>
      </c>
      <c r="F169" s="4" t="s">
        <v>109</v>
      </c>
      <c r="G169" s="4">
        <f t="shared" ca="1" si="6"/>
        <v>60</v>
      </c>
      <c r="H169" s="4">
        <v>2</v>
      </c>
      <c r="I169">
        <f t="shared" ca="1" si="7"/>
        <v>120</v>
      </c>
      <c r="J169">
        <f t="shared" si="8"/>
        <v>1</v>
      </c>
      <c r="K169" t="str">
        <f>VLOOKUP(E169,地区表!$A$2:$C$255,3,FALSE)</f>
        <v>华北</v>
      </c>
      <c r="L169" s="23" t="str" cm="1">
        <f t="array" ref="L169:N169">_xlfn.TEXTSPLIT(A169,"-")</f>
        <v>CN</v>
      </c>
      <c r="M169" s="22" t="str">
        <v>2377</v>
      </c>
      <c r="N169" s="22" t="str">
        <v>4451680</v>
      </c>
    </row>
    <row r="170" spans="1:14" ht="15.6">
      <c r="A170" s="4" t="s">
        <v>798</v>
      </c>
      <c r="B170" s="5">
        <v>45139.917608577103</v>
      </c>
      <c r="C170" s="5">
        <v>45142.788908026399</v>
      </c>
      <c r="D170" s="4" t="s">
        <v>98</v>
      </c>
      <c r="E170" s="4" t="s">
        <v>799</v>
      </c>
      <c r="F170" s="4" t="s">
        <v>96</v>
      </c>
      <c r="G170" s="4">
        <f t="shared" ca="1" si="6"/>
        <v>59</v>
      </c>
      <c r="H170" s="4">
        <v>2</v>
      </c>
      <c r="I170">
        <f t="shared" ca="1" si="7"/>
        <v>118</v>
      </c>
      <c r="J170">
        <f t="shared" si="8"/>
        <v>8</v>
      </c>
      <c r="K170" t="str">
        <f>VLOOKUP(E170,地区表!$A$2:$C$255,3,FALSE)</f>
        <v>华东</v>
      </c>
      <c r="L170" s="23" t="str" cm="1">
        <f t="array" ref="L170:N170">_xlfn.TEXTSPLIT(A170,"-")</f>
        <v>CN</v>
      </c>
      <c r="M170" s="22" t="str">
        <v>1857</v>
      </c>
      <c r="N170" s="22" t="str">
        <v>1511005</v>
      </c>
    </row>
    <row r="171" spans="1:14" ht="15.6">
      <c r="A171" s="4" t="s">
        <v>478</v>
      </c>
      <c r="B171" s="5">
        <v>44626.5352014788</v>
      </c>
      <c r="C171" s="5">
        <v>44631.5937140881</v>
      </c>
      <c r="D171" s="4" t="s">
        <v>94</v>
      </c>
      <c r="E171" s="4" t="s">
        <v>479</v>
      </c>
      <c r="F171" s="4" t="s">
        <v>122</v>
      </c>
      <c r="G171" s="4">
        <f t="shared" ca="1" si="6"/>
        <v>34</v>
      </c>
      <c r="H171" s="4">
        <v>5</v>
      </c>
      <c r="I171">
        <f t="shared" ca="1" si="7"/>
        <v>170</v>
      </c>
      <c r="J171">
        <f t="shared" si="8"/>
        <v>3</v>
      </c>
      <c r="K171" t="str">
        <f>VLOOKUP(E171,地区表!$A$2:$C$255,3,FALSE)</f>
        <v>西南</v>
      </c>
      <c r="L171" s="23" t="str" cm="1">
        <f t="array" ref="L171:N171">_xlfn.TEXTSPLIT(A171,"-")</f>
        <v>CN</v>
      </c>
      <c r="M171" s="22" t="str">
        <v>2075</v>
      </c>
      <c r="N171" s="22" t="str">
        <v>2146974</v>
      </c>
    </row>
    <row r="172" spans="1:14" ht="15.6">
      <c r="A172" s="4" t="s">
        <v>478</v>
      </c>
      <c r="B172" s="5">
        <v>44626.254257694702</v>
      </c>
      <c r="C172" s="5">
        <v>44631.410874751498</v>
      </c>
      <c r="D172" s="4" t="s">
        <v>94</v>
      </c>
      <c r="E172" s="4" t="s">
        <v>479</v>
      </c>
      <c r="F172" s="4" t="s">
        <v>118</v>
      </c>
      <c r="G172" s="4">
        <f t="shared" ca="1" si="6"/>
        <v>44</v>
      </c>
      <c r="H172" s="4">
        <v>5</v>
      </c>
      <c r="I172">
        <f t="shared" ca="1" si="7"/>
        <v>220</v>
      </c>
      <c r="J172">
        <f t="shared" si="8"/>
        <v>3</v>
      </c>
      <c r="K172" t="str">
        <f>VLOOKUP(E172,地区表!$A$2:$C$255,3,FALSE)</f>
        <v>西南</v>
      </c>
      <c r="L172" s="23" t="str" cm="1">
        <f t="array" ref="L172:N172">_xlfn.TEXTSPLIT(A172,"-")</f>
        <v>CN</v>
      </c>
      <c r="M172" s="22" t="str">
        <v>2075</v>
      </c>
      <c r="N172" s="22" t="str">
        <v>2146974</v>
      </c>
    </row>
    <row r="173" spans="1:14" ht="15.6">
      <c r="A173" s="4" t="s">
        <v>483</v>
      </c>
      <c r="B173" s="5">
        <v>45087.041928062899</v>
      </c>
      <c r="C173" s="5">
        <v>45092.751706685602</v>
      </c>
      <c r="D173" s="4" t="s">
        <v>94</v>
      </c>
      <c r="E173" s="4" t="s">
        <v>479</v>
      </c>
      <c r="F173" s="4" t="s">
        <v>101</v>
      </c>
      <c r="G173" s="4">
        <f t="shared" ca="1" si="6"/>
        <v>64</v>
      </c>
      <c r="H173" s="4">
        <v>5</v>
      </c>
      <c r="I173">
        <f t="shared" ca="1" si="7"/>
        <v>320</v>
      </c>
      <c r="J173">
        <f t="shared" si="8"/>
        <v>6</v>
      </c>
      <c r="K173" t="str">
        <f>VLOOKUP(E173,地区表!$A$2:$C$255,3,FALSE)</f>
        <v>西南</v>
      </c>
      <c r="L173" s="23" t="str" cm="1">
        <f t="array" ref="L173:N173">_xlfn.TEXTSPLIT(A173,"-")</f>
        <v>CN</v>
      </c>
      <c r="M173" s="22" t="str">
        <v>2536</v>
      </c>
      <c r="N173" s="22" t="str">
        <v>3174894</v>
      </c>
    </row>
    <row r="174" spans="1:14" ht="15.6">
      <c r="A174" s="4" t="s">
        <v>650</v>
      </c>
      <c r="B174" s="5">
        <v>44215.92596986</v>
      </c>
      <c r="C174" s="5">
        <v>44216.086987408598</v>
      </c>
      <c r="D174" s="4" t="s">
        <v>98</v>
      </c>
      <c r="E174" s="4" t="s">
        <v>479</v>
      </c>
      <c r="F174" s="4" t="s">
        <v>101</v>
      </c>
      <c r="G174" s="4">
        <f t="shared" ca="1" si="6"/>
        <v>17</v>
      </c>
      <c r="H174" s="4">
        <v>2</v>
      </c>
      <c r="I174">
        <f t="shared" ca="1" si="7"/>
        <v>34</v>
      </c>
      <c r="J174">
        <f t="shared" si="8"/>
        <v>1</v>
      </c>
      <c r="K174" t="str">
        <f>VLOOKUP(E174,地区表!$A$2:$C$255,3,FALSE)</f>
        <v>西南</v>
      </c>
      <c r="L174" s="23" t="str" cm="1">
        <f t="array" ref="L174:N174">_xlfn.TEXTSPLIT(A174,"-")</f>
        <v>CN</v>
      </c>
      <c r="M174" s="22" t="str">
        <v>2759</v>
      </c>
      <c r="N174" s="22" t="str">
        <v>2295401</v>
      </c>
    </row>
    <row r="175" spans="1:14" ht="15.6">
      <c r="A175" s="4" t="s">
        <v>650</v>
      </c>
      <c r="B175" s="5">
        <v>44215.678229022204</v>
      </c>
      <c r="C175" s="5">
        <v>44216.8560986425</v>
      </c>
      <c r="D175" s="4" t="s">
        <v>98</v>
      </c>
      <c r="E175" s="4" t="s">
        <v>479</v>
      </c>
      <c r="F175" s="4" t="s">
        <v>100</v>
      </c>
      <c r="G175" s="4">
        <f t="shared" ca="1" si="6"/>
        <v>10</v>
      </c>
      <c r="H175" s="4">
        <v>5</v>
      </c>
      <c r="I175">
        <f t="shared" ca="1" si="7"/>
        <v>50</v>
      </c>
      <c r="J175">
        <f t="shared" si="8"/>
        <v>1</v>
      </c>
      <c r="K175" t="str">
        <f>VLOOKUP(E175,地区表!$A$2:$C$255,3,FALSE)</f>
        <v>西南</v>
      </c>
      <c r="L175" s="23" t="str" cm="1">
        <f t="array" ref="L175:N175">_xlfn.TEXTSPLIT(A175,"-")</f>
        <v>CN</v>
      </c>
      <c r="M175" s="22" t="str">
        <v>2759</v>
      </c>
      <c r="N175" s="22" t="str">
        <v>2295401</v>
      </c>
    </row>
    <row r="176" spans="1:14" ht="15.6">
      <c r="A176" s="4" t="s">
        <v>163</v>
      </c>
      <c r="B176" s="5">
        <v>44641.685927099999</v>
      </c>
      <c r="C176" s="5">
        <v>44648.311306876298</v>
      </c>
      <c r="D176" s="4" t="s">
        <v>94</v>
      </c>
      <c r="E176" s="4" t="s">
        <v>164</v>
      </c>
      <c r="F176" s="4" t="s">
        <v>135</v>
      </c>
      <c r="G176" s="4">
        <f t="shared" ca="1" si="6"/>
        <v>23</v>
      </c>
      <c r="H176" s="4">
        <v>2</v>
      </c>
      <c r="I176">
        <f t="shared" ca="1" si="7"/>
        <v>46</v>
      </c>
      <c r="J176">
        <f t="shared" si="8"/>
        <v>3</v>
      </c>
      <c r="K176" t="str">
        <f>VLOOKUP(E176,地区表!$A$2:$C$255,3,FALSE)</f>
        <v>西北</v>
      </c>
      <c r="L176" s="23" t="str" cm="1">
        <f t="array" ref="L176:N176">_xlfn.TEXTSPLIT(A176,"-")</f>
        <v>CN</v>
      </c>
      <c r="M176" s="22" t="str">
        <v>3185</v>
      </c>
      <c r="N176" s="22" t="str">
        <v>4838467</v>
      </c>
    </row>
    <row r="177" spans="1:14" ht="15.6">
      <c r="A177" s="4" t="s">
        <v>186</v>
      </c>
      <c r="B177" s="5">
        <v>44676.117379537704</v>
      </c>
      <c r="C177" s="5">
        <v>44680.4517291628</v>
      </c>
      <c r="D177" s="4" t="s">
        <v>98</v>
      </c>
      <c r="E177" s="4" t="s">
        <v>164</v>
      </c>
      <c r="F177" s="4" t="s">
        <v>112</v>
      </c>
      <c r="G177" s="4">
        <f t="shared" ca="1" si="6"/>
        <v>65</v>
      </c>
      <c r="H177" s="4">
        <v>2</v>
      </c>
      <c r="I177">
        <f t="shared" ca="1" si="7"/>
        <v>130</v>
      </c>
      <c r="J177">
        <f t="shared" si="8"/>
        <v>4</v>
      </c>
      <c r="K177" t="str">
        <f>VLOOKUP(E177,地区表!$A$2:$C$255,3,FALSE)</f>
        <v>西北</v>
      </c>
      <c r="L177" s="23" t="str" cm="1">
        <f t="array" ref="L177:N177">_xlfn.TEXTSPLIT(A177,"-")</f>
        <v>CN</v>
      </c>
      <c r="M177" s="22" t="str">
        <v>2125</v>
      </c>
      <c r="N177" s="22" t="str">
        <v>5821791</v>
      </c>
    </row>
    <row r="178" spans="1:14" ht="15.6">
      <c r="A178" s="4" t="s">
        <v>186</v>
      </c>
      <c r="B178" s="5">
        <v>44676.572790925296</v>
      </c>
      <c r="C178" s="5">
        <v>44680.999119029701</v>
      </c>
      <c r="D178" s="4" t="s">
        <v>98</v>
      </c>
      <c r="E178" s="4" t="s">
        <v>164</v>
      </c>
      <c r="F178" s="4" t="s">
        <v>125</v>
      </c>
      <c r="G178" s="4">
        <f t="shared" ca="1" si="6"/>
        <v>78</v>
      </c>
      <c r="H178" s="4">
        <v>3</v>
      </c>
      <c r="I178">
        <f t="shared" ca="1" si="7"/>
        <v>234</v>
      </c>
      <c r="J178">
        <f t="shared" si="8"/>
        <v>4</v>
      </c>
      <c r="K178" t="str">
        <f>VLOOKUP(E178,地区表!$A$2:$C$255,3,FALSE)</f>
        <v>西北</v>
      </c>
      <c r="L178" s="23" t="str" cm="1">
        <f t="array" ref="L178:N178">_xlfn.TEXTSPLIT(A178,"-")</f>
        <v>CN</v>
      </c>
      <c r="M178" s="22" t="str">
        <v>2125</v>
      </c>
      <c r="N178" s="22" t="str">
        <v>5821791</v>
      </c>
    </row>
    <row r="179" spans="1:14" ht="15.6">
      <c r="A179" s="4" t="s">
        <v>186</v>
      </c>
      <c r="B179" s="5">
        <v>44676.2837425697</v>
      </c>
      <c r="C179" s="5">
        <v>44680.2150597707</v>
      </c>
      <c r="D179" s="4" t="s">
        <v>98</v>
      </c>
      <c r="E179" s="4" t="s">
        <v>164</v>
      </c>
      <c r="F179" s="4" t="s">
        <v>125</v>
      </c>
      <c r="G179" s="4">
        <f t="shared" ca="1" si="6"/>
        <v>61</v>
      </c>
      <c r="H179" s="4">
        <v>2</v>
      </c>
      <c r="I179">
        <f t="shared" ca="1" si="7"/>
        <v>122</v>
      </c>
      <c r="J179">
        <f t="shared" si="8"/>
        <v>4</v>
      </c>
      <c r="K179" t="str">
        <f>VLOOKUP(E179,地区表!$A$2:$C$255,3,FALSE)</f>
        <v>西北</v>
      </c>
      <c r="L179" s="23" t="str" cm="1">
        <f t="array" ref="L179:N179">_xlfn.TEXTSPLIT(A179,"-")</f>
        <v>CN</v>
      </c>
      <c r="M179" s="22" t="str">
        <v>2125</v>
      </c>
      <c r="N179" s="22" t="str">
        <v>5821791</v>
      </c>
    </row>
    <row r="180" spans="1:14" ht="15.6">
      <c r="A180" s="4" t="s">
        <v>188</v>
      </c>
      <c r="B180" s="5">
        <v>45270.624363676201</v>
      </c>
      <c r="C180" s="5">
        <v>45270.770317466697</v>
      </c>
      <c r="D180" s="4" t="s">
        <v>98</v>
      </c>
      <c r="E180" s="4" t="s">
        <v>164</v>
      </c>
      <c r="F180" s="4" t="s">
        <v>118</v>
      </c>
      <c r="G180" s="4">
        <f t="shared" ca="1" si="6"/>
        <v>35</v>
      </c>
      <c r="H180" s="4">
        <v>2</v>
      </c>
      <c r="I180">
        <f t="shared" ca="1" si="7"/>
        <v>70</v>
      </c>
      <c r="J180">
        <f t="shared" si="8"/>
        <v>12</v>
      </c>
      <c r="K180" t="str">
        <f>VLOOKUP(E180,地区表!$A$2:$C$255,3,FALSE)</f>
        <v>西北</v>
      </c>
      <c r="L180" s="23" t="str" cm="1">
        <f t="array" ref="L180:N180">_xlfn.TEXTSPLIT(A180,"-")</f>
        <v>CN</v>
      </c>
      <c r="M180" s="22" t="str">
        <v>2719</v>
      </c>
      <c r="N180" s="22" t="str">
        <v>1751343</v>
      </c>
    </row>
    <row r="181" spans="1:14" ht="15.6">
      <c r="A181" s="4" t="s">
        <v>267</v>
      </c>
      <c r="B181" s="5">
        <v>44766.753411231599</v>
      </c>
      <c r="C181" s="5">
        <v>44769.864409840498</v>
      </c>
      <c r="D181" s="4" t="s">
        <v>94</v>
      </c>
      <c r="E181" s="4" t="s">
        <v>164</v>
      </c>
      <c r="F181" s="4" t="s">
        <v>118</v>
      </c>
      <c r="G181" s="4">
        <f t="shared" ca="1" si="6"/>
        <v>100</v>
      </c>
      <c r="H181" s="4">
        <v>3</v>
      </c>
      <c r="I181">
        <f t="shared" ca="1" si="7"/>
        <v>300</v>
      </c>
      <c r="J181">
        <f t="shared" si="8"/>
        <v>7</v>
      </c>
      <c r="K181" t="str">
        <f>VLOOKUP(E181,地区表!$A$2:$C$255,3,FALSE)</f>
        <v>西北</v>
      </c>
      <c r="L181" s="23" t="str" cm="1">
        <f t="array" ref="L181:N181">_xlfn.TEXTSPLIT(A181,"-")</f>
        <v>CN</v>
      </c>
      <c r="M181" s="22" t="str">
        <v>2215</v>
      </c>
      <c r="N181" s="22" t="str">
        <v>5591357</v>
      </c>
    </row>
    <row r="182" spans="1:14" ht="15.6">
      <c r="A182" s="4" t="s">
        <v>333</v>
      </c>
      <c r="B182" s="5">
        <v>44700.020003517202</v>
      </c>
      <c r="C182" s="5">
        <v>44704.529654303296</v>
      </c>
      <c r="D182" s="4" t="s">
        <v>98</v>
      </c>
      <c r="E182" s="4" t="s">
        <v>164</v>
      </c>
      <c r="F182" s="4" t="s">
        <v>112</v>
      </c>
      <c r="G182" s="4">
        <f t="shared" ca="1" si="6"/>
        <v>75</v>
      </c>
      <c r="H182" s="4">
        <v>6</v>
      </c>
      <c r="I182">
        <f t="shared" ca="1" si="7"/>
        <v>450</v>
      </c>
      <c r="J182">
        <f t="shared" si="8"/>
        <v>5</v>
      </c>
      <c r="K182" t="str">
        <f>VLOOKUP(E182,地区表!$A$2:$C$255,3,FALSE)</f>
        <v>西北</v>
      </c>
      <c r="L182" s="23" t="str" cm="1">
        <f t="array" ref="L182:N182">_xlfn.TEXTSPLIT(A182,"-")</f>
        <v>CN</v>
      </c>
      <c r="M182" s="22" t="str">
        <v>2149</v>
      </c>
      <c r="N182" s="22" t="str">
        <v>3694355</v>
      </c>
    </row>
    <row r="183" spans="1:14" ht="15.6">
      <c r="A183" s="4" t="s">
        <v>440</v>
      </c>
      <c r="B183" s="5">
        <v>44342.5542167561</v>
      </c>
      <c r="C183" s="5">
        <v>44348.5194852606</v>
      </c>
      <c r="D183" s="4" t="s">
        <v>94</v>
      </c>
      <c r="E183" s="4" t="s">
        <v>164</v>
      </c>
      <c r="F183" s="4" t="s">
        <v>141</v>
      </c>
      <c r="G183" s="4">
        <f t="shared" ca="1" si="6"/>
        <v>87</v>
      </c>
      <c r="H183" s="4">
        <v>6</v>
      </c>
      <c r="I183">
        <f t="shared" ca="1" si="7"/>
        <v>522</v>
      </c>
      <c r="J183">
        <f t="shared" si="8"/>
        <v>5</v>
      </c>
      <c r="K183" t="str">
        <f>VLOOKUP(E183,地区表!$A$2:$C$255,3,FALSE)</f>
        <v>西北</v>
      </c>
      <c r="L183" s="23" t="str" cm="1">
        <f t="array" ref="L183:N183">_xlfn.TEXTSPLIT(A183,"-")</f>
        <v>CN</v>
      </c>
      <c r="M183" s="22" t="str">
        <v>2886</v>
      </c>
      <c r="N183" s="22" t="str">
        <v>3694355</v>
      </c>
    </row>
    <row r="184" spans="1:14" ht="15.6">
      <c r="A184" s="4" t="s">
        <v>615</v>
      </c>
      <c r="B184" s="5">
        <v>45073.195611585303</v>
      </c>
      <c r="C184" s="5">
        <v>45078.095485668702</v>
      </c>
      <c r="D184" s="4" t="s">
        <v>94</v>
      </c>
      <c r="E184" s="4" t="s">
        <v>164</v>
      </c>
      <c r="F184" s="4" t="s">
        <v>135</v>
      </c>
      <c r="G184" s="4">
        <f t="shared" ca="1" si="6"/>
        <v>49</v>
      </c>
      <c r="H184" s="4">
        <v>6</v>
      </c>
      <c r="I184">
        <f t="shared" ca="1" si="7"/>
        <v>294</v>
      </c>
      <c r="J184">
        <f t="shared" si="8"/>
        <v>5</v>
      </c>
      <c r="K184" t="str">
        <f>VLOOKUP(E184,地区表!$A$2:$C$255,3,FALSE)</f>
        <v>西北</v>
      </c>
      <c r="L184" s="23" t="str" cm="1">
        <f t="array" ref="L184:N184">_xlfn.TEXTSPLIT(A184,"-")</f>
        <v>CN</v>
      </c>
      <c r="M184" s="22" t="str">
        <v>1791</v>
      </c>
      <c r="N184" s="22" t="str">
        <v>4217149</v>
      </c>
    </row>
    <row r="185" spans="1:14" ht="15.6">
      <c r="A185" s="4" t="s">
        <v>615</v>
      </c>
      <c r="B185" s="5">
        <v>45073.124510247399</v>
      </c>
      <c r="C185" s="5">
        <v>45078.681821469101</v>
      </c>
      <c r="D185" s="4" t="s">
        <v>94</v>
      </c>
      <c r="E185" s="4" t="s">
        <v>164</v>
      </c>
      <c r="F185" s="4" t="s">
        <v>101</v>
      </c>
      <c r="G185" s="4">
        <f t="shared" ca="1" si="6"/>
        <v>22</v>
      </c>
      <c r="H185" s="4">
        <v>2</v>
      </c>
      <c r="I185">
        <f t="shared" ca="1" si="7"/>
        <v>44</v>
      </c>
      <c r="J185">
        <f t="shared" si="8"/>
        <v>5</v>
      </c>
      <c r="K185" t="str">
        <f>VLOOKUP(E185,地区表!$A$2:$C$255,3,FALSE)</f>
        <v>西北</v>
      </c>
      <c r="L185" s="23" t="str" cm="1">
        <f t="array" ref="L185:N185">_xlfn.TEXTSPLIT(A185,"-")</f>
        <v>CN</v>
      </c>
      <c r="M185" s="22" t="str">
        <v>1791</v>
      </c>
      <c r="N185" s="22" t="str">
        <v>4217149</v>
      </c>
    </row>
    <row r="186" spans="1:14" ht="15.6">
      <c r="A186" s="4" t="s">
        <v>653</v>
      </c>
      <c r="B186" s="5">
        <v>44955.243819007897</v>
      </c>
      <c r="C186" s="5">
        <v>44957.308526386398</v>
      </c>
      <c r="D186" s="4" t="s">
        <v>94</v>
      </c>
      <c r="E186" s="4" t="s">
        <v>164</v>
      </c>
      <c r="F186" s="4" t="s">
        <v>101</v>
      </c>
      <c r="G186" s="4">
        <f t="shared" ca="1" si="6"/>
        <v>13</v>
      </c>
      <c r="H186" s="4">
        <v>4</v>
      </c>
      <c r="I186">
        <f t="shared" ca="1" si="7"/>
        <v>52</v>
      </c>
      <c r="J186">
        <f t="shared" si="8"/>
        <v>1</v>
      </c>
      <c r="K186" t="str">
        <f>VLOOKUP(E186,地区表!$A$2:$C$255,3,FALSE)</f>
        <v>西北</v>
      </c>
      <c r="L186" s="23" t="str" cm="1">
        <f t="array" ref="L186:N186">_xlfn.TEXTSPLIT(A186,"-")</f>
        <v>CN</v>
      </c>
      <c r="M186" s="22" t="str">
        <v>2404</v>
      </c>
      <c r="N186" s="22" t="str">
        <v>3382200</v>
      </c>
    </row>
    <row r="187" spans="1:14" ht="15.6">
      <c r="A187" s="4" t="s">
        <v>831</v>
      </c>
      <c r="B187" s="5">
        <v>45289.526225439702</v>
      </c>
      <c r="C187" s="5">
        <v>44562.800880072697</v>
      </c>
      <c r="D187" s="4" t="s">
        <v>94</v>
      </c>
      <c r="E187" s="4" t="s">
        <v>164</v>
      </c>
      <c r="F187" s="4" t="s">
        <v>111</v>
      </c>
      <c r="G187" s="4">
        <f t="shared" ca="1" si="6"/>
        <v>73</v>
      </c>
      <c r="H187" s="4">
        <v>1</v>
      </c>
      <c r="I187">
        <f t="shared" ca="1" si="7"/>
        <v>73</v>
      </c>
      <c r="J187">
        <f t="shared" si="8"/>
        <v>12</v>
      </c>
      <c r="K187" t="str">
        <f>VLOOKUP(E187,地区表!$A$2:$C$255,3,FALSE)</f>
        <v>西北</v>
      </c>
      <c r="L187" s="23" t="str" cm="1">
        <f t="array" ref="L187:N187">_xlfn.TEXTSPLIT(A187,"-")</f>
        <v>CN</v>
      </c>
      <c r="M187" s="22" t="str">
        <v>2007</v>
      </c>
      <c r="N187" s="22" t="str">
        <v>2105676</v>
      </c>
    </row>
    <row r="188" spans="1:14" ht="15.6">
      <c r="A188" s="4" t="s">
        <v>831</v>
      </c>
      <c r="B188" s="5">
        <v>45289.217795852899</v>
      </c>
      <c r="C188" s="5">
        <v>44562.925283901299</v>
      </c>
      <c r="D188" s="4" t="s">
        <v>94</v>
      </c>
      <c r="E188" s="4" t="s">
        <v>164</v>
      </c>
      <c r="F188" s="4" t="s">
        <v>96</v>
      </c>
      <c r="G188" s="4">
        <f t="shared" ca="1" si="6"/>
        <v>57</v>
      </c>
      <c r="H188" s="4">
        <v>9</v>
      </c>
      <c r="I188">
        <f t="shared" ca="1" si="7"/>
        <v>513</v>
      </c>
      <c r="J188">
        <f t="shared" si="8"/>
        <v>12</v>
      </c>
      <c r="K188" t="str">
        <f>VLOOKUP(E188,地区表!$A$2:$C$255,3,FALSE)</f>
        <v>西北</v>
      </c>
      <c r="L188" s="23" t="str" cm="1">
        <f t="array" ref="L188:N188">_xlfn.TEXTSPLIT(A188,"-")</f>
        <v>CN</v>
      </c>
      <c r="M188" s="22" t="str">
        <v>2007</v>
      </c>
      <c r="N188" s="22" t="str">
        <v>2105676</v>
      </c>
    </row>
    <row r="189" spans="1:14" ht="15.6">
      <c r="A189" s="4" t="s">
        <v>835</v>
      </c>
      <c r="B189" s="5">
        <v>45173.3243997194</v>
      </c>
      <c r="C189" s="5">
        <v>45178.3555396054</v>
      </c>
      <c r="D189" s="4" t="s">
        <v>98</v>
      </c>
      <c r="E189" s="4" t="s">
        <v>164</v>
      </c>
      <c r="F189" s="4" t="s">
        <v>96</v>
      </c>
      <c r="G189" s="4">
        <f t="shared" ca="1" si="6"/>
        <v>85</v>
      </c>
      <c r="H189" s="4">
        <v>5</v>
      </c>
      <c r="I189">
        <f t="shared" ca="1" si="7"/>
        <v>425</v>
      </c>
      <c r="J189">
        <f t="shared" si="8"/>
        <v>9</v>
      </c>
      <c r="K189" t="str">
        <f>VLOOKUP(E189,地区表!$A$2:$C$255,3,FALSE)</f>
        <v>西北</v>
      </c>
      <c r="L189" s="23" t="str" cm="1">
        <f t="array" ref="L189:N189">_xlfn.TEXTSPLIT(A189,"-")</f>
        <v>CN</v>
      </c>
      <c r="M189" s="22" t="str">
        <v>1891</v>
      </c>
      <c r="N189" s="22" t="str">
        <v>2187292</v>
      </c>
    </row>
    <row r="190" spans="1:14" ht="15.6">
      <c r="A190" s="4" t="s">
        <v>835</v>
      </c>
      <c r="B190" s="5">
        <v>45173.484541993501</v>
      </c>
      <c r="C190" s="5">
        <v>45178.568235622202</v>
      </c>
      <c r="D190" s="4" t="s">
        <v>98</v>
      </c>
      <c r="E190" s="4" t="s">
        <v>164</v>
      </c>
      <c r="F190" s="4" t="s">
        <v>125</v>
      </c>
      <c r="G190" s="4">
        <f t="shared" ca="1" si="6"/>
        <v>24</v>
      </c>
      <c r="H190" s="4">
        <v>2</v>
      </c>
      <c r="I190">
        <f t="shared" ca="1" si="7"/>
        <v>48</v>
      </c>
      <c r="J190">
        <f t="shared" si="8"/>
        <v>9</v>
      </c>
      <c r="K190" t="str">
        <f>VLOOKUP(E190,地区表!$A$2:$C$255,3,FALSE)</f>
        <v>西北</v>
      </c>
      <c r="L190" s="23" t="str" cm="1">
        <f t="array" ref="L190:N190">_xlfn.TEXTSPLIT(A190,"-")</f>
        <v>CN</v>
      </c>
      <c r="M190" s="22" t="str">
        <v>1891</v>
      </c>
      <c r="N190" s="22" t="str">
        <v>2187292</v>
      </c>
    </row>
    <row r="191" spans="1:14" ht="15.6">
      <c r="A191" s="4" t="s">
        <v>192</v>
      </c>
      <c r="B191" s="5">
        <v>44469.668271133902</v>
      </c>
      <c r="C191" s="5">
        <v>44474.664333252003</v>
      </c>
      <c r="D191" s="4" t="s">
        <v>94</v>
      </c>
      <c r="E191" s="4" t="s">
        <v>193</v>
      </c>
      <c r="F191" s="4" t="s">
        <v>125</v>
      </c>
      <c r="G191" s="4">
        <f t="shared" ca="1" si="6"/>
        <v>44</v>
      </c>
      <c r="H191" s="4">
        <v>6</v>
      </c>
      <c r="I191">
        <f t="shared" ca="1" si="7"/>
        <v>264</v>
      </c>
      <c r="J191">
        <f t="shared" si="8"/>
        <v>9</v>
      </c>
      <c r="K191" t="str">
        <f>VLOOKUP(E191,地区表!$A$2:$C$255,3,FALSE)</f>
        <v>西北</v>
      </c>
      <c r="L191" s="23" t="str" cm="1">
        <f t="array" ref="L191:N191">_xlfn.TEXTSPLIT(A191,"-")</f>
        <v>CN</v>
      </c>
      <c r="M191" s="22" t="str">
        <v>3013</v>
      </c>
      <c r="N191" s="22" t="str">
        <v>3172853</v>
      </c>
    </row>
    <row r="192" spans="1:14" ht="15.6">
      <c r="A192" s="4" t="s">
        <v>621</v>
      </c>
      <c r="B192" s="5">
        <v>44286.985757229697</v>
      </c>
      <c r="C192" s="5">
        <v>44290.118913607301</v>
      </c>
      <c r="D192" s="4" t="s">
        <v>114</v>
      </c>
      <c r="E192" s="4" t="s">
        <v>622</v>
      </c>
      <c r="F192" s="4" t="s">
        <v>141</v>
      </c>
      <c r="G192" s="4">
        <f t="shared" ca="1" si="6"/>
        <v>35</v>
      </c>
      <c r="H192" s="4">
        <v>2</v>
      </c>
      <c r="I192">
        <f t="shared" ca="1" si="7"/>
        <v>70</v>
      </c>
      <c r="J192">
        <f t="shared" si="8"/>
        <v>3</v>
      </c>
      <c r="K192" t="str">
        <f>VLOOKUP(E192,地区表!$A$2:$C$255,3,FALSE)</f>
        <v>中南</v>
      </c>
      <c r="L192" s="23" t="str" cm="1">
        <f t="array" ref="L192:N192">_xlfn.TEXTSPLIT(A192,"-")</f>
        <v>US</v>
      </c>
      <c r="M192" s="22" t="str">
        <v>2830</v>
      </c>
      <c r="N192" s="22" t="str">
        <v>5146329</v>
      </c>
    </row>
    <row r="193" spans="1:14" ht="15.6">
      <c r="A193" s="4" t="s">
        <v>757</v>
      </c>
      <c r="B193" s="5">
        <v>44453.011642976198</v>
      </c>
      <c r="C193" s="5">
        <v>44459.7078213942</v>
      </c>
      <c r="D193" s="4" t="s">
        <v>114</v>
      </c>
      <c r="E193" s="4" t="s">
        <v>622</v>
      </c>
      <c r="F193" s="4" t="s">
        <v>110</v>
      </c>
      <c r="G193" s="4">
        <f t="shared" ca="1" si="6"/>
        <v>15</v>
      </c>
      <c r="H193" s="4">
        <v>3</v>
      </c>
      <c r="I193">
        <f t="shared" ca="1" si="7"/>
        <v>45</v>
      </c>
      <c r="J193">
        <f t="shared" si="8"/>
        <v>9</v>
      </c>
      <c r="K193" t="str">
        <f>VLOOKUP(E193,地区表!$A$2:$C$255,3,FALSE)</f>
        <v>中南</v>
      </c>
      <c r="L193" s="23" t="str" cm="1">
        <f t="array" ref="L193:N193">_xlfn.TEXTSPLIT(A193,"-")</f>
        <v>US</v>
      </c>
      <c r="M193" s="22" t="str">
        <v>2997</v>
      </c>
      <c r="N193" s="22" t="str">
        <v>1925348</v>
      </c>
    </row>
    <row r="194" spans="1:14" ht="15.6">
      <c r="A194" s="4" t="s">
        <v>250</v>
      </c>
      <c r="B194" s="5">
        <v>44216.5972253285</v>
      </c>
      <c r="C194" s="5">
        <v>44218.433340594202</v>
      </c>
      <c r="D194" s="4" t="s">
        <v>98</v>
      </c>
      <c r="E194" s="4" t="s">
        <v>251</v>
      </c>
      <c r="F194" s="4" t="s">
        <v>100</v>
      </c>
      <c r="G194" s="4">
        <f t="shared" ref="G194:G257" ca="1" si="9">RANDBETWEEN(10,100)</f>
        <v>79</v>
      </c>
      <c r="H194" s="4">
        <v>2</v>
      </c>
      <c r="I194">
        <f t="shared" ca="1" si="7"/>
        <v>158</v>
      </c>
      <c r="J194">
        <f t="shared" si="8"/>
        <v>1</v>
      </c>
      <c r="K194" t="str">
        <f>VLOOKUP(E194,地区表!$A$2:$C$255,3,FALSE)</f>
        <v>中南</v>
      </c>
      <c r="L194" s="23" t="str" cm="1">
        <f t="array" ref="L194:N194">_xlfn.TEXTSPLIT(A194,"-")</f>
        <v>CN</v>
      </c>
      <c r="M194" s="22" t="str">
        <v>2760</v>
      </c>
      <c r="N194" s="22" t="str">
        <v>4544243</v>
      </c>
    </row>
    <row r="195" spans="1:14" ht="15.6">
      <c r="A195" s="4" t="s">
        <v>250</v>
      </c>
      <c r="B195" s="5">
        <v>44216.083852177602</v>
      </c>
      <c r="C195" s="5">
        <v>44218.578249623497</v>
      </c>
      <c r="D195" s="4" t="s">
        <v>98</v>
      </c>
      <c r="E195" s="4" t="s">
        <v>251</v>
      </c>
      <c r="F195" s="4" t="s">
        <v>110</v>
      </c>
      <c r="G195" s="4">
        <f t="shared" ca="1" si="9"/>
        <v>85</v>
      </c>
      <c r="H195" s="4">
        <v>1</v>
      </c>
      <c r="I195">
        <f t="shared" ref="I195:I258" ca="1" si="10">G195*H195</f>
        <v>85</v>
      </c>
      <c r="J195">
        <f t="shared" ref="J195:J258" si="11">MONTH(B195)</f>
        <v>1</v>
      </c>
      <c r="K195" t="str">
        <f>VLOOKUP(E195,地区表!$A$2:$C$255,3,FALSE)</f>
        <v>中南</v>
      </c>
      <c r="L195" s="23" t="str" cm="1">
        <f t="array" ref="L195:N195">_xlfn.TEXTSPLIT(A195,"-")</f>
        <v>CN</v>
      </c>
      <c r="M195" s="22" t="str">
        <v>2760</v>
      </c>
      <c r="N195" s="22" t="str">
        <v>4544243</v>
      </c>
    </row>
    <row r="196" spans="1:14" ht="15.6">
      <c r="A196" s="4" t="s">
        <v>471</v>
      </c>
      <c r="B196" s="5">
        <v>44642.522101927199</v>
      </c>
      <c r="C196" s="5">
        <v>44645.093510168103</v>
      </c>
      <c r="D196" s="4" t="s">
        <v>98</v>
      </c>
      <c r="E196" s="4" t="s">
        <v>472</v>
      </c>
      <c r="F196" s="4" t="s">
        <v>122</v>
      </c>
      <c r="G196" s="4">
        <f t="shared" ca="1" si="9"/>
        <v>95</v>
      </c>
      <c r="H196" s="4">
        <v>1</v>
      </c>
      <c r="I196">
        <f t="shared" ca="1" si="10"/>
        <v>95</v>
      </c>
      <c r="J196">
        <f t="shared" si="11"/>
        <v>3</v>
      </c>
      <c r="K196" t="str">
        <f>VLOOKUP(E196,地区表!$A$2:$C$255,3,FALSE)</f>
        <v>华东</v>
      </c>
      <c r="L196" s="23" t="str" cm="1">
        <f t="array" ref="L196:N196">_xlfn.TEXTSPLIT(A196,"-")</f>
        <v>US</v>
      </c>
      <c r="M196" s="22" t="str">
        <v>3186</v>
      </c>
      <c r="N196" s="22" t="str">
        <v>4420382</v>
      </c>
    </row>
    <row r="197" spans="1:14" ht="15.6">
      <c r="A197" s="4" t="s">
        <v>498</v>
      </c>
      <c r="B197" s="5">
        <v>45173.2172451121</v>
      </c>
      <c r="C197" s="5">
        <v>45177.008836852401</v>
      </c>
      <c r="D197" s="4" t="s">
        <v>98</v>
      </c>
      <c r="E197" s="4" t="s">
        <v>472</v>
      </c>
      <c r="F197" s="4" t="s">
        <v>112</v>
      </c>
      <c r="G197" s="4">
        <f t="shared" ca="1" si="9"/>
        <v>60</v>
      </c>
      <c r="H197" s="4">
        <v>4</v>
      </c>
      <c r="I197">
        <f t="shared" ca="1" si="10"/>
        <v>240</v>
      </c>
      <c r="J197">
        <f t="shared" si="11"/>
        <v>9</v>
      </c>
      <c r="K197" t="str">
        <f>VLOOKUP(E197,地区表!$A$2:$C$255,3,FALSE)</f>
        <v>华东</v>
      </c>
      <c r="L197" s="23" t="str" cm="1">
        <f t="array" ref="L197:N197">_xlfn.TEXTSPLIT(A197,"-")</f>
        <v>US</v>
      </c>
      <c r="M197" s="22" t="str">
        <v>2622</v>
      </c>
      <c r="N197" s="22" t="str">
        <v>4774798</v>
      </c>
    </row>
    <row r="198" spans="1:14" ht="15.6">
      <c r="A198" s="4" t="s">
        <v>156</v>
      </c>
      <c r="B198" s="5">
        <v>44491.024078883798</v>
      </c>
      <c r="C198" s="5">
        <v>44494.393639786198</v>
      </c>
      <c r="D198" s="4" t="s">
        <v>98</v>
      </c>
      <c r="E198" s="4" t="s">
        <v>157</v>
      </c>
      <c r="F198" s="4" t="s">
        <v>122</v>
      </c>
      <c r="G198" s="4">
        <f t="shared" ca="1" si="9"/>
        <v>31</v>
      </c>
      <c r="H198" s="4">
        <v>4</v>
      </c>
      <c r="I198">
        <f t="shared" ca="1" si="10"/>
        <v>124</v>
      </c>
      <c r="J198">
        <f t="shared" si="11"/>
        <v>10</v>
      </c>
      <c r="K198" t="str">
        <f>VLOOKUP(E198,地区表!$A$2:$C$255,3,FALSE)</f>
        <v>东北</v>
      </c>
      <c r="L198" s="23" t="str" cm="1">
        <f t="array" ref="L198:N198">_xlfn.TEXTSPLIT(A198,"-")</f>
        <v>CN</v>
      </c>
      <c r="M198" s="22" t="str">
        <v>3035</v>
      </c>
      <c r="N198" s="22" t="str">
        <v>2396895</v>
      </c>
    </row>
    <row r="199" spans="1:14" ht="15.6">
      <c r="A199" s="4" t="s">
        <v>156</v>
      </c>
      <c r="B199" s="5">
        <v>44491.0982800981</v>
      </c>
      <c r="C199" s="5">
        <v>44494.161968615401</v>
      </c>
      <c r="D199" s="4" t="s">
        <v>98</v>
      </c>
      <c r="E199" s="4" t="s">
        <v>157</v>
      </c>
      <c r="F199" s="4" t="s">
        <v>118</v>
      </c>
      <c r="G199" s="4">
        <f t="shared" ca="1" si="9"/>
        <v>87</v>
      </c>
      <c r="H199" s="4">
        <v>2</v>
      </c>
      <c r="I199">
        <f t="shared" ca="1" si="10"/>
        <v>174</v>
      </c>
      <c r="J199">
        <f t="shared" si="11"/>
        <v>10</v>
      </c>
      <c r="K199" t="str">
        <f>VLOOKUP(E199,地区表!$A$2:$C$255,3,FALSE)</f>
        <v>东北</v>
      </c>
      <c r="L199" s="23" t="str" cm="1">
        <f t="array" ref="L199:N199">_xlfn.TEXTSPLIT(A199,"-")</f>
        <v>CN</v>
      </c>
      <c r="M199" s="22" t="str">
        <v>3035</v>
      </c>
      <c r="N199" s="22" t="str">
        <v>2396895</v>
      </c>
    </row>
    <row r="200" spans="1:14" ht="15.6">
      <c r="A200" s="4" t="s">
        <v>156</v>
      </c>
      <c r="B200" s="5">
        <v>44491.637057066298</v>
      </c>
      <c r="C200" s="5">
        <v>44494.227377763702</v>
      </c>
      <c r="D200" s="4" t="s">
        <v>98</v>
      </c>
      <c r="E200" s="4" t="s">
        <v>157</v>
      </c>
      <c r="F200" s="4" t="s">
        <v>135</v>
      </c>
      <c r="G200" s="4">
        <f t="shared" ca="1" si="9"/>
        <v>50</v>
      </c>
      <c r="H200" s="4">
        <v>2</v>
      </c>
      <c r="I200">
        <f t="shared" ca="1" si="10"/>
        <v>100</v>
      </c>
      <c r="J200">
        <f t="shared" si="11"/>
        <v>10</v>
      </c>
      <c r="K200" t="str">
        <f>VLOOKUP(E200,地区表!$A$2:$C$255,3,FALSE)</f>
        <v>东北</v>
      </c>
      <c r="L200" s="23" t="str" cm="1">
        <f t="array" ref="L200:N200">_xlfn.TEXTSPLIT(A200,"-")</f>
        <v>CN</v>
      </c>
      <c r="M200" s="22" t="str">
        <v>3035</v>
      </c>
      <c r="N200" s="22" t="str">
        <v>2396895</v>
      </c>
    </row>
    <row r="201" spans="1:14" ht="15.6">
      <c r="A201" s="4" t="s">
        <v>495</v>
      </c>
      <c r="B201" s="5">
        <v>44307.347839451599</v>
      </c>
      <c r="C201" s="5">
        <v>44310.593790824401</v>
      </c>
      <c r="D201" s="4" t="s">
        <v>98</v>
      </c>
      <c r="E201" s="4" t="s">
        <v>496</v>
      </c>
      <c r="F201" s="4" t="s">
        <v>101</v>
      </c>
      <c r="G201" s="4">
        <f t="shared" ca="1" si="9"/>
        <v>73</v>
      </c>
      <c r="H201" s="4">
        <v>2</v>
      </c>
      <c r="I201">
        <f t="shared" ca="1" si="10"/>
        <v>146</v>
      </c>
      <c r="J201">
        <f t="shared" si="11"/>
        <v>4</v>
      </c>
      <c r="K201" t="str">
        <f>VLOOKUP(E201,地区表!$A$2:$C$255,3,FALSE)</f>
        <v>华东</v>
      </c>
      <c r="L201" s="23" t="str" cm="1">
        <f t="array" ref="L201:N201">_xlfn.TEXTSPLIT(A201,"-")</f>
        <v>CN</v>
      </c>
      <c r="M201" s="22" t="str">
        <v>2851</v>
      </c>
      <c r="N201" s="22" t="str">
        <v>4662338</v>
      </c>
    </row>
    <row r="202" spans="1:14" ht="15.6">
      <c r="A202" s="4" t="s">
        <v>495</v>
      </c>
      <c r="B202" s="5">
        <v>44307.536866586197</v>
      </c>
      <c r="C202" s="5">
        <v>44310.885264295997</v>
      </c>
      <c r="D202" s="4" t="s">
        <v>98</v>
      </c>
      <c r="E202" s="4" t="s">
        <v>496</v>
      </c>
      <c r="F202" s="4" t="s">
        <v>109</v>
      </c>
      <c r="G202" s="4">
        <f t="shared" ca="1" si="9"/>
        <v>70</v>
      </c>
      <c r="H202" s="4">
        <v>5</v>
      </c>
      <c r="I202">
        <f t="shared" ca="1" si="10"/>
        <v>350</v>
      </c>
      <c r="J202">
        <f t="shared" si="11"/>
        <v>4</v>
      </c>
      <c r="K202" t="str">
        <f>VLOOKUP(E202,地区表!$A$2:$C$255,3,FALSE)</f>
        <v>华东</v>
      </c>
      <c r="L202" s="23" t="str" cm="1">
        <f t="array" ref="L202:N202">_xlfn.TEXTSPLIT(A202,"-")</f>
        <v>CN</v>
      </c>
      <c r="M202" s="22" t="str">
        <v>2851</v>
      </c>
      <c r="N202" s="22" t="str">
        <v>4662338</v>
      </c>
    </row>
    <row r="203" spans="1:14" ht="15.6">
      <c r="A203" s="4" t="s">
        <v>495</v>
      </c>
      <c r="B203" s="5">
        <v>44307.637181697399</v>
      </c>
      <c r="C203" s="5">
        <v>44310.951106726498</v>
      </c>
      <c r="D203" s="4" t="s">
        <v>98</v>
      </c>
      <c r="E203" s="4" t="s">
        <v>496</v>
      </c>
      <c r="F203" s="4" t="s">
        <v>100</v>
      </c>
      <c r="G203" s="4">
        <f t="shared" ca="1" si="9"/>
        <v>65</v>
      </c>
      <c r="H203" s="4">
        <v>2</v>
      </c>
      <c r="I203">
        <f t="shared" ca="1" si="10"/>
        <v>130</v>
      </c>
      <c r="J203">
        <f t="shared" si="11"/>
        <v>4</v>
      </c>
      <c r="K203" t="str">
        <f>VLOOKUP(E203,地区表!$A$2:$C$255,3,FALSE)</f>
        <v>华东</v>
      </c>
      <c r="L203" s="23" t="str" cm="1">
        <f t="array" ref="L203:N203">_xlfn.TEXTSPLIT(A203,"-")</f>
        <v>CN</v>
      </c>
      <c r="M203" s="22" t="str">
        <v>2851</v>
      </c>
      <c r="N203" s="22" t="str">
        <v>4662338</v>
      </c>
    </row>
    <row r="204" spans="1:14" ht="15.6">
      <c r="A204" s="4" t="s">
        <v>495</v>
      </c>
      <c r="B204" s="5">
        <v>44307.740716102402</v>
      </c>
      <c r="C204" s="5">
        <v>44310.8354307915</v>
      </c>
      <c r="D204" s="4" t="s">
        <v>98</v>
      </c>
      <c r="E204" s="4" t="s">
        <v>496</v>
      </c>
      <c r="F204" s="4" t="s">
        <v>96</v>
      </c>
      <c r="G204" s="4">
        <f t="shared" ca="1" si="9"/>
        <v>12</v>
      </c>
      <c r="H204" s="4">
        <v>6</v>
      </c>
      <c r="I204">
        <f t="shared" ca="1" si="10"/>
        <v>72</v>
      </c>
      <c r="J204">
        <f t="shared" si="11"/>
        <v>4</v>
      </c>
      <c r="K204" t="str">
        <f>VLOOKUP(E204,地区表!$A$2:$C$255,3,FALSE)</f>
        <v>华东</v>
      </c>
      <c r="L204" s="23" t="str" cm="1">
        <f t="array" ref="L204:N204">_xlfn.TEXTSPLIT(A204,"-")</f>
        <v>CN</v>
      </c>
      <c r="M204" s="22" t="str">
        <v>2851</v>
      </c>
      <c r="N204" s="22" t="str">
        <v>4662338</v>
      </c>
    </row>
    <row r="205" spans="1:14" ht="15.6">
      <c r="A205" s="4" t="s">
        <v>495</v>
      </c>
      <c r="B205" s="5">
        <v>44307.759016553697</v>
      </c>
      <c r="C205" s="5">
        <v>44310.013581553001</v>
      </c>
      <c r="D205" s="4" t="s">
        <v>98</v>
      </c>
      <c r="E205" s="4" t="s">
        <v>496</v>
      </c>
      <c r="F205" s="4" t="s">
        <v>111</v>
      </c>
      <c r="G205" s="4">
        <f t="shared" ca="1" si="9"/>
        <v>66</v>
      </c>
      <c r="H205" s="4">
        <v>2</v>
      </c>
      <c r="I205">
        <f t="shared" ca="1" si="10"/>
        <v>132</v>
      </c>
      <c r="J205">
        <f t="shared" si="11"/>
        <v>4</v>
      </c>
      <c r="K205" t="str">
        <f>VLOOKUP(E205,地区表!$A$2:$C$255,3,FALSE)</f>
        <v>华东</v>
      </c>
      <c r="L205" s="23" t="str" cm="1">
        <f t="array" ref="L205:N205">_xlfn.TEXTSPLIT(A205,"-")</f>
        <v>CN</v>
      </c>
      <c r="M205" s="22" t="str">
        <v>2851</v>
      </c>
      <c r="N205" s="22" t="str">
        <v>4662338</v>
      </c>
    </row>
    <row r="206" spans="1:14" ht="15.6">
      <c r="A206" s="4" t="s">
        <v>495</v>
      </c>
      <c r="B206" s="5">
        <v>44307.9952977145</v>
      </c>
      <c r="C206" s="5">
        <v>44310.702397667199</v>
      </c>
      <c r="D206" s="4" t="s">
        <v>98</v>
      </c>
      <c r="E206" s="4" t="s">
        <v>496</v>
      </c>
      <c r="F206" s="4" t="s">
        <v>121</v>
      </c>
      <c r="G206" s="4">
        <f t="shared" ca="1" si="9"/>
        <v>81</v>
      </c>
      <c r="H206" s="4">
        <v>2</v>
      </c>
      <c r="I206">
        <f t="shared" ca="1" si="10"/>
        <v>162</v>
      </c>
      <c r="J206">
        <f t="shared" si="11"/>
        <v>4</v>
      </c>
      <c r="K206" t="str">
        <f>VLOOKUP(E206,地区表!$A$2:$C$255,3,FALSE)</f>
        <v>华东</v>
      </c>
      <c r="L206" s="23" t="str" cm="1">
        <f t="array" ref="L206:N206">_xlfn.TEXTSPLIT(A206,"-")</f>
        <v>CN</v>
      </c>
      <c r="M206" s="22" t="str">
        <v>2851</v>
      </c>
      <c r="N206" s="22" t="str">
        <v>4662338</v>
      </c>
    </row>
    <row r="207" spans="1:14" ht="15.6">
      <c r="A207" s="4" t="s">
        <v>495</v>
      </c>
      <c r="B207" s="5">
        <v>44307.752120869802</v>
      </c>
      <c r="C207" s="5">
        <v>44310.571411463898</v>
      </c>
      <c r="D207" s="4" t="s">
        <v>98</v>
      </c>
      <c r="E207" s="4" t="s">
        <v>496</v>
      </c>
      <c r="F207" s="4" t="s">
        <v>135</v>
      </c>
      <c r="G207" s="4">
        <f t="shared" ca="1" si="9"/>
        <v>50</v>
      </c>
      <c r="H207" s="4">
        <v>3</v>
      </c>
      <c r="I207">
        <f t="shared" ca="1" si="10"/>
        <v>150</v>
      </c>
      <c r="J207">
        <f t="shared" si="11"/>
        <v>4</v>
      </c>
      <c r="K207" t="str">
        <f>VLOOKUP(E207,地区表!$A$2:$C$255,3,FALSE)</f>
        <v>华东</v>
      </c>
      <c r="L207" s="23" t="str" cm="1">
        <f t="array" ref="L207:N207">_xlfn.TEXTSPLIT(A207,"-")</f>
        <v>CN</v>
      </c>
      <c r="M207" s="22" t="str">
        <v>2851</v>
      </c>
      <c r="N207" s="22" t="str">
        <v>4662338</v>
      </c>
    </row>
    <row r="208" spans="1:14" ht="15.6">
      <c r="A208" s="4" t="s">
        <v>840</v>
      </c>
      <c r="B208" s="5">
        <v>45209.119270844902</v>
      </c>
      <c r="C208" s="5">
        <v>45210.691139639297</v>
      </c>
      <c r="D208" s="4" t="s">
        <v>94</v>
      </c>
      <c r="E208" s="4" t="s">
        <v>841</v>
      </c>
      <c r="F208" s="4" t="s">
        <v>96</v>
      </c>
      <c r="G208" s="4">
        <f t="shared" ca="1" si="9"/>
        <v>63</v>
      </c>
      <c r="H208" s="4">
        <v>3</v>
      </c>
      <c r="I208">
        <f t="shared" ca="1" si="10"/>
        <v>189</v>
      </c>
      <c r="J208">
        <f t="shared" si="11"/>
        <v>10</v>
      </c>
      <c r="K208" t="str">
        <f>VLOOKUP(E208,地区表!$A$2:$C$255,3,FALSE)</f>
        <v>华东</v>
      </c>
      <c r="L208" s="23" t="str" cm="1">
        <f t="array" ref="L208:N208">_xlfn.TEXTSPLIT(A208,"-")</f>
        <v>CN</v>
      </c>
      <c r="M208" s="22" t="str">
        <v>2658</v>
      </c>
      <c r="N208" s="22" t="str">
        <v>3873167</v>
      </c>
    </row>
    <row r="209" spans="1:14" ht="15.6">
      <c r="A209" s="4" t="s">
        <v>809</v>
      </c>
      <c r="B209" s="5">
        <v>44784.434524906697</v>
      </c>
      <c r="C209" s="5">
        <v>44790.611229298003</v>
      </c>
      <c r="D209" s="4" t="s">
        <v>94</v>
      </c>
      <c r="E209" s="4" t="s">
        <v>810</v>
      </c>
      <c r="F209" s="4" t="s">
        <v>141</v>
      </c>
      <c r="G209" s="4">
        <f t="shared" ca="1" si="9"/>
        <v>97</v>
      </c>
      <c r="H209" s="4">
        <v>1</v>
      </c>
      <c r="I209">
        <f t="shared" ca="1" si="10"/>
        <v>97</v>
      </c>
      <c r="J209">
        <f t="shared" si="11"/>
        <v>8</v>
      </c>
      <c r="K209" t="str">
        <f>VLOOKUP(E209,地区表!$A$2:$C$255,3,FALSE)</f>
        <v>华东</v>
      </c>
      <c r="L209" s="23" t="str" cm="1">
        <f t="array" ref="L209:N209">_xlfn.TEXTSPLIT(A209,"-")</f>
        <v>CN</v>
      </c>
      <c r="M209" s="22" t="str">
        <v>2233</v>
      </c>
      <c r="N209" s="22" t="str">
        <v>3900153</v>
      </c>
    </row>
    <row r="210" spans="1:14" ht="15.6">
      <c r="A210" s="4" t="s">
        <v>327</v>
      </c>
      <c r="B210" s="5">
        <v>44885.307738649397</v>
      </c>
      <c r="C210" s="5">
        <v>44889.843007117801</v>
      </c>
      <c r="D210" s="4" t="s">
        <v>98</v>
      </c>
      <c r="E210" s="4" t="s">
        <v>328</v>
      </c>
      <c r="F210" s="4" t="s">
        <v>125</v>
      </c>
      <c r="G210" s="4">
        <f t="shared" ca="1" si="9"/>
        <v>94</v>
      </c>
      <c r="H210" s="4">
        <v>6</v>
      </c>
      <c r="I210">
        <f t="shared" ca="1" si="10"/>
        <v>564</v>
      </c>
      <c r="J210">
        <f t="shared" si="11"/>
        <v>11</v>
      </c>
      <c r="K210" t="str">
        <f>VLOOKUP(E210,地区表!$A$2:$C$255,3,FALSE)</f>
        <v>华东</v>
      </c>
      <c r="L210" s="23" t="str" cm="1">
        <f t="array" ref="L210:N210">_xlfn.TEXTSPLIT(A210,"-")</f>
        <v>CN</v>
      </c>
      <c r="M210" s="22" t="str">
        <v>2334</v>
      </c>
      <c r="N210" s="22" t="str">
        <v>1255631</v>
      </c>
    </row>
    <row r="211" spans="1:14" ht="15.6">
      <c r="A211" s="4" t="s">
        <v>327</v>
      </c>
      <c r="B211" s="5">
        <v>44885.743427354602</v>
      </c>
      <c r="C211" s="5">
        <v>44889.918569039299</v>
      </c>
      <c r="D211" s="4" t="s">
        <v>98</v>
      </c>
      <c r="E211" s="4" t="s">
        <v>328</v>
      </c>
      <c r="F211" s="4" t="s">
        <v>122</v>
      </c>
      <c r="G211" s="4">
        <f t="shared" ca="1" si="9"/>
        <v>46</v>
      </c>
      <c r="H211" s="4">
        <v>4</v>
      </c>
      <c r="I211">
        <f t="shared" ca="1" si="10"/>
        <v>184</v>
      </c>
      <c r="J211">
        <f t="shared" si="11"/>
        <v>11</v>
      </c>
      <c r="K211" t="str">
        <f>VLOOKUP(E211,地区表!$A$2:$C$255,3,FALSE)</f>
        <v>华东</v>
      </c>
      <c r="L211" s="23" t="str" cm="1">
        <f t="array" ref="L211:N211">_xlfn.TEXTSPLIT(A211,"-")</f>
        <v>CN</v>
      </c>
      <c r="M211" s="22" t="str">
        <v>2334</v>
      </c>
      <c r="N211" s="22" t="str">
        <v>1255631</v>
      </c>
    </row>
    <row r="212" spans="1:14" ht="15.6">
      <c r="A212" s="4" t="s">
        <v>698</v>
      </c>
      <c r="B212" s="5">
        <v>44648.243409042603</v>
      </c>
      <c r="C212" s="5">
        <v>44648.4173933567</v>
      </c>
      <c r="D212" s="4" t="s">
        <v>98</v>
      </c>
      <c r="E212" s="4" t="s">
        <v>328</v>
      </c>
      <c r="F212" s="4" t="s">
        <v>111</v>
      </c>
      <c r="G212" s="4">
        <f t="shared" ca="1" si="9"/>
        <v>86</v>
      </c>
      <c r="H212" s="4">
        <v>5</v>
      </c>
      <c r="I212">
        <f t="shared" ca="1" si="10"/>
        <v>430</v>
      </c>
      <c r="J212">
        <f t="shared" si="11"/>
        <v>3</v>
      </c>
      <c r="K212" t="str">
        <f>VLOOKUP(E212,地区表!$A$2:$C$255,3,FALSE)</f>
        <v>华东</v>
      </c>
      <c r="L212" s="23" t="str" cm="1">
        <f t="array" ref="L212:N212">_xlfn.TEXTSPLIT(A212,"-")</f>
        <v>CN</v>
      </c>
      <c r="M212" s="22" t="str">
        <v>3192</v>
      </c>
      <c r="N212" s="22" t="str">
        <v>3289723</v>
      </c>
    </row>
    <row r="213" spans="1:14" ht="15.6">
      <c r="A213" s="4" t="s">
        <v>549</v>
      </c>
      <c r="B213" s="5">
        <v>44355.278141690702</v>
      </c>
      <c r="C213" s="5">
        <v>44359.7710035563</v>
      </c>
      <c r="D213" s="4" t="s">
        <v>98</v>
      </c>
      <c r="E213" s="4" t="s">
        <v>550</v>
      </c>
      <c r="F213" s="4" t="s">
        <v>109</v>
      </c>
      <c r="G213" s="4">
        <f t="shared" ca="1" si="9"/>
        <v>92</v>
      </c>
      <c r="H213" s="4">
        <v>2</v>
      </c>
      <c r="I213">
        <f t="shared" ca="1" si="10"/>
        <v>184</v>
      </c>
      <c r="J213">
        <f t="shared" si="11"/>
        <v>6</v>
      </c>
      <c r="K213" t="str">
        <f>VLOOKUP(E213,地区表!$A$2:$C$255,3,FALSE)</f>
        <v>中南</v>
      </c>
      <c r="L213" s="23" t="str" cm="1">
        <f t="array" ref="L213:N213">_xlfn.TEXTSPLIT(A213,"-")</f>
        <v>CN</v>
      </c>
      <c r="M213" s="22" t="str">
        <v>2899</v>
      </c>
      <c r="N213" s="22" t="str">
        <v>2210906</v>
      </c>
    </row>
    <row r="214" spans="1:14" ht="15.6">
      <c r="A214" s="4" t="s">
        <v>549</v>
      </c>
      <c r="B214" s="5">
        <v>44355.796876321903</v>
      </c>
      <c r="C214" s="5">
        <v>44359.427861905897</v>
      </c>
      <c r="D214" s="4" t="s">
        <v>98</v>
      </c>
      <c r="E214" s="4" t="s">
        <v>550</v>
      </c>
      <c r="F214" s="4" t="s">
        <v>122</v>
      </c>
      <c r="G214" s="4">
        <f t="shared" ca="1" si="9"/>
        <v>90</v>
      </c>
      <c r="H214" s="4">
        <v>3</v>
      </c>
      <c r="I214">
        <f t="shared" ca="1" si="10"/>
        <v>270</v>
      </c>
      <c r="J214">
        <f t="shared" si="11"/>
        <v>6</v>
      </c>
      <c r="K214" t="str">
        <f>VLOOKUP(E214,地区表!$A$2:$C$255,3,FALSE)</f>
        <v>中南</v>
      </c>
      <c r="L214" s="23" t="str" cm="1">
        <f t="array" ref="L214:N214">_xlfn.TEXTSPLIT(A214,"-")</f>
        <v>CN</v>
      </c>
      <c r="M214" s="22" t="str">
        <v>2899</v>
      </c>
      <c r="N214" s="22" t="str">
        <v>2210906</v>
      </c>
    </row>
    <row r="215" spans="1:14" ht="15.6">
      <c r="A215" s="4" t="s">
        <v>549</v>
      </c>
      <c r="B215" s="5">
        <v>44355.651442459799</v>
      </c>
      <c r="C215" s="5">
        <v>44359.245855403897</v>
      </c>
      <c r="D215" s="4" t="s">
        <v>98</v>
      </c>
      <c r="E215" s="4" t="s">
        <v>550</v>
      </c>
      <c r="F215" s="4" t="s">
        <v>135</v>
      </c>
      <c r="G215" s="4">
        <f t="shared" ca="1" si="9"/>
        <v>35</v>
      </c>
      <c r="H215" s="4">
        <v>3</v>
      </c>
      <c r="I215">
        <f t="shared" ca="1" si="10"/>
        <v>105</v>
      </c>
      <c r="J215">
        <f t="shared" si="11"/>
        <v>6</v>
      </c>
      <c r="K215" t="str">
        <f>VLOOKUP(E215,地区表!$A$2:$C$255,3,FALSE)</f>
        <v>中南</v>
      </c>
      <c r="L215" s="23" t="str" cm="1">
        <f t="array" ref="L215:N215">_xlfn.TEXTSPLIT(A215,"-")</f>
        <v>CN</v>
      </c>
      <c r="M215" s="22" t="str">
        <v>2899</v>
      </c>
      <c r="N215" s="22" t="str">
        <v>2210906</v>
      </c>
    </row>
    <row r="216" spans="1:14" ht="15.6">
      <c r="A216" s="4" t="s">
        <v>289</v>
      </c>
      <c r="B216" s="5">
        <v>45220.371248498603</v>
      </c>
      <c r="C216" s="5">
        <v>45225.662835801901</v>
      </c>
      <c r="D216" s="4" t="s">
        <v>114</v>
      </c>
      <c r="E216" s="4" t="s">
        <v>290</v>
      </c>
      <c r="F216" s="4" t="s">
        <v>144</v>
      </c>
      <c r="G216" s="4">
        <f t="shared" ca="1" si="9"/>
        <v>50</v>
      </c>
      <c r="H216" s="4">
        <v>3</v>
      </c>
      <c r="I216">
        <f t="shared" ca="1" si="10"/>
        <v>150</v>
      </c>
      <c r="J216">
        <f t="shared" si="11"/>
        <v>10</v>
      </c>
      <c r="K216" t="str">
        <f>VLOOKUP(E216,地区表!$A$2:$C$255,3,FALSE)</f>
        <v>华东</v>
      </c>
      <c r="L216" s="23" t="str" cm="1">
        <f t="array" ref="L216:N216">_xlfn.TEXTSPLIT(A216,"-")</f>
        <v>US</v>
      </c>
      <c r="M216" s="22" t="str">
        <v>2669</v>
      </c>
      <c r="N216" s="22" t="str">
        <v>3065733</v>
      </c>
    </row>
    <row r="217" spans="1:14" ht="15.6">
      <c r="A217" s="4" t="s">
        <v>735</v>
      </c>
      <c r="B217" s="5">
        <v>44844.349594749401</v>
      </c>
      <c r="C217" s="5">
        <v>44846.078039444998</v>
      </c>
      <c r="D217" s="4" t="s">
        <v>98</v>
      </c>
      <c r="E217" s="4" t="s">
        <v>290</v>
      </c>
      <c r="F217" s="4" t="s">
        <v>131</v>
      </c>
      <c r="G217" s="4">
        <f t="shared" ca="1" si="9"/>
        <v>53</v>
      </c>
      <c r="H217" s="4">
        <v>10</v>
      </c>
      <c r="I217">
        <f t="shared" ca="1" si="10"/>
        <v>530</v>
      </c>
      <c r="J217">
        <f t="shared" si="11"/>
        <v>10</v>
      </c>
      <c r="K217" t="str">
        <f>VLOOKUP(E217,地区表!$A$2:$C$255,3,FALSE)</f>
        <v>华东</v>
      </c>
      <c r="L217" s="23" t="str" cm="1">
        <f t="array" ref="L217:N217">_xlfn.TEXTSPLIT(A217,"-")</f>
        <v>CN</v>
      </c>
      <c r="M217" s="22" t="str">
        <v>2293</v>
      </c>
      <c r="N217" s="22" t="str">
        <v>2558627</v>
      </c>
    </row>
    <row r="218" spans="1:14" ht="15.6">
      <c r="A218" s="4" t="s">
        <v>342</v>
      </c>
      <c r="B218" s="5">
        <v>44319.416649087303</v>
      </c>
      <c r="C218" s="5">
        <v>44323.788674715397</v>
      </c>
      <c r="D218" s="4" t="s">
        <v>94</v>
      </c>
      <c r="E218" s="4" t="s">
        <v>343</v>
      </c>
      <c r="F218" s="4" t="s">
        <v>110</v>
      </c>
      <c r="G218" s="4">
        <f t="shared" ca="1" si="9"/>
        <v>29</v>
      </c>
      <c r="H218" s="4">
        <v>6</v>
      </c>
      <c r="I218">
        <f t="shared" ca="1" si="10"/>
        <v>174</v>
      </c>
      <c r="J218">
        <f t="shared" si="11"/>
        <v>5</v>
      </c>
      <c r="K218" t="str">
        <f>VLOOKUP(E218,地区表!$A$2:$C$255,3,FALSE)</f>
        <v>华东</v>
      </c>
      <c r="L218" s="23" t="str" cm="1">
        <f t="array" ref="L218:N218">_xlfn.TEXTSPLIT(A218,"-")</f>
        <v>CN</v>
      </c>
      <c r="M218" s="22" t="str">
        <v>2863</v>
      </c>
      <c r="N218" s="22" t="str">
        <v>4725073</v>
      </c>
    </row>
    <row r="219" spans="1:14" ht="15.6">
      <c r="A219" s="4" t="s">
        <v>342</v>
      </c>
      <c r="B219" s="5">
        <v>44319.353023568103</v>
      </c>
      <c r="C219" s="5">
        <v>44323.012379599</v>
      </c>
      <c r="D219" s="4" t="s">
        <v>94</v>
      </c>
      <c r="E219" s="4" t="s">
        <v>343</v>
      </c>
      <c r="F219" s="4" t="s">
        <v>135</v>
      </c>
      <c r="G219" s="4">
        <f t="shared" ca="1" si="9"/>
        <v>19</v>
      </c>
      <c r="H219" s="4">
        <v>4</v>
      </c>
      <c r="I219">
        <f t="shared" ca="1" si="10"/>
        <v>76</v>
      </c>
      <c r="J219">
        <f t="shared" si="11"/>
        <v>5</v>
      </c>
      <c r="K219" t="str">
        <f>VLOOKUP(E219,地区表!$A$2:$C$255,3,FALSE)</f>
        <v>华东</v>
      </c>
      <c r="L219" s="23" t="str" cm="1">
        <f t="array" ref="L219:N219">_xlfn.TEXTSPLIT(A219,"-")</f>
        <v>CN</v>
      </c>
      <c r="M219" s="22" t="str">
        <v>2863</v>
      </c>
      <c r="N219" s="22" t="str">
        <v>4725073</v>
      </c>
    </row>
    <row r="220" spans="1:14" ht="15.6">
      <c r="A220" s="4" t="s">
        <v>342</v>
      </c>
      <c r="B220" s="5">
        <v>44319.436436177501</v>
      </c>
      <c r="C220" s="5">
        <v>44323.902858019901</v>
      </c>
      <c r="D220" s="4" t="s">
        <v>94</v>
      </c>
      <c r="E220" s="4" t="s">
        <v>343</v>
      </c>
      <c r="F220" s="4" t="s">
        <v>109</v>
      </c>
      <c r="G220" s="4">
        <f t="shared" ca="1" si="9"/>
        <v>69</v>
      </c>
      <c r="H220" s="4">
        <v>4</v>
      </c>
      <c r="I220">
        <f t="shared" ca="1" si="10"/>
        <v>276</v>
      </c>
      <c r="J220">
        <f t="shared" si="11"/>
        <v>5</v>
      </c>
      <c r="K220" t="str">
        <f>VLOOKUP(E220,地区表!$A$2:$C$255,3,FALSE)</f>
        <v>华东</v>
      </c>
      <c r="L220" s="23" t="str" cm="1">
        <f t="array" ref="L220:N220">_xlfn.TEXTSPLIT(A220,"-")</f>
        <v>CN</v>
      </c>
      <c r="M220" s="22" t="str">
        <v>2863</v>
      </c>
      <c r="N220" s="22" t="str">
        <v>4725073</v>
      </c>
    </row>
    <row r="221" spans="1:14" ht="15.6">
      <c r="A221" s="4" t="s">
        <v>342</v>
      </c>
      <c r="B221" s="5">
        <v>44319.846773182602</v>
      </c>
      <c r="C221" s="5">
        <v>44323.501392054903</v>
      </c>
      <c r="D221" s="4" t="s">
        <v>94</v>
      </c>
      <c r="E221" s="4" t="s">
        <v>343</v>
      </c>
      <c r="F221" s="4" t="s">
        <v>110</v>
      </c>
      <c r="G221" s="4">
        <f t="shared" ca="1" si="9"/>
        <v>88</v>
      </c>
      <c r="H221" s="4">
        <v>5</v>
      </c>
      <c r="I221">
        <f t="shared" ca="1" si="10"/>
        <v>440</v>
      </c>
      <c r="J221">
        <f t="shared" si="11"/>
        <v>5</v>
      </c>
      <c r="K221" t="str">
        <f>VLOOKUP(E221,地区表!$A$2:$C$255,3,FALSE)</f>
        <v>华东</v>
      </c>
      <c r="L221" s="23" t="str" cm="1">
        <f t="array" ref="L221:N221">_xlfn.TEXTSPLIT(A221,"-")</f>
        <v>CN</v>
      </c>
      <c r="M221" s="22" t="str">
        <v>2863</v>
      </c>
      <c r="N221" s="22" t="str">
        <v>4725073</v>
      </c>
    </row>
    <row r="222" spans="1:14" ht="15.6">
      <c r="A222" s="4" t="s">
        <v>149</v>
      </c>
      <c r="B222" s="5">
        <v>44313.999014020199</v>
      </c>
      <c r="C222" s="5">
        <v>44315.8467729435</v>
      </c>
      <c r="D222" s="4" t="s">
        <v>98</v>
      </c>
      <c r="E222" s="4" t="s">
        <v>150</v>
      </c>
      <c r="F222" s="4" t="s">
        <v>106</v>
      </c>
      <c r="G222" s="4">
        <f t="shared" ca="1" si="9"/>
        <v>47</v>
      </c>
      <c r="H222" s="4">
        <v>9</v>
      </c>
      <c r="I222">
        <f t="shared" ca="1" si="10"/>
        <v>423</v>
      </c>
      <c r="J222">
        <f t="shared" si="11"/>
        <v>4</v>
      </c>
      <c r="K222" t="str">
        <f>VLOOKUP(E222,地区表!$A$2:$C$255,3,FALSE)</f>
        <v>东北</v>
      </c>
      <c r="L222" s="23" t="str" cm="1">
        <f t="array" ref="L222:N222">_xlfn.TEXTSPLIT(A222,"-")</f>
        <v>CN</v>
      </c>
      <c r="M222" s="22" t="str">
        <v>2857</v>
      </c>
      <c r="N222" s="22" t="str">
        <v>4054371</v>
      </c>
    </row>
    <row r="223" spans="1:14" ht="15.6">
      <c r="A223" s="4" t="s">
        <v>246</v>
      </c>
      <c r="B223" s="5">
        <v>44263.599899802597</v>
      </c>
      <c r="C223" s="5">
        <v>44266.707074805199</v>
      </c>
      <c r="D223" s="4" t="s">
        <v>98</v>
      </c>
      <c r="E223" s="4" t="s">
        <v>150</v>
      </c>
      <c r="F223" s="4" t="s">
        <v>118</v>
      </c>
      <c r="G223" s="4">
        <f t="shared" ca="1" si="9"/>
        <v>46</v>
      </c>
      <c r="H223" s="4">
        <v>1</v>
      </c>
      <c r="I223">
        <f t="shared" ca="1" si="10"/>
        <v>46</v>
      </c>
      <c r="J223">
        <f t="shared" si="11"/>
        <v>3</v>
      </c>
      <c r="K223" t="str">
        <f>VLOOKUP(E223,地区表!$A$2:$C$255,3,FALSE)</f>
        <v>东北</v>
      </c>
      <c r="L223" s="23" t="str" cm="1">
        <f t="array" ref="L223:N223">_xlfn.TEXTSPLIT(A223,"-")</f>
        <v>CN</v>
      </c>
      <c r="M223" s="22" t="str">
        <v>2807</v>
      </c>
      <c r="N223" s="22" t="str">
        <v>1190387</v>
      </c>
    </row>
    <row r="224" spans="1:14" ht="15.6">
      <c r="A224" s="4" t="s">
        <v>249</v>
      </c>
      <c r="B224" s="5">
        <v>44973.294191736401</v>
      </c>
      <c r="C224" s="5">
        <v>44978.821013576002</v>
      </c>
      <c r="D224" s="4" t="s">
        <v>94</v>
      </c>
      <c r="E224" s="4" t="s">
        <v>150</v>
      </c>
      <c r="F224" s="4" t="s">
        <v>106</v>
      </c>
      <c r="G224" s="4">
        <f t="shared" ca="1" si="9"/>
        <v>71</v>
      </c>
      <c r="H224" s="4">
        <v>11</v>
      </c>
      <c r="I224">
        <f t="shared" ca="1" si="10"/>
        <v>781</v>
      </c>
      <c r="J224">
        <f t="shared" si="11"/>
        <v>2</v>
      </c>
      <c r="K224" t="str">
        <f>VLOOKUP(E224,地区表!$A$2:$C$255,3,FALSE)</f>
        <v>东北</v>
      </c>
      <c r="L224" s="23" t="str" cm="1">
        <f t="array" ref="L224:N224">_xlfn.TEXTSPLIT(A224,"-")</f>
        <v>CN</v>
      </c>
      <c r="M224" s="22" t="str">
        <v>2422</v>
      </c>
      <c r="N224" s="22" t="str">
        <v>5873075</v>
      </c>
    </row>
    <row r="225" spans="1:14" ht="15.6">
      <c r="A225" s="4" t="s">
        <v>443</v>
      </c>
      <c r="B225" s="5">
        <v>44563.385437012803</v>
      </c>
      <c r="C225" s="5">
        <v>44568.401858355799</v>
      </c>
      <c r="D225" s="4" t="s">
        <v>114</v>
      </c>
      <c r="E225" s="4" t="s">
        <v>444</v>
      </c>
      <c r="F225" s="4" t="s">
        <v>101</v>
      </c>
      <c r="G225" s="4">
        <f t="shared" ca="1" si="9"/>
        <v>42</v>
      </c>
      <c r="H225" s="4">
        <v>7</v>
      </c>
      <c r="I225">
        <f t="shared" ca="1" si="10"/>
        <v>294</v>
      </c>
      <c r="J225">
        <f t="shared" si="11"/>
        <v>1</v>
      </c>
      <c r="K225" t="str">
        <f>VLOOKUP(E225,地区表!$A$2:$C$255,3,FALSE)</f>
        <v>中南</v>
      </c>
      <c r="L225" s="23" t="str" cm="1">
        <f t="array" ref="L225:N225">_xlfn.TEXTSPLIT(A225,"-")</f>
        <v>CN</v>
      </c>
      <c r="M225" s="22" t="str">
        <v>2011</v>
      </c>
      <c r="N225" s="22" t="str">
        <v>2829745</v>
      </c>
    </row>
    <row r="226" spans="1:14" ht="15.6">
      <c r="A226" s="4" t="s">
        <v>443</v>
      </c>
      <c r="B226" s="5">
        <v>44563.612540463</v>
      </c>
      <c r="C226" s="5">
        <v>44568.808124844298</v>
      </c>
      <c r="D226" s="4" t="s">
        <v>114</v>
      </c>
      <c r="E226" s="4" t="s">
        <v>444</v>
      </c>
      <c r="F226" s="4" t="s">
        <v>141</v>
      </c>
      <c r="G226" s="4">
        <f t="shared" ca="1" si="9"/>
        <v>86</v>
      </c>
      <c r="H226" s="4">
        <v>5</v>
      </c>
      <c r="I226">
        <f t="shared" ca="1" si="10"/>
        <v>430</v>
      </c>
      <c r="J226">
        <f t="shared" si="11"/>
        <v>1</v>
      </c>
      <c r="K226" t="str">
        <f>VLOOKUP(E226,地区表!$A$2:$C$255,3,FALSE)</f>
        <v>中南</v>
      </c>
      <c r="L226" s="23" t="str" cm="1">
        <f t="array" ref="L226:N226">_xlfn.TEXTSPLIT(A226,"-")</f>
        <v>CN</v>
      </c>
      <c r="M226" s="22" t="str">
        <v>2011</v>
      </c>
      <c r="N226" s="22" t="str">
        <v>2829745</v>
      </c>
    </row>
    <row r="227" spans="1:14" ht="15.6">
      <c r="A227" s="4" t="s">
        <v>443</v>
      </c>
      <c r="B227" s="5">
        <v>44563.591463350502</v>
      </c>
      <c r="C227" s="5">
        <v>44568.339728617299</v>
      </c>
      <c r="D227" s="4" t="s">
        <v>114</v>
      </c>
      <c r="E227" s="4" t="s">
        <v>444</v>
      </c>
      <c r="F227" s="4" t="s">
        <v>130</v>
      </c>
      <c r="G227" s="4">
        <f t="shared" ca="1" si="9"/>
        <v>15</v>
      </c>
      <c r="H227" s="4">
        <v>3</v>
      </c>
      <c r="I227">
        <f t="shared" ca="1" si="10"/>
        <v>45</v>
      </c>
      <c r="J227">
        <f t="shared" si="11"/>
        <v>1</v>
      </c>
      <c r="K227" t="str">
        <f>VLOOKUP(E227,地区表!$A$2:$C$255,3,FALSE)</f>
        <v>中南</v>
      </c>
      <c r="L227" s="23" t="str" cm="1">
        <f t="array" ref="L227:N227">_xlfn.TEXTSPLIT(A227,"-")</f>
        <v>CN</v>
      </c>
      <c r="M227" s="22" t="str">
        <v>2011</v>
      </c>
      <c r="N227" s="22" t="str">
        <v>2829745</v>
      </c>
    </row>
    <row r="228" spans="1:14" ht="15.6">
      <c r="A228" s="4" t="s">
        <v>443</v>
      </c>
      <c r="B228" s="5">
        <v>44563.646404970103</v>
      </c>
      <c r="C228" s="5">
        <v>44568.594185208203</v>
      </c>
      <c r="D228" s="4" t="s">
        <v>114</v>
      </c>
      <c r="E228" s="4" t="s">
        <v>444</v>
      </c>
      <c r="F228" s="4" t="s">
        <v>135</v>
      </c>
      <c r="G228" s="4">
        <f t="shared" ca="1" si="9"/>
        <v>28</v>
      </c>
      <c r="H228" s="4">
        <v>7</v>
      </c>
      <c r="I228">
        <f t="shared" ca="1" si="10"/>
        <v>196</v>
      </c>
      <c r="J228">
        <f t="shared" si="11"/>
        <v>1</v>
      </c>
      <c r="K228" t="str">
        <f>VLOOKUP(E228,地区表!$A$2:$C$255,3,FALSE)</f>
        <v>中南</v>
      </c>
      <c r="L228" s="23" t="str" cm="1">
        <f t="array" ref="L228:N228">_xlfn.TEXTSPLIT(A228,"-")</f>
        <v>CN</v>
      </c>
      <c r="M228" s="22" t="str">
        <v>2011</v>
      </c>
      <c r="N228" s="22" t="str">
        <v>2829745</v>
      </c>
    </row>
    <row r="229" spans="1:14" ht="15.6">
      <c r="A229" s="4" t="s">
        <v>443</v>
      </c>
      <c r="B229" s="5">
        <v>44563.5839543033</v>
      </c>
      <c r="C229" s="5">
        <v>44568.729594554199</v>
      </c>
      <c r="D229" s="4" t="s">
        <v>114</v>
      </c>
      <c r="E229" s="4" t="s">
        <v>444</v>
      </c>
      <c r="F229" s="4" t="s">
        <v>106</v>
      </c>
      <c r="G229" s="4">
        <f t="shared" ca="1" si="9"/>
        <v>45</v>
      </c>
      <c r="H229" s="4">
        <v>12</v>
      </c>
      <c r="I229">
        <f t="shared" ca="1" si="10"/>
        <v>540</v>
      </c>
      <c r="J229">
        <f t="shared" si="11"/>
        <v>1</v>
      </c>
      <c r="K229" t="str">
        <f>VLOOKUP(E229,地区表!$A$2:$C$255,3,FALSE)</f>
        <v>中南</v>
      </c>
      <c r="L229" s="23" t="str" cm="1">
        <f t="array" ref="L229:N229">_xlfn.TEXTSPLIT(A229,"-")</f>
        <v>CN</v>
      </c>
      <c r="M229" s="22" t="str">
        <v>2011</v>
      </c>
      <c r="N229" s="22" t="str">
        <v>2829745</v>
      </c>
    </row>
    <row r="230" spans="1:14" ht="15.6">
      <c r="A230" s="4" t="s">
        <v>845</v>
      </c>
      <c r="B230" s="5">
        <v>44602.142746062302</v>
      </c>
      <c r="C230" s="5">
        <v>44607.6324212861</v>
      </c>
      <c r="D230" s="4" t="s">
        <v>98</v>
      </c>
      <c r="E230" s="4" t="s">
        <v>444</v>
      </c>
      <c r="F230" s="4" t="s">
        <v>135</v>
      </c>
      <c r="G230" s="4">
        <f t="shared" ca="1" si="9"/>
        <v>33</v>
      </c>
      <c r="H230" s="4">
        <v>3</v>
      </c>
      <c r="I230">
        <f t="shared" ca="1" si="10"/>
        <v>99</v>
      </c>
      <c r="J230">
        <f t="shared" si="11"/>
        <v>2</v>
      </c>
      <c r="K230" t="str">
        <f>VLOOKUP(E230,地区表!$A$2:$C$255,3,FALSE)</f>
        <v>中南</v>
      </c>
      <c r="L230" s="23" t="str" cm="1">
        <f t="array" ref="L230:N230">_xlfn.TEXTSPLIT(A230,"-")</f>
        <v>CN</v>
      </c>
      <c r="M230" s="22" t="str">
        <v>3146</v>
      </c>
      <c r="N230" s="22" t="str">
        <v>1512811</v>
      </c>
    </row>
    <row r="231" spans="1:14" ht="15.6">
      <c r="A231" s="4" t="s">
        <v>618</v>
      </c>
      <c r="B231" s="5">
        <v>45233.4636688881</v>
      </c>
      <c r="C231" s="5">
        <v>45238.9120437073</v>
      </c>
      <c r="D231" s="4" t="s">
        <v>114</v>
      </c>
      <c r="E231" s="4" t="s">
        <v>619</v>
      </c>
      <c r="F231" s="4" t="s">
        <v>109</v>
      </c>
      <c r="G231" s="4">
        <f t="shared" ca="1" si="9"/>
        <v>60</v>
      </c>
      <c r="H231" s="4">
        <v>5</v>
      </c>
      <c r="I231">
        <f t="shared" ca="1" si="10"/>
        <v>300</v>
      </c>
      <c r="J231">
        <f t="shared" si="11"/>
        <v>11</v>
      </c>
      <c r="K231" t="str">
        <f>VLOOKUP(E231,地区表!$A$2:$C$255,3,FALSE)</f>
        <v>东北</v>
      </c>
      <c r="L231" s="23" t="str" cm="1">
        <f t="array" ref="L231:N231">_xlfn.TEXTSPLIT(A231,"-")</f>
        <v>CN</v>
      </c>
      <c r="M231" s="22" t="str">
        <v>1951</v>
      </c>
      <c r="N231" s="22" t="str">
        <v>1529712</v>
      </c>
    </row>
    <row r="232" spans="1:14" ht="15.6">
      <c r="A232" s="4" t="s">
        <v>232</v>
      </c>
      <c r="B232" s="5">
        <v>44337.827570788198</v>
      </c>
      <c r="C232" s="5">
        <v>44342.874205697997</v>
      </c>
      <c r="D232" s="4" t="s">
        <v>98</v>
      </c>
      <c r="E232" s="4" t="s">
        <v>233</v>
      </c>
      <c r="F232" s="4" t="s">
        <v>101</v>
      </c>
      <c r="G232" s="4">
        <f t="shared" ca="1" si="9"/>
        <v>98</v>
      </c>
      <c r="H232" s="4">
        <v>4</v>
      </c>
      <c r="I232">
        <f t="shared" ca="1" si="10"/>
        <v>392</v>
      </c>
      <c r="J232">
        <f t="shared" si="11"/>
        <v>5</v>
      </c>
      <c r="K232" t="str">
        <f>VLOOKUP(E232,地区表!$A$2:$C$255,3,FALSE)</f>
        <v>西北</v>
      </c>
      <c r="L232" s="23" t="str" cm="1">
        <f t="array" ref="L232:N232">_xlfn.TEXTSPLIT(A232,"-")</f>
        <v>US</v>
      </c>
      <c r="M232" s="22" t="str">
        <v>2881</v>
      </c>
      <c r="N232" s="22" t="str">
        <v>4736051</v>
      </c>
    </row>
    <row r="233" spans="1:14" ht="15.6">
      <c r="A233" s="4" t="s">
        <v>300</v>
      </c>
      <c r="B233" s="5">
        <v>44770.087122048702</v>
      </c>
      <c r="C233" s="5">
        <v>44777.228604918702</v>
      </c>
      <c r="D233" s="4" t="s">
        <v>114</v>
      </c>
      <c r="E233" s="4" t="s">
        <v>233</v>
      </c>
      <c r="F233" s="4" t="s">
        <v>96</v>
      </c>
      <c r="G233" s="4">
        <f t="shared" ca="1" si="9"/>
        <v>48</v>
      </c>
      <c r="H233" s="4">
        <v>9</v>
      </c>
      <c r="I233">
        <f t="shared" ca="1" si="10"/>
        <v>432</v>
      </c>
      <c r="J233">
        <f t="shared" si="11"/>
        <v>7</v>
      </c>
      <c r="K233" t="str">
        <f>VLOOKUP(E233,地区表!$A$2:$C$255,3,FALSE)</f>
        <v>西北</v>
      </c>
      <c r="L233" s="23" t="str" cm="1">
        <f t="array" ref="L233:N233">_xlfn.TEXTSPLIT(A233,"-")</f>
        <v>US</v>
      </c>
      <c r="M233" s="22" t="str">
        <v>2219</v>
      </c>
      <c r="N233" s="22" t="str">
        <v>5033587</v>
      </c>
    </row>
    <row r="234" spans="1:14" ht="15.6">
      <c r="A234" s="4" t="s">
        <v>300</v>
      </c>
      <c r="B234" s="5">
        <v>44770.3673005483</v>
      </c>
      <c r="C234" s="5">
        <v>44777.609317521601</v>
      </c>
      <c r="D234" s="4" t="s">
        <v>114</v>
      </c>
      <c r="E234" s="4" t="s">
        <v>233</v>
      </c>
      <c r="F234" s="4" t="s">
        <v>135</v>
      </c>
      <c r="G234" s="4">
        <f t="shared" ca="1" si="9"/>
        <v>47</v>
      </c>
      <c r="H234" s="4">
        <v>3</v>
      </c>
      <c r="I234">
        <f t="shared" ca="1" si="10"/>
        <v>141</v>
      </c>
      <c r="J234">
        <f t="shared" si="11"/>
        <v>7</v>
      </c>
      <c r="K234" t="str">
        <f>VLOOKUP(E234,地区表!$A$2:$C$255,3,FALSE)</f>
        <v>西北</v>
      </c>
      <c r="L234" s="23" t="str" cm="1">
        <f t="array" ref="L234:N234">_xlfn.TEXTSPLIT(A234,"-")</f>
        <v>US</v>
      </c>
      <c r="M234" s="22" t="str">
        <v>2219</v>
      </c>
      <c r="N234" s="22" t="str">
        <v>5033587</v>
      </c>
    </row>
    <row r="235" spans="1:14" ht="15.6">
      <c r="A235" s="4" t="s">
        <v>347</v>
      </c>
      <c r="B235" s="5">
        <v>44833.719002950304</v>
      </c>
      <c r="C235" s="5">
        <v>44835.209743437503</v>
      </c>
      <c r="D235" s="4" t="s">
        <v>114</v>
      </c>
      <c r="E235" s="4" t="s">
        <v>233</v>
      </c>
      <c r="F235" s="4" t="s">
        <v>130</v>
      </c>
      <c r="G235" s="4">
        <f t="shared" ca="1" si="9"/>
        <v>21</v>
      </c>
      <c r="H235" s="4">
        <v>7</v>
      </c>
      <c r="I235">
        <f t="shared" ca="1" si="10"/>
        <v>147</v>
      </c>
      <c r="J235">
        <f t="shared" si="11"/>
        <v>9</v>
      </c>
      <c r="K235" t="str">
        <f>VLOOKUP(E235,地区表!$A$2:$C$255,3,FALSE)</f>
        <v>西北</v>
      </c>
      <c r="L235" s="23" t="str" cm="1">
        <f t="array" ref="L235:N235">_xlfn.TEXTSPLIT(A235,"-")</f>
        <v>CN</v>
      </c>
      <c r="M235" s="22" t="str">
        <v>2282</v>
      </c>
      <c r="N235" s="22" t="str">
        <v>4251154</v>
      </c>
    </row>
    <row r="236" spans="1:14" ht="15.6">
      <c r="A236" s="4" t="s">
        <v>453</v>
      </c>
      <c r="B236" s="5">
        <v>44612.755246094603</v>
      </c>
      <c r="C236" s="5">
        <v>44616.605076684798</v>
      </c>
      <c r="D236" s="4" t="s">
        <v>98</v>
      </c>
      <c r="E236" s="4" t="s">
        <v>233</v>
      </c>
      <c r="F236" s="4" t="s">
        <v>121</v>
      </c>
      <c r="G236" s="4">
        <f t="shared" ca="1" si="9"/>
        <v>34</v>
      </c>
      <c r="H236" s="4">
        <v>7</v>
      </c>
      <c r="I236">
        <f t="shared" ca="1" si="10"/>
        <v>238</v>
      </c>
      <c r="J236">
        <f t="shared" si="11"/>
        <v>2</v>
      </c>
      <c r="K236" t="str">
        <f>VLOOKUP(E236,地区表!$A$2:$C$255,3,FALSE)</f>
        <v>西北</v>
      </c>
      <c r="L236" s="23" t="str" cm="1">
        <f t="array" ref="L236:N236">_xlfn.TEXTSPLIT(A236,"-")</f>
        <v>US</v>
      </c>
      <c r="M236" s="22" t="str">
        <v>2060</v>
      </c>
      <c r="N236" s="22" t="str">
        <v>2531621</v>
      </c>
    </row>
    <row r="237" spans="1:14" ht="15.6">
      <c r="A237" s="4" t="s">
        <v>453</v>
      </c>
      <c r="B237" s="5">
        <v>44612.816514022299</v>
      </c>
      <c r="C237" s="5">
        <v>44616.696861092598</v>
      </c>
      <c r="D237" s="4" t="s">
        <v>98</v>
      </c>
      <c r="E237" s="4" t="s">
        <v>233</v>
      </c>
      <c r="F237" s="4" t="s">
        <v>109</v>
      </c>
      <c r="G237" s="4">
        <f t="shared" ca="1" si="9"/>
        <v>90</v>
      </c>
      <c r="H237" s="4">
        <v>5</v>
      </c>
      <c r="I237">
        <f t="shared" ca="1" si="10"/>
        <v>450</v>
      </c>
      <c r="J237">
        <f t="shared" si="11"/>
        <v>2</v>
      </c>
      <c r="K237" t="str">
        <f>VLOOKUP(E237,地区表!$A$2:$C$255,3,FALSE)</f>
        <v>西北</v>
      </c>
      <c r="L237" s="23" t="str" cm="1">
        <f t="array" ref="L237:N237">_xlfn.TEXTSPLIT(A237,"-")</f>
        <v>US</v>
      </c>
      <c r="M237" s="22" t="str">
        <v>2060</v>
      </c>
      <c r="N237" s="22" t="str">
        <v>2531621</v>
      </c>
    </row>
    <row r="238" spans="1:14" ht="15.6">
      <c r="A238" s="4" t="s">
        <v>453</v>
      </c>
      <c r="B238" s="5">
        <v>44612.7067363475</v>
      </c>
      <c r="C238" s="5">
        <v>44616.725188853197</v>
      </c>
      <c r="D238" s="4" t="s">
        <v>98</v>
      </c>
      <c r="E238" s="4" t="s">
        <v>233</v>
      </c>
      <c r="F238" s="4" t="s">
        <v>110</v>
      </c>
      <c r="G238" s="4">
        <f t="shared" ca="1" si="9"/>
        <v>21</v>
      </c>
      <c r="H238" s="4">
        <v>3</v>
      </c>
      <c r="I238">
        <f t="shared" ca="1" si="10"/>
        <v>63</v>
      </c>
      <c r="J238">
        <f t="shared" si="11"/>
        <v>2</v>
      </c>
      <c r="K238" t="str">
        <f>VLOOKUP(E238,地区表!$A$2:$C$255,3,FALSE)</f>
        <v>西北</v>
      </c>
      <c r="L238" s="23" t="str" cm="1">
        <f t="array" ref="L238:N238">_xlfn.TEXTSPLIT(A238,"-")</f>
        <v>US</v>
      </c>
      <c r="M238" s="22" t="str">
        <v>2060</v>
      </c>
      <c r="N238" s="22" t="str">
        <v>2531621</v>
      </c>
    </row>
    <row r="239" spans="1:14" ht="15.6">
      <c r="A239" s="4" t="s">
        <v>651</v>
      </c>
      <c r="B239" s="5">
        <v>44939.728629612597</v>
      </c>
      <c r="C239" s="5">
        <v>44943.310584550898</v>
      </c>
      <c r="D239" s="4" t="s">
        <v>94</v>
      </c>
      <c r="E239" s="4" t="s">
        <v>233</v>
      </c>
      <c r="F239" s="4" t="s">
        <v>96</v>
      </c>
      <c r="G239" s="4">
        <f t="shared" ca="1" si="9"/>
        <v>67</v>
      </c>
      <c r="H239" s="4">
        <v>3</v>
      </c>
      <c r="I239">
        <f t="shared" ca="1" si="10"/>
        <v>201</v>
      </c>
      <c r="J239">
        <f t="shared" si="11"/>
        <v>1</v>
      </c>
      <c r="K239" t="str">
        <f>VLOOKUP(E239,地区表!$A$2:$C$255,3,FALSE)</f>
        <v>西北</v>
      </c>
      <c r="L239" s="23" t="str" cm="1">
        <f t="array" ref="L239:N239">_xlfn.TEXTSPLIT(A239,"-")</f>
        <v>US</v>
      </c>
      <c r="M239" s="22" t="str">
        <v>2388</v>
      </c>
      <c r="N239" s="22" t="str">
        <v>3074981</v>
      </c>
    </row>
    <row r="240" spans="1:14" ht="15.6">
      <c r="A240" s="4" t="s">
        <v>194</v>
      </c>
      <c r="B240" s="5">
        <v>45257.425645098199</v>
      </c>
      <c r="C240" s="5">
        <v>45257.3959661716</v>
      </c>
      <c r="D240" s="4" t="s">
        <v>98</v>
      </c>
      <c r="E240" s="4" t="s">
        <v>195</v>
      </c>
      <c r="F240" s="4" t="s">
        <v>131</v>
      </c>
      <c r="G240" s="4">
        <f t="shared" ca="1" si="9"/>
        <v>73</v>
      </c>
      <c r="H240" s="4">
        <v>6</v>
      </c>
      <c r="I240">
        <f t="shared" ca="1" si="10"/>
        <v>438</v>
      </c>
      <c r="J240">
        <f t="shared" si="11"/>
        <v>11</v>
      </c>
      <c r="K240" t="str">
        <f>VLOOKUP(E240,地区表!$A$2:$C$255,3,FALSE)</f>
        <v>西南</v>
      </c>
      <c r="L240" s="23" t="str" cm="1">
        <f t="array" ref="L240:N240">_xlfn.TEXTSPLIT(A240,"-")</f>
        <v>CN</v>
      </c>
      <c r="M240" s="22" t="str">
        <v>2706</v>
      </c>
      <c r="N240" s="22" t="str">
        <v>5552260</v>
      </c>
    </row>
    <row r="241" spans="1:14" ht="15.6">
      <c r="A241" s="4" t="s">
        <v>315</v>
      </c>
      <c r="B241" s="5">
        <v>44670.596347337101</v>
      </c>
      <c r="C241" s="5">
        <v>44674.605265553597</v>
      </c>
      <c r="D241" s="4" t="s">
        <v>98</v>
      </c>
      <c r="E241" s="4" t="s">
        <v>316</v>
      </c>
      <c r="F241" s="4" t="s">
        <v>96</v>
      </c>
      <c r="G241" s="4">
        <f t="shared" ca="1" si="9"/>
        <v>16</v>
      </c>
      <c r="H241" s="4">
        <v>2</v>
      </c>
      <c r="I241">
        <f t="shared" ca="1" si="10"/>
        <v>32</v>
      </c>
      <c r="J241">
        <f t="shared" si="11"/>
        <v>4</v>
      </c>
      <c r="K241" t="str">
        <f>VLOOKUP(E241,地区表!$A$2:$C$255,3,FALSE)</f>
        <v>华北</v>
      </c>
      <c r="L241" s="23" t="str" cm="1">
        <f t="array" ref="L241:N241">_xlfn.TEXTSPLIT(A241,"-")</f>
        <v>CN</v>
      </c>
      <c r="M241" s="22" t="str">
        <v>2119</v>
      </c>
      <c r="N241" s="22" t="str">
        <v>5340374</v>
      </c>
    </row>
    <row r="242" spans="1:14" ht="15.6">
      <c r="A242" s="4" t="s">
        <v>652</v>
      </c>
      <c r="B242" s="5">
        <v>45237.543694384702</v>
      </c>
      <c r="C242" s="5">
        <v>45241.096399663496</v>
      </c>
      <c r="D242" s="4" t="s">
        <v>98</v>
      </c>
      <c r="E242" s="4" t="s">
        <v>316</v>
      </c>
      <c r="F242" s="4" t="s">
        <v>122</v>
      </c>
      <c r="G242" s="4">
        <f t="shared" ca="1" si="9"/>
        <v>79</v>
      </c>
      <c r="H242" s="4">
        <v>3</v>
      </c>
      <c r="I242">
        <f t="shared" ca="1" si="10"/>
        <v>237</v>
      </c>
      <c r="J242">
        <f t="shared" si="11"/>
        <v>11</v>
      </c>
      <c r="K242" t="str">
        <f>VLOOKUP(E242,地区表!$A$2:$C$255,3,FALSE)</f>
        <v>华北</v>
      </c>
      <c r="L242" s="23" t="str" cm="1">
        <f t="array" ref="L242:N242">_xlfn.TEXTSPLIT(A242,"-")</f>
        <v>CN</v>
      </c>
      <c r="M242" s="22" t="str">
        <v>1955</v>
      </c>
      <c r="N242" s="22" t="str">
        <v>2919347</v>
      </c>
    </row>
    <row r="243" spans="1:14" ht="15.6">
      <c r="A243" s="4" t="s">
        <v>226</v>
      </c>
      <c r="B243" s="5">
        <v>45108.290660801002</v>
      </c>
      <c r="C243" s="5">
        <v>45113.570874375502</v>
      </c>
      <c r="D243" s="4" t="s">
        <v>94</v>
      </c>
      <c r="E243" s="4" t="s">
        <v>227</v>
      </c>
      <c r="F243" s="4" t="s">
        <v>118</v>
      </c>
      <c r="G243" s="4">
        <f t="shared" ca="1" si="9"/>
        <v>30</v>
      </c>
      <c r="H243" s="4">
        <v>5</v>
      </c>
      <c r="I243">
        <f t="shared" ca="1" si="10"/>
        <v>150</v>
      </c>
      <c r="J243">
        <f t="shared" si="11"/>
        <v>7</v>
      </c>
      <c r="K243" t="str">
        <f>VLOOKUP(E243,地区表!$A$2:$C$255,3,FALSE)</f>
        <v>中南</v>
      </c>
      <c r="L243" s="23" t="str" cm="1">
        <f t="array" ref="L243:N243">_xlfn.TEXTSPLIT(A243,"-")</f>
        <v>CN</v>
      </c>
      <c r="M243" s="22" t="str">
        <v>2557</v>
      </c>
      <c r="N243" s="22" t="str">
        <v>3815654</v>
      </c>
    </row>
    <row r="244" spans="1:14" ht="15.6">
      <c r="A244" s="4" t="s">
        <v>788</v>
      </c>
      <c r="B244" s="5">
        <v>44203.5616196802</v>
      </c>
      <c r="C244" s="5">
        <v>44205.887945803399</v>
      </c>
      <c r="D244" s="4" t="s">
        <v>98</v>
      </c>
      <c r="E244" s="4" t="s">
        <v>789</v>
      </c>
      <c r="F244" s="4" t="s">
        <v>118</v>
      </c>
      <c r="G244" s="4">
        <f t="shared" ca="1" si="9"/>
        <v>54</v>
      </c>
      <c r="H244" s="4">
        <v>1</v>
      </c>
      <c r="I244">
        <f t="shared" ca="1" si="10"/>
        <v>54</v>
      </c>
      <c r="J244">
        <f t="shared" si="11"/>
        <v>1</v>
      </c>
      <c r="K244" t="str">
        <f>VLOOKUP(E244,地区表!$A$2:$C$255,3,FALSE)</f>
        <v>华东</v>
      </c>
      <c r="L244" s="23" t="str" cm="1">
        <f t="array" ref="L244:N244">_xlfn.TEXTSPLIT(A244,"-")</f>
        <v>CN</v>
      </c>
      <c r="M244" s="22" t="str">
        <v>2747</v>
      </c>
      <c r="N244" s="22" t="str">
        <v>2828219</v>
      </c>
    </row>
    <row r="245" spans="1:14" ht="15.6">
      <c r="A245" s="4" t="s">
        <v>788</v>
      </c>
      <c r="B245" s="5">
        <v>44203.531223595703</v>
      </c>
      <c r="C245" s="5">
        <v>44205.146604687703</v>
      </c>
      <c r="D245" s="4" t="s">
        <v>98</v>
      </c>
      <c r="E245" s="4" t="s">
        <v>789</v>
      </c>
      <c r="F245" s="4" t="s">
        <v>122</v>
      </c>
      <c r="G245" s="4">
        <f t="shared" ca="1" si="9"/>
        <v>56</v>
      </c>
      <c r="H245" s="4">
        <v>2</v>
      </c>
      <c r="I245">
        <f t="shared" ca="1" si="10"/>
        <v>112</v>
      </c>
      <c r="J245">
        <f t="shared" si="11"/>
        <v>1</v>
      </c>
      <c r="K245" t="str">
        <f>VLOOKUP(E245,地区表!$A$2:$C$255,3,FALSE)</f>
        <v>华东</v>
      </c>
      <c r="L245" s="23" t="str" cm="1">
        <f t="array" ref="L245:N245">_xlfn.TEXTSPLIT(A245,"-")</f>
        <v>CN</v>
      </c>
      <c r="M245" s="22" t="str">
        <v>2747</v>
      </c>
      <c r="N245" s="22" t="str">
        <v>2828219</v>
      </c>
    </row>
    <row r="246" spans="1:14" ht="15.6">
      <c r="A246" s="4" t="s">
        <v>788</v>
      </c>
      <c r="B246" s="5">
        <v>44203.078980293401</v>
      </c>
      <c r="C246" s="5">
        <v>44205.623316874298</v>
      </c>
      <c r="D246" s="4" t="s">
        <v>98</v>
      </c>
      <c r="E246" s="4" t="s">
        <v>789</v>
      </c>
      <c r="F246" s="4" t="s">
        <v>135</v>
      </c>
      <c r="G246" s="4">
        <f t="shared" ca="1" si="9"/>
        <v>65</v>
      </c>
      <c r="H246" s="4">
        <v>3</v>
      </c>
      <c r="I246">
        <f t="shared" ca="1" si="10"/>
        <v>195</v>
      </c>
      <c r="J246">
        <f t="shared" si="11"/>
        <v>1</v>
      </c>
      <c r="K246" t="str">
        <f>VLOOKUP(E246,地区表!$A$2:$C$255,3,FALSE)</f>
        <v>华东</v>
      </c>
      <c r="L246" s="23" t="str" cm="1">
        <f t="array" ref="L246:N246">_xlfn.TEXTSPLIT(A246,"-")</f>
        <v>CN</v>
      </c>
      <c r="M246" s="22" t="str">
        <v>2747</v>
      </c>
      <c r="N246" s="22" t="str">
        <v>2828219</v>
      </c>
    </row>
    <row r="247" spans="1:14" ht="15.6">
      <c r="A247" s="4" t="s">
        <v>788</v>
      </c>
      <c r="B247" s="5">
        <v>44203.773981598002</v>
      </c>
      <c r="C247" s="5">
        <v>44205.860384327803</v>
      </c>
      <c r="D247" s="4" t="s">
        <v>98</v>
      </c>
      <c r="E247" s="4" t="s">
        <v>789</v>
      </c>
      <c r="F247" s="4" t="s">
        <v>135</v>
      </c>
      <c r="G247" s="4">
        <f t="shared" ca="1" si="9"/>
        <v>93</v>
      </c>
      <c r="H247" s="4">
        <v>3</v>
      </c>
      <c r="I247">
        <f t="shared" ca="1" si="10"/>
        <v>279</v>
      </c>
      <c r="J247">
        <f t="shared" si="11"/>
        <v>1</v>
      </c>
      <c r="K247" t="str">
        <f>VLOOKUP(E247,地区表!$A$2:$C$255,3,FALSE)</f>
        <v>华东</v>
      </c>
      <c r="L247" s="23" t="str" cm="1">
        <f t="array" ref="L247:N247">_xlfn.TEXTSPLIT(A247,"-")</f>
        <v>CN</v>
      </c>
      <c r="M247" s="22" t="str">
        <v>2747</v>
      </c>
      <c r="N247" s="22" t="str">
        <v>2828219</v>
      </c>
    </row>
    <row r="248" spans="1:14" ht="15.6">
      <c r="A248" s="4" t="s">
        <v>788</v>
      </c>
      <c r="B248" s="5">
        <v>44203.214158623603</v>
      </c>
      <c r="C248" s="5">
        <v>44205.753749492702</v>
      </c>
      <c r="D248" s="4" t="s">
        <v>98</v>
      </c>
      <c r="E248" s="4" t="s">
        <v>789</v>
      </c>
      <c r="F248" s="4" t="s">
        <v>121</v>
      </c>
      <c r="G248" s="4">
        <f t="shared" ca="1" si="9"/>
        <v>33</v>
      </c>
      <c r="H248" s="4">
        <v>3</v>
      </c>
      <c r="I248">
        <f t="shared" ca="1" si="10"/>
        <v>99</v>
      </c>
      <c r="J248">
        <f t="shared" si="11"/>
        <v>1</v>
      </c>
      <c r="K248" t="str">
        <f>VLOOKUP(E248,地区表!$A$2:$C$255,3,FALSE)</f>
        <v>华东</v>
      </c>
      <c r="L248" s="23" t="str" cm="1">
        <f t="array" ref="L248:N248">_xlfn.TEXTSPLIT(A248,"-")</f>
        <v>CN</v>
      </c>
      <c r="M248" s="22" t="str">
        <v>2747</v>
      </c>
      <c r="N248" s="22" t="str">
        <v>2828219</v>
      </c>
    </row>
    <row r="249" spans="1:14" ht="15.6">
      <c r="A249" s="4" t="s">
        <v>688</v>
      </c>
      <c r="B249" s="5">
        <v>45117.407263663597</v>
      </c>
      <c r="C249" s="5">
        <v>45121.536723424499</v>
      </c>
      <c r="D249" s="4" t="s">
        <v>94</v>
      </c>
      <c r="E249" s="4" t="s">
        <v>689</v>
      </c>
      <c r="F249" s="4" t="s">
        <v>101</v>
      </c>
      <c r="G249" s="4">
        <f t="shared" ca="1" si="9"/>
        <v>15</v>
      </c>
      <c r="H249" s="4">
        <v>8</v>
      </c>
      <c r="I249">
        <f t="shared" ca="1" si="10"/>
        <v>120</v>
      </c>
      <c r="J249">
        <f t="shared" si="11"/>
        <v>7</v>
      </c>
      <c r="K249" t="str">
        <f>VLOOKUP(E249,地区表!$A$2:$C$255,3,FALSE)</f>
        <v>华东</v>
      </c>
      <c r="L249" s="23" t="str" cm="1">
        <f t="array" ref="L249:N249">_xlfn.TEXTSPLIT(A249,"-")</f>
        <v>CN</v>
      </c>
      <c r="M249" s="22" t="str">
        <v>1835</v>
      </c>
      <c r="N249" s="22" t="str">
        <v>4448319</v>
      </c>
    </row>
    <row r="250" spans="1:14" ht="15.6">
      <c r="A250" s="4" t="s">
        <v>688</v>
      </c>
      <c r="B250" s="5">
        <v>45117.685565272499</v>
      </c>
      <c r="C250" s="5">
        <v>45121.714022010397</v>
      </c>
      <c r="D250" s="4" t="s">
        <v>94</v>
      </c>
      <c r="E250" s="4" t="s">
        <v>689</v>
      </c>
      <c r="F250" s="4" t="s">
        <v>110</v>
      </c>
      <c r="G250" s="4">
        <f t="shared" ca="1" si="9"/>
        <v>56</v>
      </c>
      <c r="H250" s="4">
        <v>3</v>
      </c>
      <c r="I250">
        <f t="shared" ca="1" si="10"/>
        <v>168</v>
      </c>
      <c r="J250">
        <f t="shared" si="11"/>
        <v>7</v>
      </c>
      <c r="K250" t="str">
        <f>VLOOKUP(E250,地区表!$A$2:$C$255,3,FALSE)</f>
        <v>华东</v>
      </c>
      <c r="L250" s="23" t="str" cm="1">
        <f t="array" ref="L250:N250">_xlfn.TEXTSPLIT(A250,"-")</f>
        <v>CN</v>
      </c>
      <c r="M250" s="22" t="str">
        <v>1835</v>
      </c>
      <c r="N250" s="22" t="str">
        <v>4448319</v>
      </c>
    </row>
    <row r="251" spans="1:14" ht="15.6">
      <c r="A251" s="4" t="s">
        <v>528</v>
      </c>
      <c r="B251" s="5">
        <v>44924.209947828298</v>
      </c>
      <c r="C251" s="5">
        <v>44926.910885951402</v>
      </c>
      <c r="D251" s="4" t="s">
        <v>98</v>
      </c>
      <c r="E251" s="4" t="s">
        <v>529</v>
      </c>
      <c r="F251" s="4" t="s">
        <v>100</v>
      </c>
      <c r="G251" s="4">
        <f t="shared" ca="1" si="9"/>
        <v>68</v>
      </c>
      <c r="H251" s="4">
        <v>8</v>
      </c>
      <c r="I251">
        <f t="shared" ca="1" si="10"/>
        <v>544</v>
      </c>
      <c r="J251">
        <f t="shared" si="11"/>
        <v>12</v>
      </c>
      <c r="K251" t="str">
        <f>VLOOKUP(E251,地区表!$A$2:$C$255,3,FALSE)</f>
        <v>东北</v>
      </c>
      <c r="L251" s="23" t="str" cm="1">
        <f t="array" ref="L251:N251">_xlfn.TEXTSPLIT(A251,"-")</f>
        <v>CN</v>
      </c>
      <c r="M251" s="22" t="str">
        <v>2373</v>
      </c>
      <c r="N251" s="22" t="str">
        <v>5308381</v>
      </c>
    </row>
    <row r="252" spans="1:14" ht="15.6">
      <c r="A252" s="4" t="s">
        <v>528</v>
      </c>
      <c r="B252" s="5">
        <v>44924.997163382497</v>
      </c>
      <c r="C252" s="5">
        <v>44926.7231835122</v>
      </c>
      <c r="D252" s="4" t="s">
        <v>98</v>
      </c>
      <c r="E252" s="4" t="s">
        <v>529</v>
      </c>
      <c r="F252" s="4" t="s">
        <v>110</v>
      </c>
      <c r="G252" s="4">
        <f t="shared" ca="1" si="9"/>
        <v>29</v>
      </c>
      <c r="H252" s="4">
        <v>5</v>
      </c>
      <c r="I252">
        <f t="shared" ca="1" si="10"/>
        <v>145</v>
      </c>
      <c r="J252">
        <f t="shared" si="11"/>
        <v>12</v>
      </c>
      <c r="K252" t="str">
        <f>VLOOKUP(E252,地区表!$A$2:$C$255,3,FALSE)</f>
        <v>东北</v>
      </c>
      <c r="L252" s="23" t="str" cm="1">
        <f t="array" ref="L252:N252">_xlfn.TEXTSPLIT(A252,"-")</f>
        <v>CN</v>
      </c>
      <c r="M252" s="22" t="str">
        <v>2373</v>
      </c>
      <c r="N252" s="22" t="str">
        <v>5308381</v>
      </c>
    </row>
    <row r="253" spans="1:14" ht="15.6">
      <c r="A253" s="4" t="s">
        <v>528</v>
      </c>
      <c r="B253" s="5">
        <v>44924.045778840999</v>
      </c>
      <c r="C253" s="5">
        <v>44926.014883987002</v>
      </c>
      <c r="D253" s="4" t="s">
        <v>98</v>
      </c>
      <c r="E253" s="4" t="s">
        <v>529</v>
      </c>
      <c r="F253" s="4" t="s">
        <v>110</v>
      </c>
      <c r="G253" s="4">
        <f t="shared" ca="1" si="9"/>
        <v>92</v>
      </c>
      <c r="H253" s="4">
        <v>1</v>
      </c>
      <c r="I253">
        <f t="shared" ca="1" si="10"/>
        <v>92</v>
      </c>
      <c r="J253">
        <f t="shared" si="11"/>
        <v>12</v>
      </c>
      <c r="K253" t="str">
        <f>VLOOKUP(E253,地区表!$A$2:$C$255,3,FALSE)</f>
        <v>东北</v>
      </c>
      <c r="L253" s="23" t="str" cm="1">
        <f t="array" ref="L253:N253">_xlfn.TEXTSPLIT(A253,"-")</f>
        <v>CN</v>
      </c>
      <c r="M253" s="22" t="str">
        <v>2373</v>
      </c>
      <c r="N253" s="22" t="str">
        <v>5308381</v>
      </c>
    </row>
    <row r="254" spans="1:14" ht="15.6">
      <c r="A254" s="4" t="s">
        <v>283</v>
      </c>
      <c r="B254" s="5">
        <v>44817.032803160502</v>
      </c>
      <c r="C254" s="5">
        <v>44823.755566232503</v>
      </c>
      <c r="D254" s="4" t="s">
        <v>94</v>
      </c>
      <c r="E254" s="4" t="s">
        <v>284</v>
      </c>
      <c r="F254" s="4" t="s">
        <v>111</v>
      </c>
      <c r="G254" s="4">
        <f t="shared" ca="1" si="9"/>
        <v>14</v>
      </c>
      <c r="H254" s="4">
        <v>2</v>
      </c>
      <c r="I254">
        <f t="shared" ca="1" si="10"/>
        <v>28</v>
      </c>
      <c r="J254">
        <f t="shared" si="11"/>
        <v>9</v>
      </c>
      <c r="K254" t="str">
        <f>VLOOKUP(E254,地区表!$A$2:$C$255,3,FALSE)</f>
        <v>华北</v>
      </c>
      <c r="L254" s="23" t="str" cm="1">
        <f t="array" ref="L254:N254">_xlfn.TEXTSPLIT(A254,"-")</f>
        <v>CN</v>
      </c>
      <c r="M254" s="22" t="str">
        <v>2266</v>
      </c>
      <c r="N254" s="22" t="str">
        <v>5172330</v>
      </c>
    </row>
    <row r="255" spans="1:14" ht="15.6">
      <c r="A255" s="4" t="s">
        <v>537</v>
      </c>
      <c r="B255" s="5">
        <v>44498.516318624002</v>
      </c>
      <c r="C255" s="5">
        <v>44505.936883813003</v>
      </c>
      <c r="D255" s="4" t="s">
        <v>94</v>
      </c>
      <c r="E255" s="4" t="s">
        <v>284</v>
      </c>
      <c r="F255" s="4" t="s">
        <v>118</v>
      </c>
      <c r="G255" s="4">
        <f t="shared" ca="1" si="9"/>
        <v>17</v>
      </c>
      <c r="H255" s="4">
        <v>2</v>
      </c>
      <c r="I255">
        <f t="shared" ca="1" si="10"/>
        <v>34</v>
      </c>
      <c r="J255">
        <f t="shared" si="11"/>
        <v>10</v>
      </c>
      <c r="K255" t="str">
        <f>VLOOKUP(E255,地区表!$A$2:$C$255,3,FALSE)</f>
        <v>华北</v>
      </c>
      <c r="L255" s="23" t="str" cm="1">
        <f t="array" ref="L255:N255">_xlfn.TEXTSPLIT(A255,"-")</f>
        <v>CN</v>
      </c>
      <c r="M255" s="22" t="str">
        <v>3042</v>
      </c>
      <c r="N255" s="22" t="str">
        <v>5592498</v>
      </c>
    </row>
    <row r="256" spans="1:14" ht="15.6">
      <c r="A256" s="4" t="s">
        <v>584</v>
      </c>
      <c r="B256" s="5">
        <v>44600.058376416797</v>
      </c>
      <c r="C256" s="5">
        <v>44602.511321183003</v>
      </c>
      <c r="D256" s="4" t="s">
        <v>114</v>
      </c>
      <c r="E256" s="4" t="s">
        <v>585</v>
      </c>
      <c r="F256" s="4" t="s">
        <v>141</v>
      </c>
      <c r="G256" s="4">
        <f t="shared" ca="1" si="9"/>
        <v>74</v>
      </c>
      <c r="H256" s="4">
        <v>2</v>
      </c>
      <c r="I256">
        <f t="shared" ca="1" si="10"/>
        <v>148</v>
      </c>
      <c r="J256">
        <f t="shared" si="11"/>
        <v>2</v>
      </c>
      <c r="K256" t="str">
        <f>VLOOKUP(E256,地区表!$A$2:$C$255,3,FALSE)</f>
        <v>西北</v>
      </c>
      <c r="L256" s="23" t="str" cm="1">
        <f t="array" ref="L256:N256">_xlfn.TEXTSPLIT(A256,"-")</f>
        <v>CN</v>
      </c>
      <c r="M256" s="22" t="str">
        <v>2048</v>
      </c>
      <c r="N256" s="22" t="str">
        <v>3969050</v>
      </c>
    </row>
    <row r="257" spans="1:14" ht="15.6">
      <c r="A257" s="4" t="s">
        <v>679</v>
      </c>
      <c r="B257" s="5">
        <v>44582.783415304999</v>
      </c>
      <c r="C257" s="5">
        <v>44584.386770454897</v>
      </c>
      <c r="D257" s="4" t="s">
        <v>98</v>
      </c>
      <c r="E257" s="4" t="s">
        <v>585</v>
      </c>
      <c r="F257" s="4" t="s">
        <v>121</v>
      </c>
      <c r="G257" s="4">
        <f t="shared" ca="1" si="9"/>
        <v>39</v>
      </c>
      <c r="H257" s="4">
        <v>3</v>
      </c>
      <c r="I257">
        <f t="shared" ca="1" si="10"/>
        <v>117</v>
      </c>
      <c r="J257">
        <f t="shared" si="11"/>
        <v>1</v>
      </c>
      <c r="K257" t="str">
        <f>VLOOKUP(E257,地区表!$A$2:$C$255,3,FALSE)</f>
        <v>西北</v>
      </c>
      <c r="L257" s="23" t="str" cm="1">
        <f t="array" ref="L257:N257">_xlfn.TEXTSPLIT(A257,"-")</f>
        <v>CN</v>
      </c>
      <c r="M257" s="22" t="str">
        <v>3126</v>
      </c>
      <c r="N257" s="22" t="str">
        <v>2883758</v>
      </c>
    </row>
    <row r="258" spans="1:14" ht="15.6">
      <c r="A258" s="4" t="s">
        <v>200</v>
      </c>
      <c r="B258" s="5">
        <v>44462.462910357601</v>
      </c>
      <c r="C258" s="5">
        <v>44465.229444411299</v>
      </c>
      <c r="D258" s="4" t="s">
        <v>98</v>
      </c>
      <c r="E258" s="4" t="s">
        <v>201</v>
      </c>
      <c r="F258" s="4" t="s">
        <v>96</v>
      </c>
      <c r="G258" s="4">
        <f t="shared" ref="G258:G321" ca="1" si="12">RANDBETWEEN(10,100)</f>
        <v>32</v>
      </c>
      <c r="H258" s="4">
        <v>3</v>
      </c>
      <c r="I258">
        <f t="shared" ca="1" si="10"/>
        <v>96</v>
      </c>
      <c r="J258">
        <f t="shared" si="11"/>
        <v>9</v>
      </c>
      <c r="K258" t="str">
        <f>VLOOKUP(E258,地区表!$A$2:$C$255,3,FALSE)</f>
        <v>华东</v>
      </c>
      <c r="L258" s="23" t="str" cm="1">
        <f t="array" ref="L258:N258">_xlfn.TEXTSPLIT(A258,"-")</f>
        <v>US</v>
      </c>
      <c r="M258" s="22" t="str">
        <v>3006</v>
      </c>
      <c r="N258" s="22" t="str">
        <v>4733722</v>
      </c>
    </row>
    <row r="259" spans="1:14" ht="15.6">
      <c r="A259" s="4" t="s">
        <v>200</v>
      </c>
      <c r="B259" s="5">
        <v>44462.488214974597</v>
      </c>
      <c r="C259" s="5">
        <v>44465.421119538099</v>
      </c>
      <c r="D259" s="4" t="s">
        <v>98</v>
      </c>
      <c r="E259" s="4" t="s">
        <v>201</v>
      </c>
      <c r="F259" s="4" t="s">
        <v>110</v>
      </c>
      <c r="G259" s="4">
        <f t="shared" ca="1" si="12"/>
        <v>99</v>
      </c>
      <c r="H259" s="4">
        <v>5</v>
      </c>
      <c r="I259">
        <f t="shared" ref="I259:I322" ca="1" si="13">G259*H259</f>
        <v>495</v>
      </c>
      <c r="J259">
        <f t="shared" ref="J259:J322" si="14">MONTH(B259)</f>
        <v>9</v>
      </c>
      <c r="K259" t="str">
        <f>VLOOKUP(E259,地区表!$A$2:$C$255,3,FALSE)</f>
        <v>华东</v>
      </c>
      <c r="L259" s="23" t="str" cm="1">
        <f t="array" ref="L259:N259">_xlfn.TEXTSPLIT(A259,"-")</f>
        <v>US</v>
      </c>
      <c r="M259" s="22" t="str">
        <v>3006</v>
      </c>
      <c r="N259" s="22" t="str">
        <v>4733722</v>
      </c>
    </row>
    <row r="260" spans="1:14" ht="15.6">
      <c r="A260" s="4" t="s">
        <v>200</v>
      </c>
      <c r="B260" s="5">
        <v>44462.743533654997</v>
      </c>
      <c r="C260" s="5">
        <v>44465.093213518099</v>
      </c>
      <c r="D260" s="4" t="s">
        <v>98</v>
      </c>
      <c r="E260" s="4" t="s">
        <v>201</v>
      </c>
      <c r="F260" s="4" t="s">
        <v>112</v>
      </c>
      <c r="G260" s="4">
        <f t="shared" ca="1" si="12"/>
        <v>20</v>
      </c>
      <c r="H260" s="4">
        <v>5</v>
      </c>
      <c r="I260">
        <f t="shared" ca="1" si="13"/>
        <v>100</v>
      </c>
      <c r="J260">
        <f t="shared" si="14"/>
        <v>9</v>
      </c>
      <c r="K260" t="str">
        <f>VLOOKUP(E260,地区表!$A$2:$C$255,3,FALSE)</f>
        <v>华东</v>
      </c>
      <c r="L260" s="23" t="str" cm="1">
        <f t="array" ref="L260:N260">_xlfn.TEXTSPLIT(A260,"-")</f>
        <v>US</v>
      </c>
      <c r="M260" s="22" t="str">
        <v>3006</v>
      </c>
      <c r="N260" s="22" t="str">
        <v>4733722</v>
      </c>
    </row>
    <row r="261" spans="1:14" ht="15.6">
      <c r="A261" s="4" t="s">
        <v>200</v>
      </c>
      <c r="B261" s="5">
        <v>44462.138453947897</v>
      </c>
      <c r="C261" s="5">
        <v>44465.076383983098</v>
      </c>
      <c r="D261" s="4" t="s">
        <v>98</v>
      </c>
      <c r="E261" s="4" t="s">
        <v>201</v>
      </c>
      <c r="F261" s="4" t="s">
        <v>100</v>
      </c>
      <c r="G261" s="4">
        <f t="shared" ca="1" si="12"/>
        <v>92</v>
      </c>
      <c r="H261" s="4">
        <v>3</v>
      </c>
      <c r="I261">
        <f t="shared" ca="1" si="13"/>
        <v>276</v>
      </c>
      <c r="J261">
        <f t="shared" si="14"/>
        <v>9</v>
      </c>
      <c r="K261" t="str">
        <f>VLOOKUP(E261,地区表!$A$2:$C$255,3,FALSE)</f>
        <v>华东</v>
      </c>
      <c r="L261" s="23" t="str" cm="1">
        <f t="array" ref="L261:N261">_xlfn.TEXTSPLIT(A261,"-")</f>
        <v>US</v>
      </c>
      <c r="M261" s="22" t="str">
        <v>3006</v>
      </c>
      <c r="N261" s="22" t="str">
        <v>4733722</v>
      </c>
    </row>
    <row r="262" spans="1:14" ht="15.6">
      <c r="A262" s="4" t="s">
        <v>200</v>
      </c>
      <c r="B262" s="5">
        <v>44462.205954742501</v>
      </c>
      <c r="C262" s="5">
        <v>44465.264423820598</v>
      </c>
      <c r="D262" s="4" t="s">
        <v>98</v>
      </c>
      <c r="E262" s="4" t="s">
        <v>201</v>
      </c>
      <c r="F262" s="4" t="s">
        <v>141</v>
      </c>
      <c r="G262" s="4">
        <f t="shared" ca="1" si="12"/>
        <v>58</v>
      </c>
      <c r="H262" s="4">
        <v>2</v>
      </c>
      <c r="I262">
        <f t="shared" ca="1" si="13"/>
        <v>116</v>
      </c>
      <c r="J262">
        <f t="shared" si="14"/>
        <v>9</v>
      </c>
      <c r="K262" t="str">
        <f>VLOOKUP(E262,地区表!$A$2:$C$255,3,FALSE)</f>
        <v>华东</v>
      </c>
      <c r="L262" s="23" t="str" cm="1">
        <f t="array" ref="L262:N262">_xlfn.TEXTSPLIT(A262,"-")</f>
        <v>US</v>
      </c>
      <c r="M262" s="22" t="str">
        <v>3006</v>
      </c>
      <c r="N262" s="22" t="str">
        <v>4733722</v>
      </c>
    </row>
    <row r="263" spans="1:14" ht="15.6">
      <c r="A263" s="4" t="s">
        <v>551</v>
      </c>
      <c r="B263" s="5">
        <v>44645.251807079097</v>
      </c>
      <c r="C263" s="5">
        <v>44651.9176074926</v>
      </c>
      <c r="D263" s="4" t="s">
        <v>94</v>
      </c>
      <c r="E263" s="4" t="s">
        <v>201</v>
      </c>
      <c r="F263" s="4" t="s">
        <v>100</v>
      </c>
      <c r="G263" s="4">
        <f t="shared" ca="1" si="12"/>
        <v>99</v>
      </c>
      <c r="H263" s="4">
        <v>2</v>
      </c>
      <c r="I263">
        <f t="shared" ca="1" si="13"/>
        <v>198</v>
      </c>
      <c r="J263">
        <f t="shared" si="14"/>
        <v>3</v>
      </c>
      <c r="K263" t="str">
        <f>VLOOKUP(E263,地区表!$A$2:$C$255,3,FALSE)</f>
        <v>华东</v>
      </c>
      <c r="L263" s="23" t="str" cm="1">
        <f t="array" ref="L263:N263">_xlfn.TEXTSPLIT(A263,"-")</f>
        <v>CN</v>
      </c>
      <c r="M263" s="22" t="str">
        <v>3189</v>
      </c>
      <c r="N263" s="22" t="str">
        <v>3381572</v>
      </c>
    </row>
    <row r="264" spans="1:14" ht="15.6">
      <c r="A264" s="4" t="s">
        <v>642</v>
      </c>
      <c r="B264" s="5">
        <v>44749.5159067368</v>
      </c>
      <c r="C264" s="5">
        <v>44754.980245660699</v>
      </c>
      <c r="D264" s="4" t="s">
        <v>94</v>
      </c>
      <c r="E264" s="4" t="s">
        <v>643</v>
      </c>
      <c r="F264" s="4" t="s">
        <v>135</v>
      </c>
      <c r="G264" s="4">
        <f t="shared" ca="1" si="12"/>
        <v>89</v>
      </c>
      <c r="H264" s="4">
        <v>1</v>
      </c>
      <c r="I264">
        <f t="shared" ca="1" si="13"/>
        <v>89</v>
      </c>
      <c r="J264">
        <f t="shared" si="14"/>
        <v>7</v>
      </c>
      <c r="K264" t="str">
        <f>VLOOKUP(E264,地区表!$A$2:$C$255,3,FALSE)</f>
        <v>中南</v>
      </c>
      <c r="L264" s="23" t="str" cm="1">
        <f t="array" ref="L264:N264">_xlfn.TEXTSPLIT(A264,"-")</f>
        <v>CN</v>
      </c>
      <c r="M264" s="22" t="str">
        <v>2198</v>
      </c>
      <c r="N264" s="22" t="str">
        <v>5869494</v>
      </c>
    </row>
    <row r="265" spans="1:14" ht="15.6">
      <c r="A265" s="4" t="s">
        <v>642</v>
      </c>
      <c r="B265" s="5">
        <v>44749.202610690001</v>
      </c>
      <c r="C265" s="5">
        <v>44754.066734880202</v>
      </c>
      <c r="D265" s="4" t="s">
        <v>94</v>
      </c>
      <c r="E265" s="4" t="s">
        <v>643</v>
      </c>
      <c r="F265" s="4" t="s">
        <v>110</v>
      </c>
      <c r="G265" s="4">
        <f t="shared" ca="1" si="12"/>
        <v>59</v>
      </c>
      <c r="H265" s="4">
        <v>4</v>
      </c>
      <c r="I265">
        <f t="shared" ca="1" si="13"/>
        <v>236</v>
      </c>
      <c r="J265">
        <f t="shared" si="14"/>
        <v>7</v>
      </c>
      <c r="K265" t="str">
        <f>VLOOKUP(E265,地区表!$A$2:$C$255,3,FALSE)</f>
        <v>中南</v>
      </c>
      <c r="L265" s="23" t="str" cm="1">
        <f t="array" ref="L265:N265">_xlfn.TEXTSPLIT(A265,"-")</f>
        <v>CN</v>
      </c>
      <c r="M265" s="22" t="str">
        <v>2198</v>
      </c>
      <c r="N265" s="22" t="str">
        <v>5869494</v>
      </c>
    </row>
    <row r="266" spans="1:14" ht="15.6">
      <c r="A266" s="4" t="s">
        <v>642</v>
      </c>
      <c r="B266" s="5">
        <v>44749.803897087702</v>
      </c>
      <c r="C266" s="5">
        <v>44754.798122117798</v>
      </c>
      <c r="D266" s="4" t="s">
        <v>94</v>
      </c>
      <c r="E266" s="4" t="s">
        <v>643</v>
      </c>
      <c r="F266" s="4" t="s">
        <v>118</v>
      </c>
      <c r="G266" s="4">
        <f t="shared" ca="1" si="12"/>
        <v>89</v>
      </c>
      <c r="H266" s="4">
        <v>3</v>
      </c>
      <c r="I266">
        <f t="shared" ca="1" si="13"/>
        <v>267</v>
      </c>
      <c r="J266">
        <f t="shared" si="14"/>
        <v>7</v>
      </c>
      <c r="K266" t="str">
        <f>VLOOKUP(E266,地区表!$A$2:$C$255,3,FALSE)</f>
        <v>中南</v>
      </c>
      <c r="L266" s="23" t="str" cm="1">
        <f t="array" ref="L266:N266">_xlfn.TEXTSPLIT(A266,"-")</f>
        <v>CN</v>
      </c>
      <c r="M266" s="22" t="str">
        <v>2198</v>
      </c>
      <c r="N266" s="22" t="str">
        <v>5869494</v>
      </c>
    </row>
    <row r="267" spans="1:14" ht="15.6">
      <c r="A267" s="4" t="s">
        <v>386</v>
      </c>
      <c r="B267" s="5">
        <v>44413.483677518299</v>
      </c>
      <c r="C267" s="5">
        <v>44419.814027755499</v>
      </c>
      <c r="D267" s="4" t="s">
        <v>94</v>
      </c>
      <c r="E267" s="4" t="s">
        <v>387</v>
      </c>
      <c r="F267" s="4" t="s">
        <v>112</v>
      </c>
      <c r="G267" s="4">
        <f t="shared" ca="1" si="12"/>
        <v>71</v>
      </c>
      <c r="H267" s="4">
        <v>9</v>
      </c>
      <c r="I267">
        <f t="shared" ca="1" si="13"/>
        <v>639</v>
      </c>
      <c r="J267">
        <f t="shared" si="14"/>
        <v>8</v>
      </c>
      <c r="K267" t="str">
        <f>VLOOKUP(E267,地区表!$A$2:$C$255,3,FALSE)</f>
        <v>东北</v>
      </c>
      <c r="L267" s="23" t="str" cm="1">
        <f t="array" ref="L267:N267">_xlfn.TEXTSPLIT(A267,"-")</f>
        <v>CN</v>
      </c>
      <c r="M267" s="22" t="str">
        <v>2957</v>
      </c>
      <c r="N267" s="22" t="str">
        <v>3184596</v>
      </c>
    </row>
    <row r="268" spans="1:14" ht="15.6">
      <c r="A268" s="4" t="s">
        <v>229</v>
      </c>
      <c r="B268" s="5">
        <v>44883.473154338099</v>
      </c>
      <c r="C268" s="5">
        <v>44883.723614443501</v>
      </c>
      <c r="D268" s="4" t="s">
        <v>114</v>
      </c>
      <c r="E268" s="4" t="s">
        <v>230</v>
      </c>
      <c r="F268" s="4" t="s">
        <v>125</v>
      </c>
      <c r="G268" s="4">
        <f t="shared" ca="1" si="12"/>
        <v>68</v>
      </c>
      <c r="H268" s="4">
        <v>9</v>
      </c>
      <c r="I268">
        <f t="shared" ca="1" si="13"/>
        <v>612</v>
      </c>
      <c r="J268">
        <f t="shared" si="14"/>
        <v>11</v>
      </c>
      <c r="K268" t="str">
        <f>VLOOKUP(E268,地区表!$A$2:$C$255,3,FALSE)</f>
        <v>中南</v>
      </c>
      <c r="L268" s="23" t="str" cm="1">
        <f t="array" ref="L268:N268">_xlfn.TEXTSPLIT(A268,"-")</f>
        <v>CN</v>
      </c>
      <c r="M268" s="22" t="str">
        <v>2332</v>
      </c>
      <c r="N268" s="22" t="str">
        <v>2554132</v>
      </c>
    </row>
    <row r="269" spans="1:14" ht="15.6">
      <c r="A269" s="4" t="s">
        <v>317</v>
      </c>
      <c r="B269" s="5">
        <v>44274.110823102303</v>
      </c>
      <c r="C269" s="5">
        <v>44277.4085158612</v>
      </c>
      <c r="D269" s="4" t="s">
        <v>98</v>
      </c>
      <c r="E269" s="4" t="s">
        <v>230</v>
      </c>
      <c r="F269" s="4" t="s">
        <v>135</v>
      </c>
      <c r="G269" s="4">
        <f t="shared" ca="1" si="12"/>
        <v>26</v>
      </c>
      <c r="H269" s="4">
        <v>3</v>
      </c>
      <c r="I269">
        <f t="shared" ca="1" si="13"/>
        <v>78</v>
      </c>
      <c r="J269">
        <f t="shared" si="14"/>
        <v>3</v>
      </c>
      <c r="K269" t="str">
        <f>VLOOKUP(E269,地区表!$A$2:$C$255,3,FALSE)</f>
        <v>中南</v>
      </c>
      <c r="L269" s="23" t="str" cm="1">
        <f t="array" ref="L269:N269">_xlfn.TEXTSPLIT(A269,"-")</f>
        <v>CN</v>
      </c>
      <c r="M269" s="22" t="str">
        <v>2818</v>
      </c>
      <c r="N269" s="22" t="str">
        <v>2862015</v>
      </c>
    </row>
    <row r="270" spans="1:14" ht="15.6">
      <c r="A270" s="4" t="s">
        <v>838</v>
      </c>
      <c r="B270" s="5">
        <v>45056.802500902399</v>
      </c>
      <c r="C270" s="5">
        <v>45058.039947534198</v>
      </c>
      <c r="D270" s="4" t="s">
        <v>98</v>
      </c>
      <c r="E270" s="4" t="s">
        <v>230</v>
      </c>
      <c r="F270" s="4" t="s">
        <v>112</v>
      </c>
      <c r="G270" s="4">
        <f t="shared" ca="1" si="12"/>
        <v>77</v>
      </c>
      <c r="H270" s="4">
        <v>5</v>
      </c>
      <c r="I270">
        <f t="shared" ca="1" si="13"/>
        <v>385</v>
      </c>
      <c r="J270">
        <f t="shared" si="14"/>
        <v>5</v>
      </c>
      <c r="K270" t="str">
        <f>VLOOKUP(E270,地区表!$A$2:$C$255,3,FALSE)</f>
        <v>中南</v>
      </c>
      <c r="L270" s="23" t="str" cm="1">
        <f t="array" ref="L270:N270">_xlfn.TEXTSPLIT(A270,"-")</f>
        <v>CN</v>
      </c>
      <c r="M270" s="22" t="str">
        <v>1774</v>
      </c>
      <c r="N270" s="22" t="str">
        <v>4800042</v>
      </c>
    </row>
    <row r="271" spans="1:14" ht="15.6">
      <c r="A271" s="4" t="s">
        <v>391</v>
      </c>
      <c r="B271" s="5">
        <v>44947.103261326403</v>
      </c>
      <c r="C271" s="5">
        <v>44951.9996200557</v>
      </c>
      <c r="D271" s="4" t="s">
        <v>98</v>
      </c>
      <c r="E271" s="4" t="s">
        <v>392</v>
      </c>
      <c r="F271" s="4" t="s">
        <v>122</v>
      </c>
      <c r="G271" s="4">
        <f t="shared" ca="1" si="12"/>
        <v>48</v>
      </c>
      <c r="H271" s="4">
        <v>2</v>
      </c>
      <c r="I271">
        <f t="shared" ca="1" si="13"/>
        <v>96</v>
      </c>
      <c r="J271">
        <f t="shared" si="14"/>
        <v>1</v>
      </c>
      <c r="K271" t="str">
        <f>VLOOKUP(E271,地区表!$A$2:$C$255,3,FALSE)</f>
        <v>东北</v>
      </c>
      <c r="L271" s="23" t="str" cm="1">
        <f t="array" ref="L271:N271">_xlfn.TEXTSPLIT(A271,"-")</f>
        <v>CN</v>
      </c>
      <c r="M271" s="22" t="str">
        <v>2396</v>
      </c>
      <c r="N271" s="22" t="str">
        <v>3819209</v>
      </c>
    </row>
    <row r="272" spans="1:14" ht="15.6">
      <c r="A272" s="4" t="s">
        <v>714</v>
      </c>
      <c r="B272" s="5">
        <v>44781.927299107701</v>
      </c>
      <c r="C272" s="5">
        <v>44783.755373031701</v>
      </c>
      <c r="D272" s="4" t="s">
        <v>98</v>
      </c>
      <c r="E272" s="4" t="s">
        <v>392</v>
      </c>
      <c r="F272" s="4" t="s">
        <v>125</v>
      </c>
      <c r="G272" s="4">
        <f t="shared" ca="1" si="12"/>
        <v>78</v>
      </c>
      <c r="H272" s="4">
        <v>4</v>
      </c>
      <c r="I272">
        <f t="shared" ca="1" si="13"/>
        <v>312</v>
      </c>
      <c r="J272">
        <f t="shared" si="14"/>
        <v>8</v>
      </c>
      <c r="K272" t="str">
        <f>VLOOKUP(E272,地区表!$A$2:$C$255,3,FALSE)</f>
        <v>东北</v>
      </c>
      <c r="L272" s="23" t="str" cm="1">
        <f t="array" ref="L272:N272">_xlfn.TEXTSPLIT(A272,"-")</f>
        <v>CN</v>
      </c>
      <c r="M272" s="22" t="str">
        <v>2230</v>
      </c>
      <c r="N272" s="22" t="str">
        <v>3261036</v>
      </c>
    </row>
    <row r="273" spans="1:14" ht="15.6">
      <c r="A273" s="4" t="s">
        <v>587</v>
      </c>
      <c r="B273" s="5">
        <v>45216.190877454203</v>
      </c>
      <c r="C273" s="5">
        <v>45219.532650138899</v>
      </c>
      <c r="D273" s="4" t="s">
        <v>98</v>
      </c>
      <c r="E273" s="4" t="s">
        <v>588</v>
      </c>
      <c r="F273" s="4" t="s">
        <v>106</v>
      </c>
      <c r="G273" s="4">
        <f t="shared" ca="1" si="12"/>
        <v>30</v>
      </c>
      <c r="H273" s="4">
        <v>2</v>
      </c>
      <c r="I273">
        <f t="shared" ca="1" si="13"/>
        <v>60</v>
      </c>
      <c r="J273">
        <f t="shared" si="14"/>
        <v>10</v>
      </c>
      <c r="K273" t="str">
        <f>VLOOKUP(E273,地区表!$A$2:$C$255,3,FALSE)</f>
        <v>华北</v>
      </c>
      <c r="L273" s="23" t="str" cm="1">
        <f t="array" ref="L273:N273">_xlfn.TEXTSPLIT(A273,"-")</f>
        <v>US</v>
      </c>
      <c r="M273" s="22" t="str">
        <v>2665</v>
      </c>
      <c r="N273" s="22" t="str">
        <v>2373769</v>
      </c>
    </row>
    <row r="274" spans="1:14" ht="15.6">
      <c r="A274" s="4" t="s">
        <v>379</v>
      </c>
      <c r="B274" s="5">
        <v>45128.150316860403</v>
      </c>
      <c r="C274" s="5">
        <v>45130.675368706703</v>
      </c>
      <c r="D274" s="4" t="s">
        <v>98</v>
      </c>
      <c r="E274" s="4" t="s">
        <v>380</v>
      </c>
      <c r="F274" s="4" t="s">
        <v>122</v>
      </c>
      <c r="G274" s="4">
        <f t="shared" ca="1" si="12"/>
        <v>90</v>
      </c>
      <c r="H274" s="4">
        <v>3</v>
      </c>
      <c r="I274">
        <f t="shared" ca="1" si="13"/>
        <v>270</v>
      </c>
      <c r="J274">
        <f t="shared" si="14"/>
        <v>7</v>
      </c>
      <c r="K274" t="str">
        <f>VLOOKUP(E274,地区表!$A$2:$C$255,3,FALSE)</f>
        <v>中南</v>
      </c>
      <c r="L274" s="23" t="str" cm="1">
        <f t="array" ref="L274:N274">_xlfn.TEXTSPLIT(A274,"-")</f>
        <v>CN</v>
      </c>
      <c r="M274" s="22" t="str">
        <v>2577</v>
      </c>
      <c r="N274" s="22" t="str">
        <v>1608087</v>
      </c>
    </row>
    <row r="275" spans="1:14" ht="15.6">
      <c r="A275" s="4" t="s">
        <v>548</v>
      </c>
      <c r="B275" s="5">
        <v>44558.475358912998</v>
      </c>
      <c r="C275" s="5">
        <v>44560.041436601401</v>
      </c>
      <c r="D275" s="4" t="s">
        <v>98</v>
      </c>
      <c r="E275" s="4" t="s">
        <v>380</v>
      </c>
      <c r="F275" s="4" t="s">
        <v>125</v>
      </c>
      <c r="G275" s="4">
        <f t="shared" ca="1" si="12"/>
        <v>15</v>
      </c>
      <c r="H275" s="4">
        <v>2</v>
      </c>
      <c r="I275">
        <f t="shared" ca="1" si="13"/>
        <v>30</v>
      </c>
      <c r="J275">
        <f t="shared" si="14"/>
        <v>12</v>
      </c>
      <c r="K275" t="str">
        <f>VLOOKUP(E275,地区表!$A$2:$C$255,3,FALSE)</f>
        <v>中南</v>
      </c>
      <c r="L275" s="23" t="str" cm="1">
        <f t="array" ref="L275:N275">_xlfn.TEXTSPLIT(A275,"-")</f>
        <v>CN</v>
      </c>
      <c r="M275" s="22" t="str">
        <v>3102</v>
      </c>
      <c r="N275" s="22" t="str">
        <v>3569535</v>
      </c>
    </row>
    <row r="276" spans="1:14" ht="15.6">
      <c r="A276" s="4" t="s">
        <v>548</v>
      </c>
      <c r="B276" s="5">
        <v>44558.521098635501</v>
      </c>
      <c r="C276" s="5">
        <v>44560.100037777302</v>
      </c>
      <c r="D276" s="4" t="s">
        <v>98</v>
      </c>
      <c r="E276" s="4" t="s">
        <v>380</v>
      </c>
      <c r="F276" s="4" t="s">
        <v>118</v>
      </c>
      <c r="G276" s="4">
        <f t="shared" ca="1" si="12"/>
        <v>40</v>
      </c>
      <c r="H276" s="4">
        <v>6</v>
      </c>
      <c r="I276">
        <f t="shared" ca="1" si="13"/>
        <v>240</v>
      </c>
      <c r="J276">
        <f t="shared" si="14"/>
        <v>12</v>
      </c>
      <c r="K276" t="str">
        <f>VLOOKUP(E276,地区表!$A$2:$C$255,3,FALSE)</f>
        <v>中南</v>
      </c>
      <c r="L276" s="23" t="str" cm="1">
        <f t="array" ref="L276:N276">_xlfn.TEXTSPLIT(A276,"-")</f>
        <v>CN</v>
      </c>
      <c r="M276" s="22" t="str">
        <v>3102</v>
      </c>
      <c r="N276" s="22" t="str">
        <v>3569535</v>
      </c>
    </row>
    <row r="277" spans="1:14" ht="15.6">
      <c r="A277" s="4" t="s">
        <v>548</v>
      </c>
      <c r="B277" s="5">
        <v>44558.403588674402</v>
      </c>
      <c r="C277" s="5">
        <v>44560.666007353699</v>
      </c>
      <c r="D277" s="4" t="s">
        <v>98</v>
      </c>
      <c r="E277" s="4" t="s">
        <v>380</v>
      </c>
      <c r="F277" s="4" t="s">
        <v>118</v>
      </c>
      <c r="G277" s="4">
        <f t="shared" ca="1" si="12"/>
        <v>22</v>
      </c>
      <c r="H277" s="4">
        <v>3</v>
      </c>
      <c r="I277">
        <f t="shared" ca="1" si="13"/>
        <v>66</v>
      </c>
      <c r="J277">
        <f t="shared" si="14"/>
        <v>12</v>
      </c>
      <c r="K277" t="str">
        <f>VLOOKUP(E277,地区表!$A$2:$C$255,3,FALSE)</f>
        <v>中南</v>
      </c>
      <c r="L277" s="23" t="str" cm="1">
        <f t="array" ref="L277:N277">_xlfn.TEXTSPLIT(A277,"-")</f>
        <v>CN</v>
      </c>
      <c r="M277" s="22" t="str">
        <v>3102</v>
      </c>
      <c r="N277" s="22" t="str">
        <v>3569535</v>
      </c>
    </row>
    <row r="278" spans="1:14" ht="15.6">
      <c r="A278" s="4" t="s">
        <v>548</v>
      </c>
      <c r="B278" s="5">
        <v>44558.916561673301</v>
      </c>
      <c r="C278" s="5">
        <v>44560.230371658101</v>
      </c>
      <c r="D278" s="4" t="s">
        <v>98</v>
      </c>
      <c r="E278" s="4" t="s">
        <v>380</v>
      </c>
      <c r="F278" s="4" t="s">
        <v>110</v>
      </c>
      <c r="G278" s="4">
        <f t="shared" ca="1" si="12"/>
        <v>59</v>
      </c>
      <c r="H278" s="4">
        <v>3</v>
      </c>
      <c r="I278">
        <f t="shared" ca="1" si="13"/>
        <v>177</v>
      </c>
      <c r="J278">
        <f t="shared" si="14"/>
        <v>12</v>
      </c>
      <c r="K278" t="str">
        <f>VLOOKUP(E278,地区表!$A$2:$C$255,3,FALSE)</f>
        <v>中南</v>
      </c>
      <c r="L278" s="23" t="str" cm="1">
        <f t="array" ref="L278:N278">_xlfn.TEXTSPLIT(A278,"-")</f>
        <v>CN</v>
      </c>
      <c r="M278" s="22" t="str">
        <v>3102</v>
      </c>
      <c r="N278" s="22" t="str">
        <v>3569535</v>
      </c>
    </row>
    <row r="279" spans="1:14" ht="15.6">
      <c r="A279" s="4" t="s">
        <v>602</v>
      </c>
      <c r="B279" s="5">
        <v>45015.466208203303</v>
      </c>
      <c r="C279" s="5">
        <v>45018.644386052802</v>
      </c>
      <c r="D279" s="4" t="s">
        <v>98</v>
      </c>
      <c r="E279" s="4" t="s">
        <v>603</v>
      </c>
      <c r="F279" s="4" t="s">
        <v>131</v>
      </c>
      <c r="G279" s="4">
        <f t="shared" ca="1" si="12"/>
        <v>38</v>
      </c>
      <c r="H279" s="4">
        <v>3</v>
      </c>
      <c r="I279">
        <f t="shared" ca="1" si="13"/>
        <v>114</v>
      </c>
      <c r="J279">
        <f t="shared" si="14"/>
        <v>3</v>
      </c>
      <c r="K279" t="str">
        <f>VLOOKUP(E279,地区表!$A$2:$C$255,3,FALSE)</f>
        <v>华东</v>
      </c>
      <c r="L279" s="23" t="str" cm="1">
        <f t="array" ref="L279:N279">_xlfn.TEXTSPLIT(A279,"-")</f>
        <v>CN</v>
      </c>
      <c r="M279" s="22" t="str">
        <v>2464</v>
      </c>
      <c r="N279" s="22" t="str">
        <v>4150128</v>
      </c>
    </row>
    <row r="280" spans="1:14" ht="15.6">
      <c r="A280" s="4" t="s">
        <v>602</v>
      </c>
      <c r="B280" s="5">
        <v>45015.110936955403</v>
      </c>
      <c r="C280" s="5">
        <v>45018.686943446002</v>
      </c>
      <c r="D280" s="4" t="s">
        <v>98</v>
      </c>
      <c r="E280" s="4" t="s">
        <v>603</v>
      </c>
      <c r="F280" s="4" t="s">
        <v>135</v>
      </c>
      <c r="G280" s="4">
        <f t="shared" ca="1" si="12"/>
        <v>81</v>
      </c>
      <c r="H280" s="4">
        <v>4</v>
      </c>
      <c r="I280">
        <f t="shared" ca="1" si="13"/>
        <v>324</v>
      </c>
      <c r="J280">
        <f t="shared" si="14"/>
        <v>3</v>
      </c>
      <c r="K280" t="str">
        <f>VLOOKUP(E280,地区表!$A$2:$C$255,3,FALSE)</f>
        <v>华东</v>
      </c>
      <c r="L280" s="23" t="str" cm="1">
        <f t="array" ref="L280:N280">_xlfn.TEXTSPLIT(A280,"-")</f>
        <v>CN</v>
      </c>
      <c r="M280" s="22" t="str">
        <v>2464</v>
      </c>
      <c r="N280" s="22" t="str">
        <v>4150128</v>
      </c>
    </row>
    <row r="281" spans="1:14" ht="15.6">
      <c r="A281" s="4" t="s">
        <v>602</v>
      </c>
      <c r="B281" s="5">
        <v>45015.994048192399</v>
      </c>
      <c r="C281" s="5">
        <v>45018.244176598098</v>
      </c>
      <c r="D281" s="4" t="s">
        <v>98</v>
      </c>
      <c r="E281" s="4" t="s">
        <v>603</v>
      </c>
      <c r="F281" s="4" t="s">
        <v>135</v>
      </c>
      <c r="G281" s="4">
        <f t="shared" ca="1" si="12"/>
        <v>60</v>
      </c>
      <c r="H281" s="4">
        <v>2</v>
      </c>
      <c r="I281">
        <f t="shared" ca="1" si="13"/>
        <v>120</v>
      </c>
      <c r="J281">
        <f t="shared" si="14"/>
        <v>3</v>
      </c>
      <c r="K281" t="str">
        <f>VLOOKUP(E281,地区表!$A$2:$C$255,3,FALSE)</f>
        <v>华东</v>
      </c>
      <c r="L281" s="23" t="str" cm="1">
        <f t="array" ref="L281:N281">_xlfn.TEXTSPLIT(A281,"-")</f>
        <v>CN</v>
      </c>
      <c r="M281" s="22" t="str">
        <v>2464</v>
      </c>
      <c r="N281" s="22" t="str">
        <v>4150128</v>
      </c>
    </row>
    <row r="282" spans="1:14" ht="15.6">
      <c r="A282" s="4" t="s">
        <v>602</v>
      </c>
      <c r="B282" s="5">
        <v>45015.205655821002</v>
      </c>
      <c r="C282" s="5">
        <v>45018.604606399698</v>
      </c>
      <c r="D282" s="4" t="s">
        <v>98</v>
      </c>
      <c r="E282" s="4" t="s">
        <v>603</v>
      </c>
      <c r="F282" s="4" t="s">
        <v>110</v>
      </c>
      <c r="G282" s="4">
        <f t="shared" ca="1" si="12"/>
        <v>19</v>
      </c>
      <c r="H282" s="4">
        <v>7</v>
      </c>
      <c r="I282">
        <f t="shared" ca="1" si="13"/>
        <v>133</v>
      </c>
      <c r="J282">
        <f t="shared" si="14"/>
        <v>3</v>
      </c>
      <c r="K282" t="str">
        <f>VLOOKUP(E282,地区表!$A$2:$C$255,3,FALSE)</f>
        <v>华东</v>
      </c>
      <c r="L282" s="23" t="str" cm="1">
        <f t="array" ref="L282:N282">_xlfn.TEXTSPLIT(A282,"-")</f>
        <v>CN</v>
      </c>
      <c r="M282" s="22" t="str">
        <v>2464</v>
      </c>
      <c r="N282" s="22" t="str">
        <v>4150128</v>
      </c>
    </row>
    <row r="283" spans="1:14" ht="15.6">
      <c r="A283" s="4" t="s">
        <v>602</v>
      </c>
      <c r="B283" s="5">
        <v>45015.559369340801</v>
      </c>
      <c r="C283" s="5">
        <v>45018.027046460302</v>
      </c>
      <c r="D283" s="4" t="s">
        <v>98</v>
      </c>
      <c r="E283" s="4" t="s">
        <v>603</v>
      </c>
      <c r="F283" s="4" t="s">
        <v>141</v>
      </c>
      <c r="G283" s="4">
        <f t="shared" ca="1" si="12"/>
        <v>26</v>
      </c>
      <c r="H283" s="4">
        <v>2</v>
      </c>
      <c r="I283">
        <f t="shared" ca="1" si="13"/>
        <v>52</v>
      </c>
      <c r="J283">
        <f t="shared" si="14"/>
        <v>3</v>
      </c>
      <c r="K283" t="str">
        <f>VLOOKUP(E283,地区表!$A$2:$C$255,3,FALSE)</f>
        <v>华东</v>
      </c>
      <c r="L283" s="23" t="str" cm="1">
        <f t="array" ref="L283:N283">_xlfn.TEXTSPLIT(A283,"-")</f>
        <v>CN</v>
      </c>
      <c r="M283" s="22" t="str">
        <v>2464</v>
      </c>
      <c r="N283" s="22" t="str">
        <v>4150128</v>
      </c>
    </row>
    <row r="284" spans="1:14" ht="15.6">
      <c r="A284" s="4" t="s">
        <v>602</v>
      </c>
      <c r="B284" s="5">
        <v>45015.308699618698</v>
      </c>
      <c r="C284" s="5">
        <v>45018.763008243397</v>
      </c>
      <c r="D284" s="4" t="s">
        <v>98</v>
      </c>
      <c r="E284" s="4" t="s">
        <v>603</v>
      </c>
      <c r="F284" s="4" t="s">
        <v>135</v>
      </c>
      <c r="G284" s="4">
        <f t="shared" ca="1" si="12"/>
        <v>20</v>
      </c>
      <c r="H284" s="4">
        <v>5</v>
      </c>
      <c r="I284">
        <f t="shared" ca="1" si="13"/>
        <v>100</v>
      </c>
      <c r="J284">
        <f t="shared" si="14"/>
        <v>3</v>
      </c>
      <c r="K284" t="str">
        <f>VLOOKUP(E284,地区表!$A$2:$C$255,3,FALSE)</f>
        <v>华东</v>
      </c>
      <c r="L284" s="23" t="str" cm="1">
        <f t="array" ref="L284:N284">_xlfn.TEXTSPLIT(A284,"-")</f>
        <v>CN</v>
      </c>
      <c r="M284" s="22" t="str">
        <v>2464</v>
      </c>
      <c r="N284" s="22" t="str">
        <v>4150128</v>
      </c>
    </row>
    <row r="285" spans="1:14" ht="15.6">
      <c r="A285" s="4" t="s">
        <v>602</v>
      </c>
      <c r="B285" s="5">
        <v>45015.398698711098</v>
      </c>
      <c r="C285" s="5">
        <v>45018.581914515402</v>
      </c>
      <c r="D285" s="4" t="s">
        <v>98</v>
      </c>
      <c r="E285" s="4" t="s">
        <v>603</v>
      </c>
      <c r="F285" s="4" t="s">
        <v>112</v>
      </c>
      <c r="G285" s="4">
        <f t="shared" ca="1" si="12"/>
        <v>94</v>
      </c>
      <c r="H285" s="4">
        <v>5</v>
      </c>
      <c r="I285">
        <f t="shared" ca="1" si="13"/>
        <v>470</v>
      </c>
      <c r="J285">
        <f t="shared" si="14"/>
        <v>3</v>
      </c>
      <c r="K285" t="str">
        <f>VLOOKUP(E285,地区表!$A$2:$C$255,3,FALSE)</f>
        <v>华东</v>
      </c>
      <c r="L285" s="23" t="str" cm="1">
        <f t="array" ref="L285:N285">_xlfn.TEXTSPLIT(A285,"-")</f>
        <v>CN</v>
      </c>
      <c r="M285" s="22" t="str">
        <v>2464</v>
      </c>
      <c r="N285" s="22" t="str">
        <v>4150128</v>
      </c>
    </row>
    <row r="286" spans="1:14" ht="15.6">
      <c r="A286" s="4" t="s">
        <v>602</v>
      </c>
      <c r="B286" s="5">
        <v>45015.1770837894</v>
      </c>
      <c r="C286" s="5">
        <v>45018.846244605898</v>
      </c>
      <c r="D286" s="4" t="s">
        <v>98</v>
      </c>
      <c r="E286" s="4" t="s">
        <v>603</v>
      </c>
      <c r="F286" s="4" t="s">
        <v>125</v>
      </c>
      <c r="G286" s="4">
        <f t="shared" ca="1" si="12"/>
        <v>75</v>
      </c>
      <c r="H286" s="4">
        <v>5</v>
      </c>
      <c r="I286">
        <f t="shared" ca="1" si="13"/>
        <v>375</v>
      </c>
      <c r="J286">
        <f t="shared" si="14"/>
        <v>3</v>
      </c>
      <c r="K286" t="str">
        <f>VLOOKUP(E286,地区表!$A$2:$C$255,3,FALSE)</f>
        <v>华东</v>
      </c>
      <c r="L286" s="23" t="str" cm="1">
        <f t="array" ref="L286:N286">_xlfn.TEXTSPLIT(A286,"-")</f>
        <v>CN</v>
      </c>
      <c r="M286" s="22" t="str">
        <v>2464</v>
      </c>
      <c r="N286" s="22" t="str">
        <v>4150128</v>
      </c>
    </row>
    <row r="287" spans="1:14" ht="15.6">
      <c r="A287" s="4" t="s">
        <v>602</v>
      </c>
      <c r="B287" s="5">
        <v>45015.537538492201</v>
      </c>
      <c r="C287" s="5">
        <v>45018.545680003102</v>
      </c>
      <c r="D287" s="4" t="s">
        <v>98</v>
      </c>
      <c r="E287" s="4" t="s">
        <v>603</v>
      </c>
      <c r="F287" s="4" t="s">
        <v>109</v>
      </c>
      <c r="G287" s="4">
        <f t="shared" ca="1" si="12"/>
        <v>47</v>
      </c>
      <c r="H287" s="4">
        <v>1</v>
      </c>
      <c r="I287">
        <f t="shared" ca="1" si="13"/>
        <v>47</v>
      </c>
      <c r="J287">
        <f t="shared" si="14"/>
        <v>3</v>
      </c>
      <c r="K287" t="str">
        <f>VLOOKUP(E287,地区表!$A$2:$C$255,3,FALSE)</f>
        <v>华东</v>
      </c>
      <c r="L287" s="23" t="str" cm="1">
        <f t="array" ref="L287:N287">_xlfn.TEXTSPLIT(A287,"-")</f>
        <v>CN</v>
      </c>
      <c r="M287" s="22" t="str">
        <v>2464</v>
      </c>
      <c r="N287" s="22" t="str">
        <v>4150128</v>
      </c>
    </row>
    <row r="288" spans="1:14" ht="15.6">
      <c r="A288" s="4" t="s">
        <v>517</v>
      </c>
      <c r="B288" s="5">
        <v>44497.6140288428</v>
      </c>
      <c r="C288" s="5">
        <v>44504.426691159402</v>
      </c>
      <c r="D288" s="4" t="s">
        <v>98</v>
      </c>
      <c r="E288" s="4" t="s">
        <v>518</v>
      </c>
      <c r="F288" s="4" t="s">
        <v>100</v>
      </c>
      <c r="G288" s="4">
        <f t="shared" ca="1" si="12"/>
        <v>26</v>
      </c>
      <c r="H288" s="4">
        <v>3</v>
      </c>
      <c r="I288">
        <f t="shared" ca="1" si="13"/>
        <v>78</v>
      </c>
      <c r="J288">
        <f t="shared" si="14"/>
        <v>10</v>
      </c>
      <c r="K288" t="str">
        <f>VLOOKUP(E288,地区表!$A$2:$C$255,3,FALSE)</f>
        <v>中南</v>
      </c>
      <c r="L288" s="23" t="str" cm="1">
        <f t="array" ref="L288:N288">_xlfn.TEXTSPLIT(A288,"-")</f>
        <v>CN</v>
      </c>
      <c r="M288" s="22" t="str">
        <v>3041</v>
      </c>
      <c r="N288" s="22" t="str">
        <v>2979175</v>
      </c>
    </row>
    <row r="289" spans="1:14" ht="15.6">
      <c r="A289" s="4" t="s">
        <v>336</v>
      </c>
      <c r="B289" s="5">
        <v>44815.104566630398</v>
      </c>
      <c r="C289" s="5">
        <v>44819.244750205398</v>
      </c>
      <c r="D289" s="4" t="s">
        <v>94</v>
      </c>
      <c r="E289" s="4" t="s">
        <v>337</v>
      </c>
      <c r="F289" s="4" t="s">
        <v>96</v>
      </c>
      <c r="G289" s="4">
        <f t="shared" ca="1" si="12"/>
        <v>20</v>
      </c>
      <c r="H289" s="4">
        <v>3</v>
      </c>
      <c r="I289">
        <f t="shared" ca="1" si="13"/>
        <v>60</v>
      </c>
      <c r="J289">
        <f t="shared" si="14"/>
        <v>9</v>
      </c>
      <c r="K289" t="str">
        <f>VLOOKUP(E289,地区表!$A$2:$C$255,3,FALSE)</f>
        <v>西南</v>
      </c>
      <c r="L289" s="23" t="str" cm="1">
        <f t="array" ref="L289:N289">_xlfn.TEXTSPLIT(A289,"-")</f>
        <v>US</v>
      </c>
      <c r="M289" s="22" t="str">
        <v>2264</v>
      </c>
      <c r="N289" s="22" t="str">
        <v>1388500</v>
      </c>
    </row>
    <row r="290" spans="1:14" ht="15.6">
      <c r="A290" s="4" t="s">
        <v>660</v>
      </c>
      <c r="B290" s="5">
        <v>44779.476520909899</v>
      </c>
      <c r="C290" s="5">
        <v>44782.1202497138</v>
      </c>
      <c r="D290" s="4" t="s">
        <v>114</v>
      </c>
      <c r="E290" s="4" t="s">
        <v>337</v>
      </c>
      <c r="F290" s="4" t="s">
        <v>122</v>
      </c>
      <c r="G290" s="4">
        <f t="shared" ca="1" si="12"/>
        <v>27</v>
      </c>
      <c r="H290" s="4">
        <v>1</v>
      </c>
      <c r="I290">
        <f t="shared" ca="1" si="13"/>
        <v>27</v>
      </c>
      <c r="J290">
        <f t="shared" si="14"/>
        <v>8</v>
      </c>
      <c r="K290" t="str">
        <f>VLOOKUP(E290,地区表!$A$2:$C$255,3,FALSE)</f>
        <v>西南</v>
      </c>
      <c r="L290" s="23" t="str" cm="1">
        <f t="array" ref="L290:N290">_xlfn.TEXTSPLIT(A290,"-")</f>
        <v>US</v>
      </c>
      <c r="M290" s="22" t="str">
        <v>2228</v>
      </c>
      <c r="N290" s="22" t="str">
        <v>5922906</v>
      </c>
    </row>
    <row r="291" spans="1:14" ht="15.6">
      <c r="A291" s="4" t="s">
        <v>660</v>
      </c>
      <c r="B291" s="5">
        <v>44779.6048753945</v>
      </c>
      <c r="C291" s="5">
        <v>44782.243888119199</v>
      </c>
      <c r="D291" s="4" t="s">
        <v>114</v>
      </c>
      <c r="E291" s="4" t="s">
        <v>337</v>
      </c>
      <c r="F291" s="4" t="s">
        <v>100</v>
      </c>
      <c r="G291" s="4">
        <f t="shared" ca="1" si="12"/>
        <v>84</v>
      </c>
      <c r="H291" s="4">
        <v>6</v>
      </c>
      <c r="I291">
        <f t="shared" ca="1" si="13"/>
        <v>504</v>
      </c>
      <c r="J291">
        <f t="shared" si="14"/>
        <v>8</v>
      </c>
      <c r="K291" t="str">
        <f>VLOOKUP(E291,地区表!$A$2:$C$255,3,FALSE)</f>
        <v>西南</v>
      </c>
      <c r="L291" s="23" t="str" cm="1">
        <f t="array" ref="L291:N291">_xlfn.TEXTSPLIT(A291,"-")</f>
        <v>US</v>
      </c>
      <c r="M291" s="22" t="str">
        <v>2228</v>
      </c>
      <c r="N291" s="22" t="str">
        <v>5922906</v>
      </c>
    </row>
    <row r="292" spans="1:14" ht="15.6">
      <c r="A292" s="4" t="s">
        <v>301</v>
      </c>
      <c r="B292" s="5">
        <v>45150.978564875702</v>
      </c>
      <c r="C292" s="5">
        <v>45152.358252764003</v>
      </c>
      <c r="D292" s="4" t="s">
        <v>114</v>
      </c>
      <c r="E292" s="4" t="s">
        <v>302</v>
      </c>
      <c r="F292" s="4" t="s">
        <v>125</v>
      </c>
      <c r="G292" s="4">
        <f t="shared" ca="1" si="12"/>
        <v>14</v>
      </c>
      <c r="H292" s="4">
        <v>1</v>
      </c>
      <c r="I292">
        <f t="shared" ca="1" si="13"/>
        <v>14</v>
      </c>
      <c r="J292">
        <f t="shared" si="14"/>
        <v>8</v>
      </c>
      <c r="K292" t="str">
        <f>VLOOKUP(E292,地区表!$A$2:$C$255,3,FALSE)</f>
        <v>华东</v>
      </c>
      <c r="L292" s="23" t="str" cm="1">
        <f t="array" ref="L292:N292">_xlfn.TEXTSPLIT(A292,"-")</f>
        <v>CN</v>
      </c>
      <c r="M292" s="22" t="str">
        <v>2599</v>
      </c>
      <c r="N292" s="22" t="str">
        <v>5339863</v>
      </c>
    </row>
    <row r="293" spans="1:14" ht="15.6">
      <c r="A293" s="4" t="s">
        <v>301</v>
      </c>
      <c r="B293" s="5">
        <v>45150.230337314599</v>
      </c>
      <c r="C293" s="5">
        <v>45152.876964030002</v>
      </c>
      <c r="D293" s="4" t="s">
        <v>114</v>
      </c>
      <c r="E293" s="4" t="s">
        <v>302</v>
      </c>
      <c r="F293" s="4" t="s">
        <v>135</v>
      </c>
      <c r="G293" s="4">
        <f t="shared" ca="1" si="12"/>
        <v>19</v>
      </c>
      <c r="H293" s="4">
        <v>3</v>
      </c>
      <c r="I293">
        <f t="shared" ca="1" si="13"/>
        <v>57</v>
      </c>
      <c r="J293">
        <f t="shared" si="14"/>
        <v>8</v>
      </c>
      <c r="K293" t="str">
        <f>VLOOKUP(E293,地区表!$A$2:$C$255,3,FALSE)</f>
        <v>华东</v>
      </c>
      <c r="L293" s="23" t="str" cm="1">
        <f t="array" ref="L293:N293">_xlfn.TEXTSPLIT(A293,"-")</f>
        <v>CN</v>
      </c>
      <c r="M293" s="22" t="str">
        <v>2599</v>
      </c>
      <c r="N293" s="22" t="str">
        <v>5339863</v>
      </c>
    </row>
    <row r="294" spans="1:14" ht="15.6">
      <c r="A294" s="4" t="s">
        <v>303</v>
      </c>
      <c r="B294" s="5">
        <v>45267.064767932803</v>
      </c>
      <c r="C294" s="5">
        <v>45269.549770010301</v>
      </c>
      <c r="D294" s="4" t="s">
        <v>94</v>
      </c>
      <c r="E294" s="4" t="s">
        <v>302</v>
      </c>
      <c r="F294" s="4" t="s">
        <v>101</v>
      </c>
      <c r="G294" s="4">
        <f t="shared" ca="1" si="12"/>
        <v>22</v>
      </c>
      <c r="H294" s="4">
        <v>5</v>
      </c>
      <c r="I294">
        <f t="shared" ca="1" si="13"/>
        <v>110</v>
      </c>
      <c r="J294">
        <f t="shared" si="14"/>
        <v>12</v>
      </c>
      <c r="K294" t="str">
        <f>VLOOKUP(E294,地区表!$A$2:$C$255,3,FALSE)</f>
        <v>华东</v>
      </c>
      <c r="L294" s="23" t="str" cm="1">
        <f t="array" ref="L294:N294">_xlfn.TEXTSPLIT(A294,"-")</f>
        <v>CN</v>
      </c>
      <c r="M294" s="22" t="str">
        <v>2716</v>
      </c>
      <c r="N294" s="22" t="str">
        <v>2995973</v>
      </c>
    </row>
    <row r="295" spans="1:14" ht="15.6">
      <c r="A295" s="4" t="s">
        <v>303</v>
      </c>
      <c r="B295" s="5">
        <v>45267.461302003299</v>
      </c>
      <c r="C295" s="5">
        <v>45269.046369702402</v>
      </c>
      <c r="D295" s="4" t="s">
        <v>94</v>
      </c>
      <c r="E295" s="4" t="s">
        <v>302</v>
      </c>
      <c r="F295" s="4" t="s">
        <v>101</v>
      </c>
      <c r="G295" s="4">
        <f t="shared" ca="1" si="12"/>
        <v>41</v>
      </c>
      <c r="H295" s="4">
        <v>4</v>
      </c>
      <c r="I295">
        <f t="shared" ca="1" si="13"/>
        <v>164</v>
      </c>
      <c r="J295">
        <f t="shared" si="14"/>
        <v>12</v>
      </c>
      <c r="K295" t="str">
        <f>VLOOKUP(E295,地区表!$A$2:$C$255,3,FALSE)</f>
        <v>华东</v>
      </c>
      <c r="L295" s="23" t="str" cm="1">
        <f t="array" ref="L295:N295">_xlfn.TEXTSPLIT(A295,"-")</f>
        <v>CN</v>
      </c>
      <c r="M295" s="22" t="str">
        <v>2716</v>
      </c>
      <c r="N295" s="22" t="str">
        <v>2995973</v>
      </c>
    </row>
    <row r="296" spans="1:14" ht="15.6">
      <c r="A296" s="4" t="s">
        <v>303</v>
      </c>
      <c r="B296" s="5">
        <v>45267.102647193002</v>
      </c>
      <c r="C296" s="5">
        <v>45269.625303198904</v>
      </c>
      <c r="D296" s="4" t="s">
        <v>94</v>
      </c>
      <c r="E296" s="4" t="s">
        <v>302</v>
      </c>
      <c r="F296" s="4" t="s">
        <v>121</v>
      </c>
      <c r="G296" s="4">
        <f t="shared" ca="1" si="12"/>
        <v>16</v>
      </c>
      <c r="H296" s="4">
        <v>2</v>
      </c>
      <c r="I296">
        <f t="shared" ca="1" si="13"/>
        <v>32</v>
      </c>
      <c r="J296">
        <f t="shared" si="14"/>
        <v>12</v>
      </c>
      <c r="K296" t="str">
        <f>VLOOKUP(E296,地区表!$A$2:$C$255,3,FALSE)</f>
        <v>华东</v>
      </c>
      <c r="L296" s="23" t="str" cm="1">
        <f t="array" ref="L296:N296">_xlfn.TEXTSPLIT(A296,"-")</f>
        <v>CN</v>
      </c>
      <c r="M296" s="22" t="str">
        <v>2716</v>
      </c>
      <c r="N296" s="22" t="str">
        <v>2995973</v>
      </c>
    </row>
    <row r="297" spans="1:14" ht="15.6">
      <c r="A297" s="4" t="s">
        <v>569</v>
      </c>
      <c r="B297" s="5">
        <v>44469.229904455598</v>
      </c>
      <c r="C297" s="5">
        <v>44471.499125928698</v>
      </c>
      <c r="D297" s="4" t="s">
        <v>98</v>
      </c>
      <c r="E297" s="4" t="s">
        <v>302</v>
      </c>
      <c r="F297" s="4" t="s">
        <v>135</v>
      </c>
      <c r="G297" s="4">
        <f t="shared" ca="1" si="12"/>
        <v>29</v>
      </c>
      <c r="H297" s="4">
        <v>1</v>
      </c>
      <c r="I297">
        <f t="shared" ca="1" si="13"/>
        <v>29</v>
      </c>
      <c r="J297">
        <f t="shared" si="14"/>
        <v>9</v>
      </c>
      <c r="K297" t="str">
        <f>VLOOKUP(E297,地区表!$A$2:$C$255,3,FALSE)</f>
        <v>华东</v>
      </c>
      <c r="L297" s="23" t="str" cm="1">
        <f t="array" ref="L297:N297">_xlfn.TEXTSPLIT(A297,"-")</f>
        <v>CN</v>
      </c>
      <c r="M297" s="22" t="str">
        <v>3013</v>
      </c>
      <c r="N297" s="22" t="str">
        <v>1182921</v>
      </c>
    </row>
    <row r="298" spans="1:14" ht="15.6">
      <c r="A298" s="4" t="s">
        <v>569</v>
      </c>
      <c r="B298" s="5">
        <v>44469.341508637597</v>
      </c>
      <c r="C298" s="5">
        <v>44471.907168580401</v>
      </c>
      <c r="D298" s="4" t="s">
        <v>98</v>
      </c>
      <c r="E298" s="4" t="s">
        <v>302</v>
      </c>
      <c r="F298" s="4" t="s">
        <v>96</v>
      </c>
      <c r="G298" s="4">
        <f t="shared" ca="1" si="12"/>
        <v>21</v>
      </c>
      <c r="H298" s="4">
        <v>5</v>
      </c>
      <c r="I298">
        <f t="shared" ca="1" si="13"/>
        <v>105</v>
      </c>
      <c r="J298">
        <f t="shared" si="14"/>
        <v>9</v>
      </c>
      <c r="K298" t="str">
        <f>VLOOKUP(E298,地区表!$A$2:$C$255,3,FALSE)</f>
        <v>华东</v>
      </c>
      <c r="L298" s="23" t="str" cm="1">
        <f t="array" ref="L298:N298">_xlfn.TEXTSPLIT(A298,"-")</f>
        <v>CN</v>
      </c>
      <c r="M298" s="22" t="str">
        <v>3013</v>
      </c>
      <c r="N298" s="22" t="str">
        <v>1182921</v>
      </c>
    </row>
    <row r="299" spans="1:14" ht="15.6">
      <c r="A299" s="4" t="s">
        <v>747</v>
      </c>
      <c r="B299" s="5">
        <v>44475.631630770396</v>
      </c>
      <c r="C299" s="5">
        <v>44475.699489841601</v>
      </c>
      <c r="D299" s="4" t="s">
        <v>94</v>
      </c>
      <c r="E299" s="4" t="s">
        <v>302</v>
      </c>
      <c r="F299" s="4" t="s">
        <v>125</v>
      </c>
      <c r="G299" s="4">
        <f t="shared" ca="1" si="12"/>
        <v>27</v>
      </c>
      <c r="H299" s="4">
        <v>2</v>
      </c>
      <c r="I299">
        <f t="shared" ca="1" si="13"/>
        <v>54</v>
      </c>
      <c r="J299">
        <f t="shared" si="14"/>
        <v>10</v>
      </c>
      <c r="K299" t="str">
        <f>VLOOKUP(E299,地区表!$A$2:$C$255,3,FALSE)</f>
        <v>华东</v>
      </c>
      <c r="L299" s="23" t="str" cm="1">
        <f t="array" ref="L299:N299">_xlfn.TEXTSPLIT(A299,"-")</f>
        <v>CN</v>
      </c>
      <c r="M299" s="22" t="str">
        <v>3019</v>
      </c>
      <c r="N299" s="22" t="str">
        <v>3360468</v>
      </c>
    </row>
    <row r="300" spans="1:14" ht="15.6">
      <c r="A300" s="4" t="s">
        <v>492</v>
      </c>
      <c r="B300" s="5">
        <v>45244.581191698402</v>
      </c>
      <c r="C300" s="5">
        <v>45248.433161551897</v>
      </c>
      <c r="D300" s="4" t="s">
        <v>98</v>
      </c>
      <c r="E300" s="4" t="s">
        <v>493</v>
      </c>
      <c r="F300" s="4" t="s">
        <v>121</v>
      </c>
      <c r="G300" s="4">
        <f t="shared" ca="1" si="12"/>
        <v>57</v>
      </c>
      <c r="H300" s="4">
        <v>2</v>
      </c>
      <c r="I300">
        <f t="shared" ca="1" si="13"/>
        <v>114</v>
      </c>
      <c r="J300">
        <f t="shared" si="14"/>
        <v>11</v>
      </c>
      <c r="K300" t="str">
        <f>VLOOKUP(E300,地区表!$A$2:$C$255,3,FALSE)</f>
        <v>中南</v>
      </c>
      <c r="L300" s="23" t="str" cm="1">
        <f t="array" ref="L300:N300">_xlfn.TEXTSPLIT(A300,"-")</f>
        <v>US</v>
      </c>
      <c r="M300" s="22" t="str">
        <v>2693</v>
      </c>
      <c r="N300" s="22" t="str">
        <v>5956361</v>
      </c>
    </row>
    <row r="301" spans="1:14" ht="15.6">
      <c r="A301" s="4" t="s">
        <v>492</v>
      </c>
      <c r="B301" s="5">
        <v>45244.472525112498</v>
      </c>
      <c r="C301" s="5">
        <v>45248.972129383503</v>
      </c>
      <c r="D301" s="4" t="s">
        <v>98</v>
      </c>
      <c r="E301" s="4" t="s">
        <v>493</v>
      </c>
      <c r="F301" s="4" t="s">
        <v>118</v>
      </c>
      <c r="G301" s="4">
        <f t="shared" ca="1" si="12"/>
        <v>15</v>
      </c>
      <c r="H301" s="4">
        <v>4</v>
      </c>
      <c r="I301">
        <f t="shared" ca="1" si="13"/>
        <v>60</v>
      </c>
      <c r="J301">
        <f t="shared" si="14"/>
        <v>11</v>
      </c>
      <c r="K301" t="str">
        <f>VLOOKUP(E301,地区表!$A$2:$C$255,3,FALSE)</f>
        <v>中南</v>
      </c>
      <c r="L301" s="23" t="str" cm="1">
        <f t="array" ref="L301:N301">_xlfn.TEXTSPLIT(A301,"-")</f>
        <v>US</v>
      </c>
      <c r="M301" s="22" t="str">
        <v>2693</v>
      </c>
      <c r="N301" s="22" t="str">
        <v>5956361</v>
      </c>
    </row>
    <row r="302" spans="1:14" ht="15.6">
      <c r="A302" s="4" t="s">
        <v>492</v>
      </c>
      <c r="B302" s="5">
        <v>45244.114994504998</v>
      </c>
      <c r="C302" s="5">
        <v>45248.237788543098</v>
      </c>
      <c r="D302" s="4" t="s">
        <v>98</v>
      </c>
      <c r="E302" s="4" t="s">
        <v>493</v>
      </c>
      <c r="F302" s="4" t="s">
        <v>135</v>
      </c>
      <c r="G302" s="4">
        <f t="shared" ca="1" si="12"/>
        <v>73</v>
      </c>
      <c r="H302" s="4">
        <v>3</v>
      </c>
      <c r="I302">
        <f t="shared" ca="1" si="13"/>
        <v>219</v>
      </c>
      <c r="J302">
        <f t="shared" si="14"/>
        <v>11</v>
      </c>
      <c r="K302" t="str">
        <f>VLOOKUP(E302,地区表!$A$2:$C$255,3,FALSE)</f>
        <v>中南</v>
      </c>
      <c r="L302" s="23" t="str" cm="1">
        <f t="array" ref="L302:N302">_xlfn.TEXTSPLIT(A302,"-")</f>
        <v>US</v>
      </c>
      <c r="M302" s="22" t="str">
        <v>2693</v>
      </c>
      <c r="N302" s="22" t="str">
        <v>5956361</v>
      </c>
    </row>
    <row r="303" spans="1:14" ht="15.6">
      <c r="A303" s="4" t="s">
        <v>492</v>
      </c>
      <c r="B303" s="5">
        <v>45244.367723825701</v>
      </c>
      <c r="C303" s="5">
        <v>45248.708528033399</v>
      </c>
      <c r="D303" s="4" t="s">
        <v>98</v>
      </c>
      <c r="E303" s="4" t="s">
        <v>493</v>
      </c>
      <c r="F303" s="4" t="s">
        <v>131</v>
      </c>
      <c r="G303" s="4">
        <f t="shared" ca="1" si="12"/>
        <v>50</v>
      </c>
      <c r="H303" s="4">
        <v>3</v>
      </c>
      <c r="I303">
        <f t="shared" ca="1" si="13"/>
        <v>150</v>
      </c>
      <c r="J303">
        <f t="shared" si="14"/>
        <v>11</v>
      </c>
      <c r="K303" t="str">
        <f>VLOOKUP(E303,地区表!$A$2:$C$255,3,FALSE)</f>
        <v>中南</v>
      </c>
      <c r="L303" s="23" t="str" cm="1">
        <f t="array" ref="L303:N303">_xlfn.TEXTSPLIT(A303,"-")</f>
        <v>US</v>
      </c>
      <c r="M303" s="22" t="str">
        <v>2693</v>
      </c>
      <c r="N303" s="22" t="str">
        <v>5956361</v>
      </c>
    </row>
    <row r="304" spans="1:14" ht="15.6">
      <c r="A304" s="4" t="s">
        <v>492</v>
      </c>
      <c r="B304" s="5">
        <v>45244.011827549999</v>
      </c>
      <c r="C304" s="5">
        <v>45248.573261102603</v>
      </c>
      <c r="D304" s="4" t="s">
        <v>98</v>
      </c>
      <c r="E304" s="4" t="s">
        <v>493</v>
      </c>
      <c r="F304" s="4" t="s">
        <v>121</v>
      </c>
      <c r="G304" s="4">
        <f t="shared" ca="1" si="12"/>
        <v>40</v>
      </c>
      <c r="H304" s="4">
        <v>3</v>
      </c>
      <c r="I304">
        <f t="shared" ca="1" si="13"/>
        <v>120</v>
      </c>
      <c r="J304">
        <f t="shared" si="14"/>
        <v>11</v>
      </c>
      <c r="K304" t="str">
        <f>VLOOKUP(E304,地区表!$A$2:$C$255,3,FALSE)</f>
        <v>中南</v>
      </c>
      <c r="L304" s="23" t="str" cm="1">
        <f t="array" ref="L304:N304">_xlfn.TEXTSPLIT(A304,"-")</f>
        <v>US</v>
      </c>
      <c r="M304" s="22" t="str">
        <v>2693</v>
      </c>
      <c r="N304" s="22" t="str">
        <v>5956361</v>
      </c>
    </row>
    <row r="305" spans="1:14" ht="15.6">
      <c r="A305" s="4" t="s">
        <v>324</v>
      </c>
      <c r="B305" s="5">
        <v>45234.011787155498</v>
      </c>
      <c r="C305" s="5">
        <v>45236.843840449001</v>
      </c>
      <c r="D305" s="4" t="s">
        <v>98</v>
      </c>
      <c r="E305" s="4" t="s">
        <v>325</v>
      </c>
      <c r="F305" s="4" t="s">
        <v>112</v>
      </c>
      <c r="G305" s="4">
        <f t="shared" ca="1" si="12"/>
        <v>76</v>
      </c>
      <c r="H305" s="4">
        <v>3</v>
      </c>
      <c r="I305">
        <f t="shared" ca="1" si="13"/>
        <v>228</v>
      </c>
      <c r="J305">
        <f t="shared" si="14"/>
        <v>11</v>
      </c>
      <c r="K305" t="str">
        <f>VLOOKUP(E305,地区表!$A$2:$C$255,3,FALSE)</f>
        <v>华北</v>
      </c>
      <c r="L305" s="23" t="str" cm="1">
        <f t="array" ref="L305:N305">_xlfn.TEXTSPLIT(A305,"-")</f>
        <v>US</v>
      </c>
      <c r="M305" s="22" t="str">
        <v>2683</v>
      </c>
      <c r="N305" s="22" t="str">
        <v>3585437</v>
      </c>
    </row>
    <row r="306" spans="1:14" ht="15.6">
      <c r="A306" s="4" t="s">
        <v>324</v>
      </c>
      <c r="B306" s="5">
        <v>45234.165128188302</v>
      </c>
      <c r="C306" s="5">
        <v>45236.017074569201</v>
      </c>
      <c r="D306" s="4" t="s">
        <v>98</v>
      </c>
      <c r="E306" s="4" t="s">
        <v>325</v>
      </c>
      <c r="F306" s="4" t="s">
        <v>101</v>
      </c>
      <c r="G306" s="4">
        <f t="shared" ca="1" si="12"/>
        <v>56</v>
      </c>
      <c r="H306" s="4">
        <v>1</v>
      </c>
      <c r="I306">
        <f t="shared" ca="1" si="13"/>
        <v>56</v>
      </c>
      <c r="J306">
        <f t="shared" si="14"/>
        <v>11</v>
      </c>
      <c r="K306" t="str">
        <f>VLOOKUP(E306,地区表!$A$2:$C$255,3,FALSE)</f>
        <v>华北</v>
      </c>
      <c r="L306" s="23" t="str" cm="1">
        <f t="array" ref="L306:N306">_xlfn.TEXTSPLIT(A306,"-")</f>
        <v>US</v>
      </c>
      <c r="M306" s="22" t="str">
        <v>2683</v>
      </c>
      <c r="N306" s="22" t="str">
        <v>3585437</v>
      </c>
    </row>
    <row r="307" spans="1:14" ht="15.6">
      <c r="A307" s="4" t="s">
        <v>178</v>
      </c>
      <c r="B307" s="5">
        <v>44955.747838194198</v>
      </c>
      <c r="C307" s="5">
        <v>44960.352820006497</v>
      </c>
      <c r="D307" s="4" t="s">
        <v>98</v>
      </c>
      <c r="E307" s="4" t="s">
        <v>179</v>
      </c>
      <c r="F307" s="4" t="s">
        <v>125</v>
      </c>
      <c r="G307" s="4">
        <f t="shared" ca="1" si="12"/>
        <v>80</v>
      </c>
      <c r="H307" s="4">
        <v>5</v>
      </c>
      <c r="I307">
        <f t="shared" ca="1" si="13"/>
        <v>400</v>
      </c>
      <c r="J307">
        <f t="shared" si="14"/>
        <v>1</v>
      </c>
      <c r="K307" t="str">
        <f>VLOOKUP(E307,地区表!$A$2:$C$255,3,FALSE)</f>
        <v>华东</v>
      </c>
      <c r="L307" s="23" t="str" cm="1">
        <f t="array" ref="L307:N307">_xlfn.TEXTSPLIT(A307,"-")</f>
        <v>CN</v>
      </c>
      <c r="M307" s="22" t="str">
        <v>2404</v>
      </c>
      <c r="N307" s="22" t="str">
        <v>3188191</v>
      </c>
    </row>
    <row r="308" spans="1:14" ht="15.6">
      <c r="A308" s="4" t="s">
        <v>485</v>
      </c>
      <c r="B308" s="5">
        <v>44944.823401796399</v>
      </c>
      <c r="C308" s="5">
        <v>44948.160467296402</v>
      </c>
      <c r="D308" s="4" t="s">
        <v>98</v>
      </c>
      <c r="E308" s="4" t="s">
        <v>179</v>
      </c>
      <c r="F308" s="4" t="s">
        <v>96</v>
      </c>
      <c r="G308" s="4">
        <f t="shared" ca="1" si="12"/>
        <v>72</v>
      </c>
      <c r="H308" s="4">
        <v>2</v>
      </c>
      <c r="I308">
        <f t="shared" ca="1" si="13"/>
        <v>144</v>
      </c>
      <c r="J308">
        <f t="shared" si="14"/>
        <v>1</v>
      </c>
      <c r="K308" t="str">
        <f>VLOOKUP(E308,地区表!$A$2:$C$255,3,FALSE)</f>
        <v>华东</v>
      </c>
      <c r="L308" s="23" t="str" cm="1">
        <f t="array" ref="L308:N308">_xlfn.TEXTSPLIT(A308,"-")</f>
        <v>CN</v>
      </c>
      <c r="M308" s="22" t="str">
        <v>2393</v>
      </c>
      <c r="N308" s="22" t="str">
        <v>4214287</v>
      </c>
    </row>
    <row r="309" spans="1:14" ht="15.6">
      <c r="A309" s="4" t="s">
        <v>171</v>
      </c>
      <c r="B309" s="5">
        <v>44579.2123565863</v>
      </c>
      <c r="C309" s="5">
        <v>44581.941467977798</v>
      </c>
      <c r="D309" s="4" t="s">
        <v>94</v>
      </c>
      <c r="E309" s="4" t="s">
        <v>172</v>
      </c>
      <c r="F309" s="4" t="s">
        <v>109</v>
      </c>
      <c r="G309" s="4">
        <f t="shared" ca="1" si="12"/>
        <v>96</v>
      </c>
      <c r="H309" s="4">
        <v>4</v>
      </c>
      <c r="I309">
        <f t="shared" ca="1" si="13"/>
        <v>384</v>
      </c>
      <c r="J309">
        <f t="shared" si="14"/>
        <v>1</v>
      </c>
      <c r="K309" t="str">
        <f>VLOOKUP(E309,地区表!$A$2:$C$255,3,FALSE)</f>
        <v>中南</v>
      </c>
      <c r="L309" s="23" t="str" cm="1">
        <f t="array" ref="L309:N309">_xlfn.TEXTSPLIT(A309,"-")</f>
        <v>CN</v>
      </c>
      <c r="M309" s="22" t="str">
        <v>3123</v>
      </c>
      <c r="N309" s="22" t="str">
        <v>5922906</v>
      </c>
    </row>
    <row r="310" spans="1:14" ht="15.6">
      <c r="A310" s="4" t="s">
        <v>581</v>
      </c>
      <c r="B310" s="5">
        <v>44767.4137528746</v>
      </c>
      <c r="C310" s="5">
        <v>44773.483690033499</v>
      </c>
      <c r="D310" s="4" t="s">
        <v>94</v>
      </c>
      <c r="E310" s="4" t="s">
        <v>582</v>
      </c>
      <c r="F310" s="4" t="s">
        <v>109</v>
      </c>
      <c r="G310" s="4">
        <f t="shared" ca="1" si="12"/>
        <v>59</v>
      </c>
      <c r="H310" s="4">
        <v>4</v>
      </c>
      <c r="I310">
        <f t="shared" ca="1" si="13"/>
        <v>236</v>
      </c>
      <c r="J310">
        <f t="shared" si="14"/>
        <v>7</v>
      </c>
      <c r="K310" t="str">
        <f>VLOOKUP(E310,地区表!$A$2:$C$255,3,FALSE)</f>
        <v>西北</v>
      </c>
      <c r="L310" s="23" t="str" cm="1">
        <f t="array" ref="L310:N310">_xlfn.TEXTSPLIT(A310,"-")</f>
        <v>CN</v>
      </c>
      <c r="M310" s="22" t="str">
        <v>2216</v>
      </c>
      <c r="N310" s="22" t="str">
        <v>5128542</v>
      </c>
    </row>
    <row r="311" spans="1:14" ht="15.6">
      <c r="A311" s="4" t="s">
        <v>581</v>
      </c>
      <c r="B311" s="5">
        <v>44767.391486935601</v>
      </c>
      <c r="C311" s="5">
        <v>44773.146208694001</v>
      </c>
      <c r="D311" s="4" t="s">
        <v>94</v>
      </c>
      <c r="E311" s="4" t="s">
        <v>582</v>
      </c>
      <c r="F311" s="4" t="s">
        <v>111</v>
      </c>
      <c r="G311" s="4">
        <f t="shared" ca="1" si="12"/>
        <v>40</v>
      </c>
      <c r="H311" s="4">
        <v>3</v>
      </c>
      <c r="I311">
        <f t="shared" ca="1" si="13"/>
        <v>120</v>
      </c>
      <c r="J311">
        <f t="shared" si="14"/>
        <v>7</v>
      </c>
      <c r="K311" t="str">
        <f>VLOOKUP(E311,地区表!$A$2:$C$255,3,FALSE)</f>
        <v>西北</v>
      </c>
      <c r="L311" s="23" t="str" cm="1">
        <f t="array" ref="L311:N311">_xlfn.TEXTSPLIT(A311,"-")</f>
        <v>CN</v>
      </c>
      <c r="M311" s="22" t="str">
        <v>2216</v>
      </c>
      <c r="N311" s="22" t="str">
        <v>5128542</v>
      </c>
    </row>
    <row r="312" spans="1:14" ht="15.6">
      <c r="A312" s="4" t="s">
        <v>581</v>
      </c>
      <c r="B312" s="5">
        <v>44767.672478776301</v>
      </c>
      <c r="C312" s="5">
        <v>44773.940396618302</v>
      </c>
      <c r="D312" s="4" t="s">
        <v>94</v>
      </c>
      <c r="E312" s="4" t="s">
        <v>582</v>
      </c>
      <c r="F312" s="4" t="s">
        <v>111</v>
      </c>
      <c r="G312" s="4">
        <f t="shared" ca="1" si="12"/>
        <v>64</v>
      </c>
      <c r="H312" s="4">
        <v>2</v>
      </c>
      <c r="I312">
        <f t="shared" ca="1" si="13"/>
        <v>128</v>
      </c>
      <c r="J312">
        <f t="shared" si="14"/>
        <v>7</v>
      </c>
      <c r="K312" t="str">
        <f>VLOOKUP(E312,地区表!$A$2:$C$255,3,FALSE)</f>
        <v>西北</v>
      </c>
      <c r="L312" s="23" t="str" cm="1">
        <f t="array" ref="L312:N312">_xlfn.TEXTSPLIT(A312,"-")</f>
        <v>CN</v>
      </c>
      <c r="M312" s="22" t="str">
        <v>2216</v>
      </c>
      <c r="N312" s="22" t="str">
        <v>5128542</v>
      </c>
    </row>
    <row r="313" spans="1:14" ht="15.6">
      <c r="A313" s="4" t="s">
        <v>255</v>
      </c>
      <c r="B313" s="5">
        <v>45172.227717491201</v>
      </c>
      <c r="C313" s="5">
        <v>45177.493141722203</v>
      </c>
      <c r="D313" s="4" t="s">
        <v>98</v>
      </c>
      <c r="E313" s="4" t="s">
        <v>256</v>
      </c>
      <c r="F313" s="4" t="s">
        <v>122</v>
      </c>
      <c r="G313" s="4">
        <f t="shared" ca="1" si="12"/>
        <v>97</v>
      </c>
      <c r="H313" s="4">
        <v>6</v>
      </c>
      <c r="I313">
        <f t="shared" ca="1" si="13"/>
        <v>582</v>
      </c>
      <c r="J313">
        <f t="shared" si="14"/>
        <v>9</v>
      </c>
      <c r="K313" t="str">
        <f>VLOOKUP(E313,地区表!$A$2:$C$255,3,FALSE)</f>
        <v>华东</v>
      </c>
      <c r="L313" s="23" t="str" cm="1">
        <f t="array" ref="L313:N313">_xlfn.TEXTSPLIT(A313,"-")</f>
        <v>US</v>
      </c>
      <c r="M313" s="22" t="str">
        <v>2621</v>
      </c>
      <c r="N313" s="22" t="str">
        <v>2560726</v>
      </c>
    </row>
    <row r="314" spans="1:14" ht="15.6">
      <c r="A314" s="4" t="s">
        <v>128</v>
      </c>
      <c r="B314" s="5">
        <v>45208.448006333703</v>
      </c>
      <c r="C314" s="5">
        <v>45215.042592208498</v>
      </c>
      <c r="D314" s="4" t="s">
        <v>94</v>
      </c>
      <c r="E314" s="4" t="s">
        <v>129</v>
      </c>
      <c r="F314" s="4" t="s">
        <v>130</v>
      </c>
      <c r="G314" s="4">
        <f t="shared" ca="1" si="12"/>
        <v>81</v>
      </c>
      <c r="H314" s="4">
        <v>4</v>
      </c>
      <c r="I314">
        <f t="shared" ca="1" si="13"/>
        <v>324</v>
      </c>
      <c r="J314">
        <f t="shared" si="14"/>
        <v>10</v>
      </c>
      <c r="K314" t="str">
        <f>VLOOKUP(E314,地区表!$A$2:$C$255,3,FALSE)</f>
        <v>华东</v>
      </c>
      <c r="L314" s="23" t="str" cm="1">
        <f t="array" ref="L314:N314">_xlfn.TEXTSPLIT(A314,"-")</f>
        <v>US</v>
      </c>
      <c r="M314" s="22" t="str">
        <v>2657</v>
      </c>
      <c r="N314" s="22" t="str">
        <v>4150614</v>
      </c>
    </row>
    <row r="315" spans="1:14" ht="15.6">
      <c r="A315" s="4" t="s">
        <v>128</v>
      </c>
      <c r="B315" s="5">
        <v>45208.189871937197</v>
      </c>
      <c r="C315" s="5">
        <v>45215.121933843096</v>
      </c>
      <c r="D315" s="4" t="s">
        <v>94</v>
      </c>
      <c r="E315" s="4" t="s">
        <v>129</v>
      </c>
      <c r="F315" s="4" t="s">
        <v>110</v>
      </c>
      <c r="G315" s="4">
        <f t="shared" ca="1" si="12"/>
        <v>57</v>
      </c>
      <c r="H315" s="4">
        <v>3</v>
      </c>
      <c r="I315">
        <f t="shared" ca="1" si="13"/>
        <v>171</v>
      </c>
      <c r="J315">
        <f t="shared" si="14"/>
        <v>10</v>
      </c>
      <c r="K315" t="str">
        <f>VLOOKUP(E315,地区表!$A$2:$C$255,3,FALSE)</f>
        <v>华东</v>
      </c>
      <c r="L315" s="23" t="str" cm="1">
        <f t="array" ref="L315:N315">_xlfn.TEXTSPLIT(A315,"-")</f>
        <v>US</v>
      </c>
      <c r="M315" s="22" t="str">
        <v>2657</v>
      </c>
      <c r="N315" s="22" t="str">
        <v>4150614</v>
      </c>
    </row>
    <row r="316" spans="1:14" ht="15.6">
      <c r="A316" s="4" t="s">
        <v>128</v>
      </c>
      <c r="B316" s="5">
        <v>45208.893591027401</v>
      </c>
      <c r="C316" s="5">
        <v>45215.248539597203</v>
      </c>
      <c r="D316" s="4" t="s">
        <v>94</v>
      </c>
      <c r="E316" s="4" t="s">
        <v>129</v>
      </c>
      <c r="F316" s="4" t="s">
        <v>112</v>
      </c>
      <c r="G316" s="4">
        <f t="shared" ca="1" si="12"/>
        <v>67</v>
      </c>
      <c r="H316" s="4">
        <v>5</v>
      </c>
      <c r="I316">
        <f t="shared" ca="1" si="13"/>
        <v>335</v>
      </c>
      <c r="J316">
        <f t="shared" si="14"/>
        <v>10</v>
      </c>
      <c r="K316" t="str">
        <f>VLOOKUP(E316,地区表!$A$2:$C$255,3,FALSE)</f>
        <v>华东</v>
      </c>
      <c r="L316" s="23" t="str" cm="1">
        <f t="array" ref="L316:N316">_xlfn.TEXTSPLIT(A316,"-")</f>
        <v>US</v>
      </c>
      <c r="M316" s="22" t="str">
        <v>2657</v>
      </c>
      <c r="N316" s="22" t="str">
        <v>4150614</v>
      </c>
    </row>
    <row r="317" spans="1:14" ht="15.6">
      <c r="A317" s="4" t="s">
        <v>128</v>
      </c>
      <c r="B317" s="5">
        <v>45208.545645306702</v>
      </c>
      <c r="C317" s="5">
        <v>45215.9372202093</v>
      </c>
      <c r="D317" s="4" t="s">
        <v>94</v>
      </c>
      <c r="E317" s="4" t="s">
        <v>129</v>
      </c>
      <c r="F317" s="4" t="s">
        <v>112</v>
      </c>
      <c r="G317" s="4">
        <f t="shared" ca="1" si="12"/>
        <v>67</v>
      </c>
      <c r="H317" s="4">
        <v>8</v>
      </c>
      <c r="I317">
        <f t="shared" ca="1" si="13"/>
        <v>536</v>
      </c>
      <c r="J317">
        <f t="shared" si="14"/>
        <v>10</v>
      </c>
      <c r="K317" t="str">
        <f>VLOOKUP(E317,地区表!$A$2:$C$255,3,FALSE)</f>
        <v>华东</v>
      </c>
      <c r="L317" s="23" t="str" cm="1">
        <f t="array" ref="L317:N317">_xlfn.TEXTSPLIT(A317,"-")</f>
        <v>US</v>
      </c>
      <c r="M317" s="22" t="str">
        <v>2657</v>
      </c>
      <c r="N317" s="22" t="str">
        <v>4150614</v>
      </c>
    </row>
    <row r="318" spans="1:14" ht="15.6">
      <c r="A318" s="4" t="s">
        <v>128</v>
      </c>
      <c r="B318" s="5">
        <v>45208.892254056402</v>
      </c>
      <c r="C318" s="5">
        <v>45215.824776363697</v>
      </c>
      <c r="D318" s="4" t="s">
        <v>94</v>
      </c>
      <c r="E318" s="4" t="s">
        <v>129</v>
      </c>
      <c r="F318" s="4" t="s">
        <v>96</v>
      </c>
      <c r="G318" s="4">
        <f t="shared" ca="1" si="12"/>
        <v>92</v>
      </c>
      <c r="H318" s="4">
        <v>6</v>
      </c>
      <c r="I318">
        <f t="shared" ca="1" si="13"/>
        <v>552</v>
      </c>
      <c r="J318">
        <f t="shared" si="14"/>
        <v>10</v>
      </c>
      <c r="K318" t="str">
        <f>VLOOKUP(E318,地区表!$A$2:$C$255,3,FALSE)</f>
        <v>华东</v>
      </c>
      <c r="L318" s="23" t="str" cm="1">
        <f t="array" ref="L318:N318">_xlfn.TEXTSPLIT(A318,"-")</f>
        <v>US</v>
      </c>
      <c r="M318" s="22" t="str">
        <v>2657</v>
      </c>
      <c r="N318" s="22" t="str">
        <v>4150614</v>
      </c>
    </row>
    <row r="319" spans="1:14" ht="15.6">
      <c r="A319" s="4" t="s">
        <v>128</v>
      </c>
      <c r="B319" s="5">
        <v>45208.650748257802</v>
      </c>
      <c r="C319" s="5">
        <v>45215.978311171202</v>
      </c>
      <c r="D319" s="4" t="s">
        <v>94</v>
      </c>
      <c r="E319" s="4" t="s">
        <v>129</v>
      </c>
      <c r="F319" s="4" t="s">
        <v>121</v>
      </c>
      <c r="G319" s="4">
        <f t="shared" ca="1" si="12"/>
        <v>83</v>
      </c>
      <c r="H319" s="4">
        <v>1</v>
      </c>
      <c r="I319">
        <f t="shared" ca="1" si="13"/>
        <v>83</v>
      </c>
      <c r="J319">
        <f t="shared" si="14"/>
        <v>10</v>
      </c>
      <c r="K319" t="str">
        <f>VLOOKUP(E319,地区表!$A$2:$C$255,3,FALSE)</f>
        <v>华东</v>
      </c>
      <c r="L319" s="23" t="str" cm="1">
        <f t="array" ref="L319:N319">_xlfn.TEXTSPLIT(A319,"-")</f>
        <v>US</v>
      </c>
      <c r="M319" s="22" t="str">
        <v>2657</v>
      </c>
      <c r="N319" s="22" t="str">
        <v>4150614</v>
      </c>
    </row>
    <row r="320" spans="1:14" ht="15.6">
      <c r="A320" s="4" t="s">
        <v>128</v>
      </c>
      <c r="B320" s="5">
        <v>45208.520987428303</v>
      </c>
      <c r="C320" s="5">
        <v>45215.723769575903</v>
      </c>
      <c r="D320" s="4" t="s">
        <v>94</v>
      </c>
      <c r="E320" s="4" t="s">
        <v>129</v>
      </c>
      <c r="F320" s="4" t="s">
        <v>131</v>
      </c>
      <c r="G320" s="4">
        <f t="shared" ca="1" si="12"/>
        <v>77</v>
      </c>
      <c r="H320" s="4">
        <v>2</v>
      </c>
      <c r="I320">
        <f t="shared" ca="1" si="13"/>
        <v>154</v>
      </c>
      <c r="J320">
        <f t="shared" si="14"/>
        <v>10</v>
      </c>
      <c r="K320" t="str">
        <f>VLOOKUP(E320,地区表!$A$2:$C$255,3,FALSE)</f>
        <v>华东</v>
      </c>
      <c r="L320" s="23" t="str" cm="1">
        <f t="array" ref="L320:N320">_xlfn.TEXTSPLIT(A320,"-")</f>
        <v>US</v>
      </c>
      <c r="M320" s="22" t="str">
        <v>2657</v>
      </c>
      <c r="N320" s="22" t="str">
        <v>4150614</v>
      </c>
    </row>
    <row r="321" spans="1:14" ht="15.6">
      <c r="A321" s="4" t="s">
        <v>278</v>
      </c>
      <c r="B321" s="5">
        <v>44491.034441585398</v>
      </c>
      <c r="C321" s="5">
        <v>44495.606130998101</v>
      </c>
      <c r="D321" s="4" t="s">
        <v>98</v>
      </c>
      <c r="E321" s="4" t="s">
        <v>279</v>
      </c>
      <c r="F321" s="4" t="s">
        <v>112</v>
      </c>
      <c r="G321" s="4">
        <f t="shared" ca="1" si="12"/>
        <v>10</v>
      </c>
      <c r="H321" s="4">
        <v>3</v>
      </c>
      <c r="I321">
        <f t="shared" ca="1" si="13"/>
        <v>30</v>
      </c>
      <c r="J321">
        <f t="shared" si="14"/>
        <v>10</v>
      </c>
      <c r="K321" t="str">
        <f>VLOOKUP(E321,地区表!$A$2:$C$255,3,FALSE)</f>
        <v>中南</v>
      </c>
      <c r="L321" s="23" t="str" cm="1">
        <f t="array" ref="L321:N321">_xlfn.TEXTSPLIT(A321,"-")</f>
        <v>CN</v>
      </c>
      <c r="M321" s="22" t="str">
        <v>3035</v>
      </c>
      <c r="N321" s="22" t="str">
        <v>3022026</v>
      </c>
    </row>
    <row r="322" spans="1:14" ht="15.6">
      <c r="A322" s="4" t="s">
        <v>482</v>
      </c>
      <c r="B322" s="5">
        <v>44573.8787310189</v>
      </c>
      <c r="C322" s="5">
        <v>44578.794582410097</v>
      </c>
      <c r="D322" s="4" t="s">
        <v>98</v>
      </c>
      <c r="E322" s="4" t="s">
        <v>279</v>
      </c>
      <c r="F322" s="4" t="s">
        <v>111</v>
      </c>
      <c r="G322" s="4">
        <f t="shared" ref="G322:G385" ca="1" si="15">RANDBETWEEN(10,100)</f>
        <v>33</v>
      </c>
      <c r="H322" s="4">
        <v>2</v>
      </c>
      <c r="I322">
        <f t="shared" ca="1" si="13"/>
        <v>66</v>
      </c>
      <c r="J322">
        <f t="shared" si="14"/>
        <v>1</v>
      </c>
      <c r="K322" t="str">
        <f>VLOOKUP(E322,地区表!$A$2:$C$255,3,FALSE)</f>
        <v>中南</v>
      </c>
      <c r="L322" s="23" t="str" cm="1">
        <f t="array" ref="L322:N322">_xlfn.TEXTSPLIT(A322,"-")</f>
        <v>CN</v>
      </c>
      <c r="M322" s="22" t="str">
        <v>3117</v>
      </c>
      <c r="N322" s="22" t="str">
        <v>4936120</v>
      </c>
    </row>
    <row r="323" spans="1:14" ht="15.6">
      <c r="A323" s="4" t="s">
        <v>482</v>
      </c>
      <c r="B323" s="5">
        <v>44573.2300449373</v>
      </c>
      <c r="C323" s="5">
        <v>44578.552785890097</v>
      </c>
      <c r="D323" s="4" t="s">
        <v>98</v>
      </c>
      <c r="E323" s="4" t="s">
        <v>279</v>
      </c>
      <c r="F323" s="4" t="s">
        <v>112</v>
      </c>
      <c r="G323" s="4">
        <f t="shared" ca="1" si="15"/>
        <v>34</v>
      </c>
      <c r="H323" s="4">
        <v>5</v>
      </c>
      <c r="I323">
        <f t="shared" ref="I323:I386" ca="1" si="16">G323*H323</f>
        <v>170</v>
      </c>
      <c r="J323">
        <f t="shared" ref="J323:J386" si="17">MONTH(B323)</f>
        <v>1</v>
      </c>
      <c r="K323" t="str">
        <f>VLOOKUP(E323,地区表!$A$2:$C$255,3,FALSE)</f>
        <v>中南</v>
      </c>
      <c r="L323" s="23" t="str" cm="1">
        <f t="array" ref="L323:N323">_xlfn.TEXTSPLIT(A323,"-")</f>
        <v>CN</v>
      </c>
      <c r="M323" s="22" t="str">
        <v>3117</v>
      </c>
      <c r="N323" s="22" t="str">
        <v>4936120</v>
      </c>
    </row>
    <row r="324" spans="1:14" ht="15.6">
      <c r="A324" s="4" t="s">
        <v>482</v>
      </c>
      <c r="B324" s="5">
        <v>44573.346445693001</v>
      </c>
      <c r="C324" s="5">
        <v>44578.9948622886</v>
      </c>
      <c r="D324" s="4" t="s">
        <v>98</v>
      </c>
      <c r="E324" s="4" t="s">
        <v>279</v>
      </c>
      <c r="F324" s="4" t="s">
        <v>100</v>
      </c>
      <c r="G324" s="4">
        <f t="shared" ca="1" si="15"/>
        <v>78</v>
      </c>
      <c r="H324" s="4">
        <v>6</v>
      </c>
      <c r="I324">
        <f t="shared" ca="1" si="16"/>
        <v>468</v>
      </c>
      <c r="J324">
        <f t="shared" si="17"/>
        <v>1</v>
      </c>
      <c r="K324" t="str">
        <f>VLOOKUP(E324,地区表!$A$2:$C$255,3,FALSE)</f>
        <v>中南</v>
      </c>
      <c r="L324" s="23" t="str" cm="1">
        <f t="array" ref="L324:N324">_xlfn.TEXTSPLIT(A324,"-")</f>
        <v>CN</v>
      </c>
      <c r="M324" s="22" t="str">
        <v>3117</v>
      </c>
      <c r="N324" s="22" t="str">
        <v>4936120</v>
      </c>
    </row>
    <row r="325" spans="1:14" ht="15.6">
      <c r="A325" s="4" t="s">
        <v>482</v>
      </c>
      <c r="B325" s="5">
        <v>44573.057081343002</v>
      </c>
      <c r="C325" s="5">
        <v>44578.512854668901</v>
      </c>
      <c r="D325" s="4" t="s">
        <v>98</v>
      </c>
      <c r="E325" s="4" t="s">
        <v>279</v>
      </c>
      <c r="F325" s="4" t="s">
        <v>109</v>
      </c>
      <c r="G325" s="4">
        <f t="shared" ca="1" si="15"/>
        <v>49</v>
      </c>
      <c r="H325" s="4">
        <v>1</v>
      </c>
      <c r="I325">
        <f t="shared" ca="1" si="16"/>
        <v>49</v>
      </c>
      <c r="J325">
        <f t="shared" si="17"/>
        <v>1</v>
      </c>
      <c r="K325" t="str">
        <f>VLOOKUP(E325,地区表!$A$2:$C$255,3,FALSE)</f>
        <v>中南</v>
      </c>
      <c r="L325" s="23" t="str" cm="1">
        <f t="array" ref="L325:N325">_xlfn.TEXTSPLIT(A325,"-")</f>
        <v>CN</v>
      </c>
      <c r="M325" s="22" t="str">
        <v>3117</v>
      </c>
      <c r="N325" s="22" t="str">
        <v>4936120</v>
      </c>
    </row>
    <row r="326" spans="1:14" ht="15.6">
      <c r="A326" s="4" t="s">
        <v>494</v>
      </c>
      <c r="B326" s="5">
        <v>45271.790147895503</v>
      </c>
      <c r="C326" s="5">
        <v>45275.721285357999</v>
      </c>
      <c r="D326" s="4" t="s">
        <v>94</v>
      </c>
      <c r="E326" s="4" t="s">
        <v>279</v>
      </c>
      <c r="F326" s="4" t="s">
        <v>106</v>
      </c>
      <c r="G326" s="4">
        <f t="shared" ca="1" si="15"/>
        <v>79</v>
      </c>
      <c r="H326" s="4">
        <v>2</v>
      </c>
      <c r="I326">
        <f t="shared" ca="1" si="16"/>
        <v>158</v>
      </c>
      <c r="J326">
        <f t="shared" si="17"/>
        <v>12</v>
      </c>
      <c r="K326" t="str">
        <f>VLOOKUP(E326,地区表!$A$2:$C$255,3,FALSE)</f>
        <v>中南</v>
      </c>
      <c r="L326" s="23" t="str" cm="1">
        <f t="array" ref="L326:N326">_xlfn.TEXTSPLIT(A326,"-")</f>
        <v>CN</v>
      </c>
      <c r="M326" s="22" t="str">
        <v>1989</v>
      </c>
      <c r="N326" s="22" t="str">
        <v>2121055</v>
      </c>
    </row>
    <row r="327" spans="1:14" ht="15.6">
      <c r="A327" s="4" t="s">
        <v>494</v>
      </c>
      <c r="B327" s="5">
        <v>45271.793480004198</v>
      </c>
      <c r="C327" s="5">
        <v>45275.430475677</v>
      </c>
      <c r="D327" s="4" t="s">
        <v>94</v>
      </c>
      <c r="E327" s="4" t="s">
        <v>279</v>
      </c>
      <c r="F327" s="4" t="s">
        <v>100</v>
      </c>
      <c r="G327" s="4">
        <f t="shared" ca="1" si="15"/>
        <v>64</v>
      </c>
      <c r="H327" s="4">
        <v>4</v>
      </c>
      <c r="I327">
        <f t="shared" ca="1" si="16"/>
        <v>256</v>
      </c>
      <c r="J327">
        <f t="shared" si="17"/>
        <v>12</v>
      </c>
      <c r="K327" t="str">
        <f>VLOOKUP(E327,地区表!$A$2:$C$255,3,FALSE)</f>
        <v>中南</v>
      </c>
      <c r="L327" s="23" t="str" cm="1">
        <f t="array" ref="L327:N327">_xlfn.TEXTSPLIT(A327,"-")</f>
        <v>CN</v>
      </c>
      <c r="M327" s="22" t="str">
        <v>1989</v>
      </c>
      <c r="N327" s="22" t="str">
        <v>2121055</v>
      </c>
    </row>
    <row r="328" spans="1:14" ht="15.6">
      <c r="A328" s="4" t="s">
        <v>494</v>
      </c>
      <c r="B328" s="5">
        <v>45271.409993995003</v>
      </c>
      <c r="C328" s="5">
        <v>45275.743751576498</v>
      </c>
      <c r="D328" s="4" t="s">
        <v>94</v>
      </c>
      <c r="E328" s="4" t="s">
        <v>279</v>
      </c>
      <c r="F328" s="4" t="s">
        <v>96</v>
      </c>
      <c r="G328" s="4">
        <f t="shared" ca="1" si="15"/>
        <v>19</v>
      </c>
      <c r="H328" s="4">
        <v>2</v>
      </c>
      <c r="I328">
        <f t="shared" ca="1" si="16"/>
        <v>38</v>
      </c>
      <c r="J328">
        <f t="shared" si="17"/>
        <v>12</v>
      </c>
      <c r="K328" t="str">
        <f>VLOOKUP(E328,地区表!$A$2:$C$255,3,FALSE)</f>
        <v>中南</v>
      </c>
      <c r="L328" s="23" t="str" cm="1">
        <f t="array" ref="L328:N328">_xlfn.TEXTSPLIT(A328,"-")</f>
        <v>CN</v>
      </c>
      <c r="M328" s="22" t="str">
        <v>1989</v>
      </c>
      <c r="N328" s="22" t="str">
        <v>2121055</v>
      </c>
    </row>
    <row r="329" spans="1:14" ht="15.6">
      <c r="A329" s="4" t="s">
        <v>494</v>
      </c>
      <c r="B329" s="5">
        <v>45271.752130587898</v>
      </c>
      <c r="C329" s="5">
        <v>45275.717343025499</v>
      </c>
      <c r="D329" s="4" t="s">
        <v>94</v>
      </c>
      <c r="E329" s="4" t="s">
        <v>279</v>
      </c>
      <c r="F329" s="4" t="s">
        <v>144</v>
      </c>
      <c r="G329" s="4">
        <f t="shared" ca="1" si="15"/>
        <v>43</v>
      </c>
      <c r="H329" s="4">
        <v>2</v>
      </c>
      <c r="I329">
        <f t="shared" ca="1" si="16"/>
        <v>86</v>
      </c>
      <c r="J329">
        <f t="shared" si="17"/>
        <v>12</v>
      </c>
      <c r="K329" t="str">
        <f>VLOOKUP(E329,地区表!$A$2:$C$255,3,FALSE)</f>
        <v>中南</v>
      </c>
      <c r="L329" s="23" t="str" cm="1">
        <f t="array" ref="L329:N329">_xlfn.TEXTSPLIT(A329,"-")</f>
        <v>CN</v>
      </c>
      <c r="M329" s="22" t="str">
        <v>1989</v>
      </c>
      <c r="N329" s="22" t="str">
        <v>2121055</v>
      </c>
    </row>
    <row r="330" spans="1:14" ht="15.6">
      <c r="A330" s="4" t="s">
        <v>772</v>
      </c>
      <c r="B330" s="5">
        <v>45019.0952792393</v>
      </c>
      <c r="C330" s="5">
        <v>45021.067189334601</v>
      </c>
      <c r="D330" s="4" t="s">
        <v>98</v>
      </c>
      <c r="E330" s="4" t="s">
        <v>279</v>
      </c>
      <c r="F330" s="4" t="s">
        <v>101</v>
      </c>
      <c r="G330" s="4">
        <f t="shared" ca="1" si="15"/>
        <v>36</v>
      </c>
      <c r="H330" s="4">
        <v>2</v>
      </c>
      <c r="I330">
        <f t="shared" ca="1" si="16"/>
        <v>72</v>
      </c>
      <c r="J330">
        <f t="shared" si="17"/>
        <v>4</v>
      </c>
      <c r="K330" t="str">
        <f>VLOOKUP(E330,地区表!$A$2:$C$255,3,FALSE)</f>
        <v>中南</v>
      </c>
      <c r="L330" s="23" t="str" cm="1">
        <f t="array" ref="L330:N330">_xlfn.TEXTSPLIT(A330,"-")</f>
        <v>CN</v>
      </c>
      <c r="M330" s="22" t="str">
        <v>2468</v>
      </c>
      <c r="N330" s="22" t="str">
        <v>3138520</v>
      </c>
    </row>
    <row r="331" spans="1:14" ht="15.6">
      <c r="A331" s="4" t="s">
        <v>772</v>
      </c>
      <c r="B331" s="5">
        <v>45019.456836967503</v>
      </c>
      <c r="C331" s="5">
        <v>45021.462300410698</v>
      </c>
      <c r="D331" s="4" t="s">
        <v>98</v>
      </c>
      <c r="E331" s="4" t="s">
        <v>279</v>
      </c>
      <c r="F331" s="4" t="s">
        <v>110</v>
      </c>
      <c r="G331" s="4">
        <f t="shared" ca="1" si="15"/>
        <v>42</v>
      </c>
      <c r="H331" s="4">
        <v>3</v>
      </c>
      <c r="I331">
        <f t="shared" ca="1" si="16"/>
        <v>126</v>
      </c>
      <c r="J331">
        <f t="shared" si="17"/>
        <v>4</v>
      </c>
      <c r="K331" t="str">
        <f>VLOOKUP(E331,地区表!$A$2:$C$255,3,FALSE)</f>
        <v>中南</v>
      </c>
      <c r="L331" s="23" t="str" cm="1">
        <f t="array" ref="L331:N331">_xlfn.TEXTSPLIT(A331,"-")</f>
        <v>CN</v>
      </c>
      <c r="M331" s="22" t="str">
        <v>2468</v>
      </c>
      <c r="N331" s="22" t="str">
        <v>3138520</v>
      </c>
    </row>
    <row r="332" spans="1:14" ht="15.6">
      <c r="A332" s="4" t="s">
        <v>772</v>
      </c>
      <c r="B332" s="5">
        <v>45019.122883708798</v>
      </c>
      <c r="C332" s="5">
        <v>45021.184446641797</v>
      </c>
      <c r="D332" s="4" t="s">
        <v>98</v>
      </c>
      <c r="E332" s="4" t="s">
        <v>279</v>
      </c>
      <c r="F332" s="4" t="s">
        <v>118</v>
      </c>
      <c r="G332" s="4">
        <f t="shared" ca="1" si="15"/>
        <v>55</v>
      </c>
      <c r="H332" s="4">
        <v>5</v>
      </c>
      <c r="I332">
        <f t="shared" ca="1" si="16"/>
        <v>275</v>
      </c>
      <c r="J332">
        <f t="shared" si="17"/>
        <v>4</v>
      </c>
      <c r="K332" t="str">
        <f>VLOOKUP(E332,地区表!$A$2:$C$255,3,FALSE)</f>
        <v>中南</v>
      </c>
      <c r="L332" s="23" t="str" cm="1">
        <f t="array" ref="L332:N332">_xlfn.TEXTSPLIT(A332,"-")</f>
        <v>CN</v>
      </c>
      <c r="M332" s="22" t="str">
        <v>2468</v>
      </c>
      <c r="N332" s="22" t="str">
        <v>3138520</v>
      </c>
    </row>
    <row r="333" spans="1:14" ht="15.6">
      <c r="A333" s="4" t="s">
        <v>772</v>
      </c>
      <c r="B333" s="5">
        <v>45019.539324132304</v>
      </c>
      <c r="C333" s="5">
        <v>45021.771538298002</v>
      </c>
      <c r="D333" s="4" t="s">
        <v>98</v>
      </c>
      <c r="E333" s="4" t="s">
        <v>279</v>
      </c>
      <c r="F333" s="4" t="s">
        <v>135</v>
      </c>
      <c r="G333" s="4">
        <f t="shared" ca="1" si="15"/>
        <v>36</v>
      </c>
      <c r="H333" s="4">
        <v>6</v>
      </c>
      <c r="I333">
        <f t="shared" ca="1" si="16"/>
        <v>216</v>
      </c>
      <c r="J333">
        <f t="shared" si="17"/>
        <v>4</v>
      </c>
      <c r="K333" t="str">
        <f>VLOOKUP(E333,地区表!$A$2:$C$255,3,FALSE)</f>
        <v>中南</v>
      </c>
      <c r="L333" s="23" t="str" cm="1">
        <f t="array" ref="L333:N333">_xlfn.TEXTSPLIT(A333,"-")</f>
        <v>CN</v>
      </c>
      <c r="M333" s="22" t="str">
        <v>2468</v>
      </c>
      <c r="N333" s="22" t="str">
        <v>3138520</v>
      </c>
    </row>
    <row r="334" spans="1:14" ht="15.6">
      <c r="A334" s="4" t="s">
        <v>836</v>
      </c>
      <c r="B334" s="5">
        <v>44611.801869419498</v>
      </c>
      <c r="C334" s="5">
        <v>44615.006418574798</v>
      </c>
      <c r="D334" s="4" t="s">
        <v>98</v>
      </c>
      <c r="E334" s="4" t="s">
        <v>279</v>
      </c>
      <c r="F334" s="4" t="s">
        <v>131</v>
      </c>
      <c r="G334" s="4">
        <f t="shared" ca="1" si="15"/>
        <v>80</v>
      </c>
      <c r="H334" s="4">
        <v>2</v>
      </c>
      <c r="I334">
        <f t="shared" ca="1" si="16"/>
        <v>160</v>
      </c>
      <c r="J334">
        <f t="shared" si="17"/>
        <v>2</v>
      </c>
      <c r="K334" t="str">
        <f>VLOOKUP(E334,地区表!$A$2:$C$255,3,FALSE)</f>
        <v>中南</v>
      </c>
      <c r="L334" s="23" t="str" cm="1">
        <f t="array" ref="L334:N334">_xlfn.TEXTSPLIT(A334,"-")</f>
        <v>CN</v>
      </c>
      <c r="M334" s="22" t="str">
        <v>3155</v>
      </c>
      <c r="N334" s="22" t="str">
        <v>2699733</v>
      </c>
    </row>
    <row r="335" spans="1:14" ht="15.6">
      <c r="A335" s="4" t="s">
        <v>836</v>
      </c>
      <c r="B335" s="5">
        <v>44611.842243998202</v>
      </c>
      <c r="C335" s="5">
        <v>44615.587390968802</v>
      </c>
      <c r="D335" s="4" t="s">
        <v>98</v>
      </c>
      <c r="E335" s="4" t="s">
        <v>279</v>
      </c>
      <c r="F335" s="4" t="s">
        <v>96</v>
      </c>
      <c r="G335" s="4">
        <f t="shared" ca="1" si="15"/>
        <v>79</v>
      </c>
      <c r="H335" s="4">
        <v>5</v>
      </c>
      <c r="I335">
        <f t="shared" ca="1" si="16"/>
        <v>395</v>
      </c>
      <c r="J335">
        <f t="shared" si="17"/>
        <v>2</v>
      </c>
      <c r="K335" t="str">
        <f>VLOOKUP(E335,地区表!$A$2:$C$255,3,FALSE)</f>
        <v>中南</v>
      </c>
      <c r="L335" s="23" t="str" cm="1">
        <f t="array" ref="L335:N335">_xlfn.TEXTSPLIT(A335,"-")</f>
        <v>CN</v>
      </c>
      <c r="M335" s="22" t="str">
        <v>3155</v>
      </c>
      <c r="N335" s="22" t="str">
        <v>2699733</v>
      </c>
    </row>
    <row r="336" spans="1:14" ht="15.6">
      <c r="A336" s="4" t="s">
        <v>836</v>
      </c>
      <c r="B336" s="5">
        <v>44611.853322721698</v>
      </c>
      <c r="C336" s="5">
        <v>44615.327369518403</v>
      </c>
      <c r="D336" s="4" t="s">
        <v>98</v>
      </c>
      <c r="E336" s="4" t="s">
        <v>279</v>
      </c>
      <c r="F336" s="4" t="s">
        <v>141</v>
      </c>
      <c r="G336" s="4">
        <f t="shared" ca="1" si="15"/>
        <v>17</v>
      </c>
      <c r="H336" s="4">
        <v>6</v>
      </c>
      <c r="I336">
        <f t="shared" ca="1" si="16"/>
        <v>102</v>
      </c>
      <c r="J336">
        <f t="shared" si="17"/>
        <v>2</v>
      </c>
      <c r="K336" t="str">
        <f>VLOOKUP(E336,地区表!$A$2:$C$255,3,FALSE)</f>
        <v>中南</v>
      </c>
      <c r="L336" s="23" t="str" cm="1">
        <f t="array" ref="L336:N336">_xlfn.TEXTSPLIT(A336,"-")</f>
        <v>CN</v>
      </c>
      <c r="M336" s="22" t="str">
        <v>3155</v>
      </c>
      <c r="N336" s="22" t="str">
        <v>2699733</v>
      </c>
    </row>
    <row r="337" spans="1:14" ht="15.6">
      <c r="A337" s="4" t="s">
        <v>836</v>
      </c>
      <c r="B337" s="5">
        <v>44611.2043169553</v>
      </c>
      <c r="C337" s="5">
        <v>44615.4739160026</v>
      </c>
      <c r="D337" s="4" t="s">
        <v>98</v>
      </c>
      <c r="E337" s="4" t="s">
        <v>279</v>
      </c>
      <c r="F337" s="4" t="s">
        <v>130</v>
      </c>
      <c r="G337" s="4">
        <f t="shared" ca="1" si="15"/>
        <v>65</v>
      </c>
      <c r="H337" s="4">
        <v>4</v>
      </c>
      <c r="I337">
        <f t="shared" ca="1" si="16"/>
        <v>260</v>
      </c>
      <c r="J337">
        <f t="shared" si="17"/>
        <v>2</v>
      </c>
      <c r="K337" t="str">
        <f>VLOOKUP(E337,地区表!$A$2:$C$255,3,FALSE)</f>
        <v>中南</v>
      </c>
      <c r="L337" s="23" t="str" cm="1">
        <f t="array" ref="L337:N337">_xlfn.TEXTSPLIT(A337,"-")</f>
        <v>CN</v>
      </c>
      <c r="M337" s="22" t="str">
        <v>3155</v>
      </c>
      <c r="N337" s="22" t="str">
        <v>2699733</v>
      </c>
    </row>
    <row r="338" spans="1:14" ht="15.6">
      <c r="A338" s="4" t="s">
        <v>147</v>
      </c>
      <c r="B338" s="5">
        <v>45257.090386733398</v>
      </c>
      <c r="C338" s="5">
        <v>45263.471481651199</v>
      </c>
      <c r="D338" s="4" t="s">
        <v>114</v>
      </c>
      <c r="E338" s="4" t="s">
        <v>148</v>
      </c>
      <c r="F338" s="4" t="s">
        <v>106</v>
      </c>
      <c r="G338" s="4">
        <f t="shared" ca="1" si="15"/>
        <v>86</v>
      </c>
      <c r="H338" s="4">
        <v>6</v>
      </c>
      <c r="I338">
        <f t="shared" ca="1" si="16"/>
        <v>516</v>
      </c>
      <c r="J338">
        <f t="shared" si="17"/>
        <v>11</v>
      </c>
      <c r="K338" t="str">
        <f>VLOOKUP(E338,地区表!$A$2:$C$255,3,FALSE)</f>
        <v>华东</v>
      </c>
      <c r="L338" s="23" t="str" cm="1">
        <f t="array" ref="L338:N338">_xlfn.TEXTSPLIT(A338,"-")</f>
        <v>US</v>
      </c>
      <c r="M338" s="22" t="str">
        <v>2706</v>
      </c>
      <c r="N338" s="22" t="str">
        <v>3857264</v>
      </c>
    </row>
    <row r="339" spans="1:14" ht="15.6">
      <c r="A339" s="4" t="s">
        <v>398</v>
      </c>
      <c r="B339" s="5">
        <v>45243.616582745701</v>
      </c>
      <c r="C339" s="5">
        <v>45249.347047122297</v>
      </c>
      <c r="D339" s="4" t="s">
        <v>94</v>
      </c>
      <c r="E339" s="4" t="s">
        <v>148</v>
      </c>
      <c r="F339" s="4" t="s">
        <v>122</v>
      </c>
      <c r="G339" s="4">
        <f t="shared" ca="1" si="15"/>
        <v>62</v>
      </c>
      <c r="H339" s="4">
        <v>2</v>
      </c>
      <c r="I339">
        <f t="shared" ca="1" si="16"/>
        <v>124</v>
      </c>
      <c r="J339">
        <f t="shared" si="17"/>
        <v>11</v>
      </c>
      <c r="K339" t="str">
        <f>VLOOKUP(E339,地区表!$A$2:$C$255,3,FALSE)</f>
        <v>华东</v>
      </c>
      <c r="L339" s="23" t="str" cm="1">
        <f t="array" ref="L339:N339">_xlfn.TEXTSPLIT(A339,"-")</f>
        <v>US</v>
      </c>
      <c r="M339" s="22" t="str">
        <v>2692</v>
      </c>
      <c r="N339" s="22" t="str">
        <v>5364655</v>
      </c>
    </row>
    <row r="340" spans="1:14" ht="15.6">
      <c r="A340" s="4" t="s">
        <v>398</v>
      </c>
      <c r="B340" s="5">
        <v>45243.821600453797</v>
      </c>
      <c r="C340" s="5">
        <v>45249.141071885497</v>
      </c>
      <c r="D340" s="4" t="s">
        <v>94</v>
      </c>
      <c r="E340" s="4" t="s">
        <v>148</v>
      </c>
      <c r="F340" s="4" t="s">
        <v>112</v>
      </c>
      <c r="G340" s="4">
        <f t="shared" ca="1" si="15"/>
        <v>13</v>
      </c>
      <c r="H340" s="4">
        <v>5</v>
      </c>
      <c r="I340">
        <f t="shared" ca="1" si="16"/>
        <v>65</v>
      </c>
      <c r="J340">
        <f t="shared" si="17"/>
        <v>11</v>
      </c>
      <c r="K340" t="str">
        <f>VLOOKUP(E340,地区表!$A$2:$C$255,3,FALSE)</f>
        <v>华东</v>
      </c>
      <c r="L340" s="23" t="str" cm="1">
        <f t="array" ref="L340:N340">_xlfn.TEXTSPLIT(A340,"-")</f>
        <v>US</v>
      </c>
      <c r="M340" s="22" t="str">
        <v>2692</v>
      </c>
      <c r="N340" s="22" t="str">
        <v>5364655</v>
      </c>
    </row>
    <row r="341" spans="1:14" ht="15.6">
      <c r="A341" s="4" t="s">
        <v>398</v>
      </c>
      <c r="B341" s="5">
        <v>45243.494883494401</v>
      </c>
      <c r="C341" s="5">
        <v>45249.758993252399</v>
      </c>
      <c r="D341" s="4" t="s">
        <v>94</v>
      </c>
      <c r="E341" s="4" t="s">
        <v>148</v>
      </c>
      <c r="F341" s="4" t="s">
        <v>111</v>
      </c>
      <c r="G341" s="4">
        <f t="shared" ca="1" si="15"/>
        <v>75</v>
      </c>
      <c r="H341" s="4">
        <v>2</v>
      </c>
      <c r="I341">
        <f t="shared" ca="1" si="16"/>
        <v>150</v>
      </c>
      <c r="J341">
        <f t="shared" si="17"/>
        <v>11</v>
      </c>
      <c r="K341" t="str">
        <f>VLOOKUP(E341,地区表!$A$2:$C$255,3,FALSE)</f>
        <v>华东</v>
      </c>
      <c r="L341" s="23" t="str" cm="1">
        <f t="array" ref="L341:N341">_xlfn.TEXTSPLIT(A341,"-")</f>
        <v>US</v>
      </c>
      <c r="M341" s="22" t="str">
        <v>2692</v>
      </c>
      <c r="N341" s="22" t="str">
        <v>5364655</v>
      </c>
    </row>
    <row r="342" spans="1:14" ht="15.6">
      <c r="A342" s="4" t="s">
        <v>480</v>
      </c>
      <c r="B342" s="5">
        <v>44295.052343245901</v>
      </c>
      <c r="C342" s="5">
        <v>44299.145359585702</v>
      </c>
      <c r="D342" s="4" t="s">
        <v>98</v>
      </c>
      <c r="E342" s="4" t="s">
        <v>481</v>
      </c>
      <c r="F342" s="4" t="s">
        <v>112</v>
      </c>
      <c r="G342" s="4">
        <f t="shared" ca="1" si="15"/>
        <v>11</v>
      </c>
      <c r="H342" s="4">
        <v>3</v>
      </c>
      <c r="I342">
        <f t="shared" ca="1" si="16"/>
        <v>33</v>
      </c>
      <c r="J342">
        <f t="shared" si="17"/>
        <v>4</v>
      </c>
      <c r="K342" t="str">
        <f>VLOOKUP(E342,地区表!$A$2:$C$255,3,FALSE)</f>
        <v>华东</v>
      </c>
      <c r="L342" s="23" t="str" cm="1">
        <f t="array" ref="L342:N342">_xlfn.TEXTSPLIT(A342,"-")</f>
        <v>CN</v>
      </c>
      <c r="M342" s="22" t="str">
        <v>2839</v>
      </c>
      <c r="N342" s="22" t="str">
        <v>2166981</v>
      </c>
    </row>
    <row r="343" spans="1:14" ht="15.6">
      <c r="A343" s="4" t="s">
        <v>381</v>
      </c>
      <c r="B343" s="5">
        <v>45093.752591561897</v>
      </c>
      <c r="C343" s="5">
        <v>45099.352632813498</v>
      </c>
      <c r="D343" s="4" t="s">
        <v>98</v>
      </c>
      <c r="E343" s="4" t="s">
        <v>382</v>
      </c>
      <c r="F343" s="4" t="s">
        <v>131</v>
      </c>
      <c r="G343" s="4">
        <f t="shared" ca="1" si="15"/>
        <v>49</v>
      </c>
      <c r="H343" s="4">
        <v>2</v>
      </c>
      <c r="I343">
        <f t="shared" ca="1" si="16"/>
        <v>98</v>
      </c>
      <c r="J343">
        <f t="shared" si="17"/>
        <v>6</v>
      </c>
      <c r="K343" t="str">
        <f>VLOOKUP(E343,地区表!$A$2:$C$255,3,FALSE)</f>
        <v>中南</v>
      </c>
      <c r="L343" s="23" t="str" cm="1">
        <f t="array" ref="L343:N343">_xlfn.TEXTSPLIT(A343,"-")</f>
        <v>CN</v>
      </c>
      <c r="M343" s="22" t="str">
        <v>1811</v>
      </c>
      <c r="N343" s="22" t="str">
        <v>3095328</v>
      </c>
    </row>
    <row r="344" spans="1:14" ht="15.6">
      <c r="A344" s="4" t="s">
        <v>670</v>
      </c>
      <c r="B344" s="5">
        <v>44538.536413388101</v>
      </c>
      <c r="C344" s="5">
        <v>44545.212920721802</v>
      </c>
      <c r="D344" s="4" t="s">
        <v>94</v>
      </c>
      <c r="E344" s="4" t="s">
        <v>671</v>
      </c>
      <c r="F344" s="4" t="s">
        <v>96</v>
      </c>
      <c r="G344" s="4">
        <f t="shared" ca="1" si="15"/>
        <v>81</v>
      </c>
      <c r="H344" s="4">
        <v>2</v>
      </c>
      <c r="I344">
        <f t="shared" ca="1" si="16"/>
        <v>162</v>
      </c>
      <c r="J344">
        <f t="shared" si="17"/>
        <v>12</v>
      </c>
      <c r="K344" t="str">
        <f>VLOOKUP(E344,地区表!$A$2:$C$255,3,FALSE)</f>
        <v>东北</v>
      </c>
      <c r="L344" s="23" t="str" cm="1">
        <f t="array" ref="L344:N344">_xlfn.TEXTSPLIT(A344,"-")</f>
        <v>US</v>
      </c>
      <c r="M344" s="22" t="str">
        <v>3082</v>
      </c>
      <c r="N344" s="22" t="str">
        <v>2199283</v>
      </c>
    </row>
    <row r="345" spans="1:14" ht="15.6">
      <c r="A345" s="4" t="s">
        <v>247</v>
      </c>
      <c r="B345" s="5">
        <v>44250.9753651266</v>
      </c>
      <c r="C345" s="5">
        <v>44256.886247938499</v>
      </c>
      <c r="D345" s="4" t="s">
        <v>98</v>
      </c>
      <c r="E345" s="4" t="s">
        <v>248</v>
      </c>
      <c r="F345" s="4" t="s">
        <v>96</v>
      </c>
      <c r="G345" s="4">
        <f t="shared" ca="1" si="15"/>
        <v>82</v>
      </c>
      <c r="H345" s="4">
        <v>2</v>
      </c>
      <c r="I345">
        <f t="shared" ca="1" si="16"/>
        <v>164</v>
      </c>
      <c r="J345">
        <f t="shared" si="17"/>
        <v>2</v>
      </c>
      <c r="K345" t="str">
        <f>VLOOKUP(E345,地区表!$A$2:$C$255,3,FALSE)</f>
        <v>西南</v>
      </c>
      <c r="L345" s="23" t="str" cm="1">
        <f t="array" ref="L345:N345">_xlfn.TEXTSPLIT(A345,"-")</f>
        <v>CN</v>
      </c>
      <c r="M345" s="22" t="str">
        <v>2794</v>
      </c>
      <c r="N345" s="22" t="str">
        <v>3230180</v>
      </c>
    </row>
    <row r="346" spans="1:14" ht="15.6">
      <c r="A346" s="4" t="s">
        <v>247</v>
      </c>
      <c r="B346" s="5">
        <v>44250.270168475603</v>
      </c>
      <c r="C346" s="5">
        <v>44256.512297370602</v>
      </c>
      <c r="D346" s="4" t="s">
        <v>98</v>
      </c>
      <c r="E346" s="4" t="s">
        <v>248</v>
      </c>
      <c r="F346" s="4" t="s">
        <v>131</v>
      </c>
      <c r="G346" s="4">
        <f t="shared" ca="1" si="15"/>
        <v>53</v>
      </c>
      <c r="H346" s="4">
        <v>5</v>
      </c>
      <c r="I346">
        <f t="shared" ca="1" si="16"/>
        <v>265</v>
      </c>
      <c r="J346">
        <f t="shared" si="17"/>
        <v>2</v>
      </c>
      <c r="K346" t="str">
        <f>VLOOKUP(E346,地区表!$A$2:$C$255,3,FALSE)</f>
        <v>西南</v>
      </c>
      <c r="L346" s="23" t="str" cm="1">
        <f t="array" ref="L346:N346">_xlfn.TEXTSPLIT(A346,"-")</f>
        <v>CN</v>
      </c>
      <c r="M346" s="22" t="str">
        <v>2794</v>
      </c>
      <c r="N346" s="22" t="str">
        <v>3230180</v>
      </c>
    </row>
    <row r="347" spans="1:14" ht="15.6">
      <c r="A347" s="4" t="s">
        <v>247</v>
      </c>
      <c r="B347" s="5">
        <v>44250.205049938202</v>
      </c>
      <c r="C347" s="5">
        <v>44256.811038911903</v>
      </c>
      <c r="D347" s="4" t="s">
        <v>98</v>
      </c>
      <c r="E347" s="4" t="s">
        <v>248</v>
      </c>
      <c r="F347" s="4" t="s">
        <v>100</v>
      </c>
      <c r="G347" s="4">
        <f t="shared" ca="1" si="15"/>
        <v>70</v>
      </c>
      <c r="H347" s="4">
        <v>1</v>
      </c>
      <c r="I347">
        <f t="shared" ca="1" si="16"/>
        <v>70</v>
      </c>
      <c r="J347">
        <f t="shared" si="17"/>
        <v>2</v>
      </c>
      <c r="K347" t="str">
        <f>VLOOKUP(E347,地区表!$A$2:$C$255,3,FALSE)</f>
        <v>西南</v>
      </c>
      <c r="L347" s="23" t="str" cm="1">
        <f t="array" ref="L347:N347">_xlfn.TEXTSPLIT(A347,"-")</f>
        <v>CN</v>
      </c>
      <c r="M347" s="22" t="str">
        <v>2794</v>
      </c>
      <c r="N347" s="22" t="str">
        <v>3230180</v>
      </c>
    </row>
    <row r="348" spans="1:14" ht="15.6">
      <c r="A348" s="4" t="s">
        <v>611</v>
      </c>
      <c r="B348" s="5">
        <v>44230.448404641997</v>
      </c>
      <c r="C348" s="5">
        <v>44232.520643345299</v>
      </c>
      <c r="D348" s="4" t="s">
        <v>94</v>
      </c>
      <c r="E348" s="4" t="s">
        <v>248</v>
      </c>
      <c r="F348" s="4" t="s">
        <v>130</v>
      </c>
      <c r="G348" s="4">
        <f t="shared" ca="1" si="15"/>
        <v>80</v>
      </c>
      <c r="H348" s="4">
        <v>2</v>
      </c>
      <c r="I348">
        <f t="shared" ca="1" si="16"/>
        <v>160</v>
      </c>
      <c r="J348">
        <f t="shared" si="17"/>
        <v>2</v>
      </c>
      <c r="K348" t="str">
        <f>VLOOKUP(E348,地区表!$A$2:$C$255,3,FALSE)</f>
        <v>西南</v>
      </c>
      <c r="L348" s="23" t="str" cm="1">
        <f t="array" ref="L348:N348">_xlfn.TEXTSPLIT(A348,"-")</f>
        <v>CN</v>
      </c>
      <c r="M348" s="22" t="str">
        <v>2774</v>
      </c>
      <c r="N348" s="22" t="str">
        <v>2312244</v>
      </c>
    </row>
    <row r="349" spans="1:14" ht="15.6">
      <c r="A349" s="4" t="s">
        <v>611</v>
      </c>
      <c r="B349" s="5">
        <v>44230.945509848898</v>
      </c>
      <c r="C349" s="5">
        <v>44232.400420901096</v>
      </c>
      <c r="D349" s="4" t="s">
        <v>94</v>
      </c>
      <c r="E349" s="4" t="s">
        <v>248</v>
      </c>
      <c r="F349" s="4" t="s">
        <v>96</v>
      </c>
      <c r="G349" s="4">
        <f t="shared" ca="1" si="15"/>
        <v>53</v>
      </c>
      <c r="H349" s="4">
        <v>3</v>
      </c>
      <c r="I349">
        <f t="shared" ca="1" si="16"/>
        <v>159</v>
      </c>
      <c r="J349">
        <f t="shared" si="17"/>
        <v>2</v>
      </c>
      <c r="K349" t="str">
        <f>VLOOKUP(E349,地区表!$A$2:$C$255,3,FALSE)</f>
        <v>西南</v>
      </c>
      <c r="L349" s="23" t="str" cm="1">
        <f t="array" ref="L349:N349">_xlfn.TEXTSPLIT(A349,"-")</f>
        <v>CN</v>
      </c>
      <c r="M349" s="22" t="str">
        <v>2774</v>
      </c>
      <c r="N349" s="22" t="str">
        <v>2312244</v>
      </c>
    </row>
    <row r="350" spans="1:14" ht="15.6">
      <c r="A350" s="4" t="s">
        <v>611</v>
      </c>
      <c r="B350" s="5">
        <v>44230.664727567302</v>
      </c>
      <c r="C350" s="5">
        <v>44232.183794622899</v>
      </c>
      <c r="D350" s="4" t="s">
        <v>94</v>
      </c>
      <c r="E350" s="4" t="s">
        <v>248</v>
      </c>
      <c r="F350" s="4" t="s">
        <v>125</v>
      </c>
      <c r="G350" s="4">
        <f t="shared" ca="1" si="15"/>
        <v>11</v>
      </c>
      <c r="H350" s="4">
        <v>2</v>
      </c>
      <c r="I350">
        <f t="shared" ca="1" si="16"/>
        <v>22</v>
      </c>
      <c r="J350">
        <f t="shared" si="17"/>
        <v>2</v>
      </c>
      <c r="K350" t="str">
        <f>VLOOKUP(E350,地区表!$A$2:$C$255,3,FALSE)</f>
        <v>西南</v>
      </c>
      <c r="L350" s="23" t="str" cm="1">
        <f t="array" ref="L350:N350">_xlfn.TEXTSPLIT(A350,"-")</f>
        <v>CN</v>
      </c>
      <c r="M350" s="22" t="str">
        <v>2774</v>
      </c>
      <c r="N350" s="22" t="str">
        <v>2312244</v>
      </c>
    </row>
    <row r="351" spans="1:14" ht="15.6">
      <c r="A351" s="4" t="s">
        <v>812</v>
      </c>
      <c r="B351" s="5">
        <v>44882.434276993001</v>
      </c>
      <c r="C351" s="5">
        <v>44887.408005138699</v>
      </c>
      <c r="D351" s="4" t="s">
        <v>114</v>
      </c>
      <c r="E351" s="4" t="s">
        <v>248</v>
      </c>
      <c r="F351" s="4" t="s">
        <v>121</v>
      </c>
      <c r="G351" s="4">
        <f t="shared" ca="1" si="15"/>
        <v>84</v>
      </c>
      <c r="H351" s="4">
        <v>5</v>
      </c>
      <c r="I351">
        <f t="shared" ca="1" si="16"/>
        <v>420</v>
      </c>
      <c r="J351">
        <f t="shared" si="17"/>
        <v>11</v>
      </c>
      <c r="K351" t="str">
        <f>VLOOKUP(E351,地区表!$A$2:$C$255,3,FALSE)</f>
        <v>西南</v>
      </c>
      <c r="L351" s="23" t="str" cm="1">
        <f t="array" ref="L351:N351">_xlfn.TEXTSPLIT(A351,"-")</f>
        <v>CN</v>
      </c>
      <c r="M351" s="22" t="str">
        <v>2331</v>
      </c>
      <c r="N351" s="22" t="str">
        <v>2063413</v>
      </c>
    </row>
    <row r="352" spans="1:14" ht="15.6">
      <c r="A352" s="4" t="s">
        <v>272</v>
      </c>
      <c r="B352" s="5">
        <v>44449.1070118922</v>
      </c>
      <c r="C352" s="5">
        <v>44452.457230943</v>
      </c>
      <c r="D352" s="4" t="s">
        <v>94</v>
      </c>
      <c r="E352" s="4" t="s">
        <v>273</v>
      </c>
      <c r="F352" s="4" t="s">
        <v>121</v>
      </c>
      <c r="G352" s="4">
        <f t="shared" ca="1" si="15"/>
        <v>42</v>
      </c>
      <c r="H352" s="4">
        <v>3</v>
      </c>
      <c r="I352">
        <f t="shared" ca="1" si="16"/>
        <v>126</v>
      </c>
      <c r="J352">
        <f t="shared" si="17"/>
        <v>9</v>
      </c>
      <c r="K352" t="str">
        <f>VLOOKUP(E352,地区表!$A$2:$C$255,3,FALSE)</f>
        <v>中南</v>
      </c>
      <c r="L352" s="23" t="str" cm="1">
        <f t="array" ref="L352:N352">_xlfn.TEXTSPLIT(A352,"-")</f>
        <v>CN</v>
      </c>
      <c r="M352" s="22" t="str">
        <v>2993</v>
      </c>
      <c r="N352" s="22" t="str">
        <v>3122639</v>
      </c>
    </row>
    <row r="353" spans="1:14" ht="15.6">
      <c r="A353" s="4" t="s">
        <v>272</v>
      </c>
      <c r="B353" s="5">
        <v>44449.402926711802</v>
      </c>
      <c r="C353" s="5">
        <v>44452.078507393897</v>
      </c>
      <c r="D353" s="4" t="s">
        <v>94</v>
      </c>
      <c r="E353" s="4" t="s">
        <v>273</v>
      </c>
      <c r="F353" s="4" t="s">
        <v>144</v>
      </c>
      <c r="G353" s="4">
        <f t="shared" ca="1" si="15"/>
        <v>12</v>
      </c>
      <c r="H353" s="4">
        <v>4</v>
      </c>
      <c r="I353">
        <f t="shared" ca="1" si="16"/>
        <v>48</v>
      </c>
      <c r="J353">
        <f t="shared" si="17"/>
        <v>9</v>
      </c>
      <c r="K353" t="str">
        <f>VLOOKUP(E353,地区表!$A$2:$C$255,3,FALSE)</f>
        <v>中南</v>
      </c>
      <c r="L353" s="23" t="str" cm="1">
        <f t="array" ref="L353:N353">_xlfn.TEXTSPLIT(A353,"-")</f>
        <v>CN</v>
      </c>
      <c r="M353" s="22" t="str">
        <v>2993</v>
      </c>
      <c r="N353" s="22" t="str">
        <v>3122639</v>
      </c>
    </row>
    <row r="354" spans="1:14" ht="15.6">
      <c r="A354" s="4" t="s">
        <v>510</v>
      </c>
      <c r="B354" s="5">
        <v>44973.032070682901</v>
      </c>
      <c r="C354" s="5">
        <v>44973.944535361399</v>
      </c>
      <c r="D354" s="4" t="s">
        <v>98</v>
      </c>
      <c r="E354" s="4" t="s">
        <v>273</v>
      </c>
      <c r="F354" s="4" t="s">
        <v>100</v>
      </c>
      <c r="G354" s="4">
        <f t="shared" ca="1" si="15"/>
        <v>48</v>
      </c>
      <c r="H354" s="4">
        <v>3</v>
      </c>
      <c r="I354">
        <f t="shared" ca="1" si="16"/>
        <v>144</v>
      </c>
      <c r="J354">
        <f t="shared" si="17"/>
        <v>2</v>
      </c>
      <c r="K354" t="str">
        <f>VLOOKUP(E354,地区表!$A$2:$C$255,3,FALSE)</f>
        <v>中南</v>
      </c>
      <c r="L354" s="23" t="str" cm="1">
        <f t="array" ref="L354:N354">_xlfn.TEXTSPLIT(A354,"-")</f>
        <v>CN</v>
      </c>
      <c r="M354" s="22" t="str">
        <v>2422</v>
      </c>
      <c r="N354" s="22" t="str">
        <v>2770008</v>
      </c>
    </row>
    <row r="355" spans="1:14" ht="15.6">
      <c r="A355" s="4" t="s">
        <v>510</v>
      </c>
      <c r="B355" s="5">
        <v>44973.267114061302</v>
      </c>
      <c r="C355" s="5">
        <v>44973.649960809598</v>
      </c>
      <c r="D355" s="4" t="s">
        <v>98</v>
      </c>
      <c r="E355" s="4" t="s">
        <v>273</v>
      </c>
      <c r="F355" s="4" t="s">
        <v>111</v>
      </c>
      <c r="G355" s="4">
        <f t="shared" ca="1" si="15"/>
        <v>46</v>
      </c>
      <c r="H355" s="4">
        <v>7</v>
      </c>
      <c r="I355">
        <f t="shared" ca="1" si="16"/>
        <v>322</v>
      </c>
      <c r="J355">
        <f t="shared" si="17"/>
        <v>2</v>
      </c>
      <c r="K355" t="str">
        <f>VLOOKUP(E355,地区表!$A$2:$C$255,3,FALSE)</f>
        <v>中南</v>
      </c>
      <c r="L355" s="23" t="str" cm="1">
        <f t="array" ref="L355:N355">_xlfn.TEXTSPLIT(A355,"-")</f>
        <v>CN</v>
      </c>
      <c r="M355" s="22" t="str">
        <v>2422</v>
      </c>
      <c r="N355" s="22" t="str">
        <v>2770008</v>
      </c>
    </row>
    <row r="356" spans="1:14" ht="15.6">
      <c r="A356" s="4" t="s">
        <v>579</v>
      </c>
      <c r="B356" s="5">
        <v>44210.154384226997</v>
      </c>
      <c r="C356" s="5">
        <v>44212.397117761</v>
      </c>
      <c r="D356" s="4" t="s">
        <v>98</v>
      </c>
      <c r="E356" s="4" t="s">
        <v>580</v>
      </c>
      <c r="F356" s="4" t="s">
        <v>121</v>
      </c>
      <c r="G356" s="4">
        <f t="shared" ca="1" si="15"/>
        <v>12</v>
      </c>
      <c r="H356" s="4">
        <v>4</v>
      </c>
      <c r="I356">
        <f t="shared" ca="1" si="16"/>
        <v>48</v>
      </c>
      <c r="J356">
        <f t="shared" si="17"/>
        <v>1</v>
      </c>
      <c r="K356" t="str">
        <f>VLOOKUP(E356,地区表!$A$2:$C$255,3,FALSE)</f>
        <v>华东</v>
      </c>
      <c r="L356" s="23" t="str" cm="1">
        <f t="array" ref="L356:N356">_xlfn.TEXTSPLIT(A356,"-")</f>
        <v>CN</v>
      </c>
      <c r="M356" s="22" t="str">
        <v>2754</v>
      </c>
      <c r="N356" s="22" t="str">
        <v>2190451</v>
      </c>
    </row>
    <row r="357" spans="1:14" ht="15.6">
      <c r="A357" s="4" t="s">
        <v>579</v>
      </c>
      <c r="B357" s="5">
        <v>44210.618432049501</v>
      </c>
      <c r="C357" s="5">
        <v>44212.968669755202</v>
      </c>
      <c r="D357" s="4" t="s">
        <v>98</v>
      </c>
      <c r="E357" s="4" t="s">
        <v>580</v>
      </c>
      <c r="F357" s="4" t="s">
        <v>100</v>
      </c>
      <c r="G357" s="4">
        <f t="shared" ca="1" si="15"/>
        <v>50</v>
      </c>
      <c r="H357" s="4">
        <v>3</v>
      </c>
      <c r="I357">
        <f t="shared" ca="1" si="16"/>
        <v>150</v>
      </c>
      <c r="J357">
        <f t="shared" si="17"/>
        <v>1</v>
      </c>
      <c r="K357" t="str">
        <f>VLOOKUP(E357,地区表!$A$2:$C$255,3,FALSE)</f>
        <v>华东</v>
      </c>
      <c r="L357" s="23" t="str" cm="1">
        <f t="array" ref="L357:N357">_xlfn.TEXTSPLIT(A357,"-")</f>
        <v>CN</v>
      </c>
      <c r="M357" s="22" t="str">
        <v>2754</v>
      </c>
      <c r="N357" s="22" t="str">
        <v>2190451</v>
      </c>
    </row>
    <row r="358" spans="1:14" ht="15.6">
      <c r="A358" s="4" t="s">
        <v>579</v>
      </c>
      <c r="B358" s="5">
        <v>44210.383485284503</v>
      </c>
      <c r="C358" s="5">
        <v>44212.373600300802</v>
      </c>
      <c r="D358" s="4" t="s">
        <v>98</v>
      </c>
      <c r="E358" s="4" t="s">
        <v>580</v>
      </c>
      <c r="F358" s="4" t="s">
        <v>141</v>
      </c>
      <c r="G358" s="4">
        <f t="shared" ca="1" si="15"/>
        <v>52</v>
      </c>
      <c r="H358" s="4">
        <v>8</v>
      </c>
      <c r="I358">
        <f t="shared" ca="1" si="16"/>
        <v>416</v>
      </c>
      <c r="J358">
        <f t="shared" si="17"/>
        <v>1</v>
      </c>
      <c r="K358" t="str">
        <f>VLOOKUP(E358,地区表!$A$2:$C$255,3,FALSE)</f>
        <v>华东</v>
      </c>
      <c r="L358" s="23" t="str" cm="1">
        <f t="array" ref="L358:N358">_xlfn.TEXTSPLIT(A358,"-")</f>
        <v>CN</v>
      </c>
      <c r="M358" s="22" t="str">
        <v>2754</v>
      </c>
      <c r="N358" s="22" t="str">
        <v>2190451</v>
      </c>
    </row>
    <row r="359" spans="1:14" ht="15.6">
      <c r="A359" s="4" t="s">
        <v>579</v>
      </c>
      <c r="B359" s="5">
        <v>44210.098152448903</v>
      </c>
      <c r="C359" s="5">
        <v>44212.354095773699</v>
      </c>
      <c r="D359" s="4" t="s">
        <v>98</v>
      </c>
      <c r="E359" s="4" t="s">
        <v>580</v>
      </c>
      <c r="F359" s="4" t="s">
        <v>111</v>
      </c>
      <c r="G359" s="4">
        <f t="shared" ca="1" si="15"/>
        <v>25</v>
      </c>
      <c r="H359" s="4">
        <v>5</v>
      </c>
      <c r="I359">
        <f t="shared" ca="1" si="16"/>
        <v>125</v>
      </c>
      <c r="J359">
        <f t="shared" si="17"/>
        <v>1</v>
      </c>
      <c r="K359" t="str">
        <f>VLOOKUP(E359,地区表!$A$2:$C$255,3,FALSE)</f>
        <v>华东</v>
      </c>
      <c r="L359" s="23" t="str" cm="1">
        <f t="array" ref="L359:N359">_xlfn.TEXTSPLIT(A359,"-")</f>
        <v>CN</v>
      </c>
      <c r="M359" s="22" t="str">
        <v>2754</v>
      </c>
      <c r="N359" s="22" t="str">
        <v>2190451</v>
      </c>
    </row>
    <row r="360" spans="1:14" ht="15.6">
      <c r="A360" s="4" t="s">
        <v>579</v>
      </c>
      <c r="B360" s="5">
        <v>44210.464296422397</v>
      </c>
      <c r="C360" s="5">
        <v>44212.404574139699</v>
      </c>
      <c r="D360" s="4" t="s">
        <v>98</v>
      </c>
      <c r="E360" s="4" t="s">
        <v>580</v>
      </c>
      <c r="F360" s="4" t="s">
        <v>109</v>
      </c>
      <c r="G360" s="4">
        <f t="shared" ca="1" si="15"/>
        <v>78</v>
      </c>
      <c r="H360" s="4">
        <v>2</v>
      </c>
      <c r="I360">
        <f t="shared" ca="1" si="16"/>
        <v>156</v>
      </c>
      <c r="J360">
        <f t="shared" si="17"/>
        <v>1</v>
      </c>
      <c r="K360" t="str">
        <f>VLOOKUP(E360,地区表!$A$2:$C$255,3,FALSE)</f>
        <v>华东</v>
      </c>
      <c r="L360" s="23" t="str" cm="1">
        <f t="array" ref="L360:N360">_xlfn.TEXTSPLIT(A360,"-")</f>
        <v>CN</v>
      </c>
      <c r="M360" s="22" t="str">
        <v>2754</v>
      </c>
      <c r="N360" s="22" t="str">
        <v>2190451</v>
      </c>
    </row>
    <row r="361" spans="1:14" ht="15.6">
      <c r="A361" s="4" t="s">
        <v>175</v>
      </c>
      <c r="B361" s="5">
        <v>44623.652058046697</v>
      </c>
      <c r="C361" s="5">
        <v>44624.343194319197</v>
      </c>
      <c r="D361" s="4" t="s">
        <v>98</v>
      </c>
      <c r="E361" s="4" t="s">
        <v>176</v>
      </c>
      <c r="F361" s="4" t="s">
        <v>141</v>
      </c>
      <c r="G361" s="4">
        <f t="shared" ca="1" si="15"/>
        <v>24</v>
      </c>
      <c r="H361" s="4">
        <v>3</v>
      </c>
      <c r="I361">
        <f t="shared" ca="1" si="16"/>
        <v>72</v>
      </c>
      <c r="J361">
        <f t="shared" si="17"/>
        <v>3</v>
      </c>
      <c r="K361" t="str">
        <f>VLOOKUP(E361,地区表!$A$2:$C$255,3,FALSE)</f>
        <v>中南</v>
      </c>
      <c r="L361" s="23" t="str" cm="1">
        <f t="array" ref="L361:N361">_xlfn.TEXTSPLIT(A361,"-")</f>
        <v>US</v>
      </c>
      <c r="M361" s="22" t="str">
        <v>2072</v>
      </c>
      <c r="N361" s="22" t="str">
        <v>1166331</v>
      </c>
    </row>
    <row r="362" spans="1:14" ht="15.6">
      <c r="A362" s="4" t="s">
        <v>175</v>
      </c>
      <c r="B362" s="5">
        <v>44623.3484205411</v>
      </c>
      <c r="C362" s="5">
        <v>44624.731792539998</v>
      </c>
      <c r="D362" s="4" t="s">
        <v>98</v>
      </c>
      <c r="E362" s="4" t="s">
        <v>176</v>
      </c>
      <c r="F362" s="4" t="s">
        <v>111</v>
      </c>
      <c r="G362" s="4">
        <f t="shared" ca="1" si="15"/>
        <v>60</v>
      </c>
      <c r="H362" s="4">
        <v>3</v>
      </c>
      <c r="I362">
        <f t="shared" ca="1" si="16"/>
        <v>180</v>
      </c>
      <c r="J362">
        <f t="shared" si="17"/>
        <v>3</v>
      </c>
      <c r="K362" t="str">
        <f>VLOOKUP(E362,地区表!$A$2:$C$255,3,FALSE)</f>
        <v>中南</v>
      </c>
      <c r="L362" s="23" t="str" cm="1">
        <f t="array" ref="L362:N362">_xlfn.TEXTSPLIT(A362,"-")</f>
        <v>US</v>
      </c>
      <c r="M362" s="22" t="str">
        <v>2072</v>
      </c>
      <c r="N362" s="22" t="str">
        <v>1166331</v>
      </c>
    </row>
    <row r="363" spans="1:14" ht="15.6">
      <c r="A363" s="4" t="s">
        <v>484</v>
      </c>
      <c r="B363" s="5">
        <v>44251.824065690103</v>
      </c>
      <c r="C363" s="5">
        <v>44253.1475304044</v>
      </c>
      <c r="D363" s="4" t="s">
        <v>98</v>
      </c>
      <c r="E363" s="4" t="s">
        <v>176</v>
      </c>
      <c r="F363" s="4" t="s">
        <v>131</v>
      </c>
      <c r="G363" s="4">
        <f t="shared" ca="1" si="15"/>
        <v>95</v>
      </c>
      <c r="H363" s="4">
        <v>3</v>
      </c>
      <c r="I363">
        <f t="shared" ca="1" si="16"/>
        <v>285</v>
      </c>
      <c r="J363">
        <f t="shared" si="17"/>
        <v>2</v>
      </c>
      <c r="K363" t="str">
        <f>VLOOKUP(E363,地区表!$A$2:$C$255,3,FALSE)</f>
        <v>中南</v>
      </c>
      <c r="L363" s="23" t="str" cm="1">
        <f t="array" ref="L363:N363">_xlfn.TEXTSPLIT(A363,"-")</f>
        <v>CN</v>
      </c>
      <c r="M363" s="22" t="str">
        <v>2795</v>
      </c>
      <c r="N363" s="22" t="str">
        <v>4288435</v>
      </c>
    </row>
    <row r="364" spans="1:14" ht="15.6">
      <c r="A364" s="4" t="s">
        <v>296</v>
      </c>
      <c r="B364" s="5">
        <v>44463.2632762215</v>
      </c>
      <c r="C364" s="5">
        <v>44467.565961054097</v>
      </c>
      <c r="D364" s="4" t="s">
        <v>94</v>
      </c>
      <c r="E364" s="4" t="s">
        <v>297</v>
      </c>
      <c r="F364" s="4" t="s">
        <v>111</v>
      </c>
      <c r="G364" s="4">
        <f t="shared" ca="1" si="15"/>
        <v>24</v>
      </c>
      <c r="H364" s="4">
        <v>7</v>
      </c>
      <c r="I364">
        <f t="shared" ca="1" si="16"/>
        <v>168</v>
      </c>
      <c r="J364">
        <f t="shared" si="17"/>
        <v>9</v>
      </c>
      <c r="K364" t="str">
        <f>VLOOKUP(E364,地区表!$A$2:$C$255,3,FALSE)</f>
        <v>华北</v>
      </c>
      <c r="L364" s="23" t="str" cm="1">
        <f t="array" ref="L364:N364">_xlfn.TEXTSPLIT(A364,"-")</f>
        <v>CN</v>
      </c>
      <c r="M364" s="22" t="str">
        <v>3007</v>
      </c>
      <c r="N364" s="22" t="str">
        <v>2828219</v>
      </c>
    </row>
    <row r="365" spans="1:14" ht="15.6">
      <c r="A365" s="4" t="s">
        <v>296</v>
      </c>
      <c r="B365" s="5">
        <v>44463.445087927699</v>
      </c>
      <c r="C365" s="5">
        <v>44467.713856652801</v>
      </c>
      <c r="D365" s="4" t="s">
        <v>94</v>
      </c>
      <c r="E365" s="4" t="s">
        <v>297</v>
      </c>
      <c r="F365" s="4" t="s">
        <v>122</v>
      </c>
      <c r="G365" s="4">
        <f t="shared" ca="1" si="15"/>
        <v>68</v>
      </c>
      <c r="H365" s="4">
        <v>5</v>
      </c>
      <c r="I365">
        <f t="shared" ca="1" si="16"/>
        <v>340</v>
      </c>
      <c r="J365">
        <f t="shared" si="17"/>
        <v>9</v>
      </c>
      <c r="K365" t="str">
        <f>VLOOKUP(E365,地区表!$A$2:$C$255,3,FALSE)</f>
        <v>华北</v>
      </c>
      <c r="L365" s="23" t="str" cm="1">
        <f t="array" ref="L365:N365">_xlfn.TEXTSPLIT(A365,"-")</f>
        <v>CN</v>
      </c>
      <c r="M365" s="22" t="str">
        <v>3007</v>
      </c>
      <c r="N365" s="22" t="str">
        <v>2828219</v>
      </c>
    </row>
    <row r="366" spans="1:14" ht="15.6">
      <c r="A366" s="4" t="s">
        <v>405</v>
      </c>
      <c r="B366" s="5">
        <v>44630.183929682797</v>
      </c>
      <c r="C366" s="5">
        <v>44635.305499334201</v>
      </c>
      <c r="D366" s="4" t="s">
        <v>94</v>
      </c>
      <c r="E366" s="4" t="s">
        <v>297</v>
      </c>
      <c r="F366" s="4" t="s">
        <v>101</v>
      </c>
      <c r="G366" s="4">
        <f t="shared" ca="1" si="15"/>
        <v>34</v>
      </c>
      <c r="H366" s="4">
        <v>2</v>
      </c>
      <c r="I366">
        <f t="shared" ca="1" si="16"/>
        <v>68</v>
      </c>
      <c r="J366">
        <f t="shared" si="17"/>
        <v>3</v>
      </c>
      <c r="K366" t="str">
        <f>VLOOKUP(E366,地区表!$A$2:$C$255,3,FALSE)</f>
        <v>华北</v>
      </c>
      <c r="L366" s="23" t="str" cm="1">
        <f t="array" ref="L366:N366">_xlfn.TEXTSPLIT(A366,"-")</f>
        <v>US</v>
      </c>
      <c r="M366" s="22" t="str">
        <v>2079</v>
      </c>
      <c r="N366" s="22" t="str">
        <v>4719760</v>
      </c>
    </row>
    <row r="367" spans="1:14" ht="15.6">
      <c r="A367" s="4" t="s">
        <v>405</v>
      </c>
      <c r="B367" s="5">
        <v>44630.118426217297</v>
      </c>
      <c r="C367" s="5">
        <v>44635.537895920403</v>
      </c>
      <c r="D367" s="4" t="s">
        <v>94</v>
      </c>
      <c r="E367" s="4" t="s">
        <v>297</v>
      </c>
      <c r="F367" s="4" t="s">
        <v>141</v>
      </c>
      <c r="G367" s="4">
        <f t="shared" ca="1" si="15"/>
        <v>71</v>
      </c>
      <c r="H367" s="4">
        <v>7</v>
      </c>
      <c r="I367">
        <f t="shared" ca="1" si="16"/>
        <v>497</v>
      </c>
      <c r="J367">
        <f t="shared" si="17"/>
        <v>3</v>
      </c>
      <c r="K367" t="str">
        <f>VLOOKUP(E367,地区表!$A$2:$C$255,3,FALSE)</f>
        <v>华北</v>
      </c>
      <c r="L367" s="23" t="str" cm="1">
        <f t="array" ref="L367:N367">_xlfn.TEXTSPLIT(A367,"-")</f>
        <v>US</v>
      </c>
      <c r="M367" s="22" t="str">
        <v>2079</v>
      </c>
      <c r="N367" s="22" t="str">
        <v>4719760</v>
      </c>
    </row>
    <row r="368" spans="1:14" ht="15.6">
      <c r="A368" s="4" t="s">
        <v>405</v>
      </c>
      <c r="B368" s="5">
        <v>44630.844483430898</v>
      </c>
      <c r="C368" s="5">
        <v>44635.949669502399</v>
      </c>
      <c r="D368" s="4" t="s">
        <v>94</v>
      </c>
      <c r="E368" s="4" t="s">
        <v>297</v>
      </c>
      <c r="F368" s="4" t="s">
        <v>130</v>
      </c>
      <c r="G368" s="4">
        <f t="shared" ca="1" si="15"/>
        <v>25</v>
      </c>
      <c r="H368" s="4">
        <v>5</v>
      </c>
      <c r="I368">
        <f t="shared" ca="1" si="16"/>
        <v>125</v>
      </c>
      <c r="J368">
        <f t="shared" si="17"/>
        <v>3</v>
      </c>
      <c r="K368" t="str">
        <f>VLOOKUP(E368,地区表!$A$2:$C$255,3,FALSE)</f>
        <v>华北</v>
      </c>
      <c r="L368" s="23" t="str" cm="1">
        <f t="array" ref="L368:N368">_xlfn.TEXTSPLIT(A368,"-")</f>
        <v>US</v>
      </c>
      <c r="M368" s="22" t="str">
        <v>2079</v>
      </c>
      <c r="N368" s="22" t="str">
        <v>4719760</v>
      </c>
    </row>
    <row r="369" spans="1:14" ht="15.6">
      <c r="A369" s="4" t="s">
        <v>405</v>
      </c>
      <c r="B369" s="5">
        <v>44630.111958979003</v>
      </c>
      <c r="C369" s="5">
        <v>44635.733453016903</v>
      </c>
      <c r="D369" s="4" t="s">
        <v>94</v>
      </c>
      <c r="E369" s="4" t="s">
        <v>297</v>
      </c>
      <c r="F369" s="4" t="s">
        <v>130</v>
      </c>
      <c r="G369" s="4">
        <f t="shared" ca="1" si="15"/>
        <v>34</v>
      </c>
      <c r="H369" s="4">
        <v>7</v>
      </c>
      <c r="I369">
        <f t="shared" ca="1" si="16"/>
        <v>238</v>
      </c>
      <c r="J369">
        <f t="shared" si="17"/>
        <v>3</v>
      </c>
      <c r="K369" t="str">
        <f>VLOOKUP(E369,地区表!$A$2:$C$255,3,FALSE)</f>
        <v>华北</v>
      </c>
      <c r="L369" s="23" t="str" cm="1">
        <f t="array" ref="L369:N369">_xlfn.TEXTSPLIT(A369,"-")</f>
        <v>US</v>
      </c>
      <c r="M369" s="22" t="str">
        <v>2079</v>
      </c>
      <c r="N369" s="22" t="str">
        <v>4719760</v>
      </c>
    </row>
    <row r="370" spans="1:14" ht="15.6">
      <c r="A370" s="4" t="s">
        <v>405</v>
      </c>
      <c r="B370" s="5">
        <v>44630.081255752797</v>
      </c>
      <c r="C370" s="5">
        <v>44635.472283039497</v>
      </c>
      <c r="D370" s="4" t="s">
        <v>94</v>
      </c>
      <c r="E370" s="4" t="s">
        <v>297</v>
      </c>
      <c r="F370" s="4" t="s">
        <v>101</v>
      </c>
      <c r="G370" s="4">
        <f t="shared" ca="1" si="15"/>
        <v>95</v>
      </c>
      <c r="H370" s="4">
        <v>2</v>
      </c>
      <c r="I370">
        <f t="shared" ca="1" si="16"/>
        <v>190</v>
      </c>
      <c r="J370">
        <f t="shared" si="17"/>
        <v>3</v>
      </c>
      <c r="K370" t="str">
        <f>VLOOKUP(E370,地区表!$A$2:$C$255,3,FALSE)</f>
        <v>华北</v>
      </c>
      <c r="L370" s="23" t="str" cm="1">
        <f t="array" ref="L370:N370">_xlfn.TEXTSPLIT(A370,"-")</f>
        <v>US</v>
      </c>
      <c r="M370" s="22" t="str">
        <v>2079</v>
      </c>
      <c r="N370" s="22" t="str">
        <v>4719760</v>
      </c>
    </row>
    <row r="371" spans="1:14" ht="15.6">
      <c r="A371" s="4" t="s">
        <v>405</v>
      </c>
      <c r="B371" s="5">
        <v>44630.456220407701</v>
      </c>
      <c r="C371" s="5">
        <v>44635.315493129099</v>
      </c>
      <c r="D371" s="4" t="s">
        <v>94</v>
      </c>
      <c r="E371" s="4" t="s">
        <v>297</v>
      </c>
      <c r="F371" s="4" t="s">
        <v>122</v>
      </c>
      <c r="G371" s="4">
        <f t="shared" ca="1" si="15"/>
        <v>45</v>
      </c>
      <c r="H371" s="4">
        <v>2</v>
      </c>
      <c r="I371">
        <f t="shared" ca="1" si="16"/>
        <v>90</v>
      </c>
      <c r="J371">
        <f t="shared" si="17"/>
        <v>3</v>
      </c>
      <c r="K371" t="str">
        <f>VLOOKUP(E371,地区表!$A$2:$C$255,3,FALSE)</f>
        <v>华北</v>
      </c>
      <c r="L371" s="23" t="str" cm="1">
        <f t="array" ref="L371:N371">_xlfn.TEXTSPLIT(A371,"-")</f>
        <v>US</v>
      </c>
      <c r="M371" s="22" t="str">
        <v>2079</v>
      </c>
      <c r="N371" s="22" t="str">
        <v>4719760</v>
      </c>
    </row>
    <row r="372" spans="1:14" ht="15.6">
      <c r="A372" s="4" t="s">
        <v>610</v>
      </c>
      <c r="B372" s="5">
        <v>45137.5042181299</v>
      </c>
      <c r="C372" s="5">
        <v>45142.759284108703</v>
      </c>
      <c r="D372" s="4" t="s">
        <v>94</v>
      </c>
      <c r="E372" s="4" t="s">
        <v>297</v>
      </c>
      <c r="F372" s="4" t="s">
        <v>109</v>
      </c>
      <c r="G372" s="4">
        <f t="shared" ca="1" si="15"/>
        <v>27</v>
      </c>
      <c r="H372" s="4">
        <v>3</v>
      </c>
      <c r="I372">
        <f t="shared" ca="1" si="16"/>
        <v>81</v>
      </c>
      <c r="J372">
        <f t="shared" si="17"/>
        <v>7</v>
      </c>
      <c r="K372" t="str">
        <f>VLOOKUP(E372,地区表!$A$2:$C$255,3,FALSE)</f>
        <v>华北</v>
      </c>
      <c r="L372" s="23" t="str" cm="1">
        <f t="array" ref="L372:N372">_xlfn.TEXTSPLIT(A372,"-")</f>
        <v>CN</v>
      </c>
      <c r="M372" s="22" t="str">
        <v>1855</v>
      </c>
      <c r="N372" s="22" t="str">
        <v>4451680</v>
      </c>
    </row>
    <row r="373" spans="1:14" ht="15.6">
      <c r="A373" s="4" t="s">
        <v>672</v>
      </c>
      <c r="B373" s="5">
        <v>44490.152518156799</v>
      </c>
      <c r="C373" s="5">
        <v>44494.978460816601</v>
      </c>
      <c r="D373" s="4" t="s">
        <v>98</v>
      </c>
      <c r="E373" s="4" t="s">
        <v>297</v>
      </c>
      <c r="F373" s="4" t="s">
        <v>100</v>
      </c>
      <c r="G373" s="4">
        <f t="shared" ca="1" si="15"/>
        <v>37</v>
      </c>
      <c r="H373" s="4">
        <v>2</v>
      </c>
      <c r="I373">
        <f t="shared" ca="1" si="16"/>
        <v>74</v>
      </c>
      <c r="J373">
        <f t="shared" si="17"/>
        <v>10</v>
      </c>
      <c r="K373" t="str">
        <f>VLOOKUP(E373,地区表!$A$2:$C$255,3,FALSE)</f>
        <v>华北</v>
      </c>
      <c r="L373" s="23" t="str" cm="1">
        <f t="array" ref="L373:N373">_xlfn.TEXTSPLIT(A373,"-")</f>
        <v>CN</v>
      </c>
      <c r="M373" s="22" t="str">
        <v>3034</v>
      </c>
      <c r="N373" s="22" t="str">
        <v>5094467</v>
      </c>
    </row>
    <row r="374" spans="1:14" ht="15.6">
      <c r="A374" s="4" t="s">
        <v>683</v>
      </c>
      <c r="B374" s="5">
        <v>44536.688784843602</v>
      </c>
      <c r="C374" s="5">
        <v>44538.603525009501</v>
      </c>
      <c r="D374" s="4" t="s">
        <v>98</v>
      </c>
      <c r="E374" s="4" t="s">
        <v>297</v>
      </c>
      <c r="F374" s="4" t="s">
        <v>135</v>
      </c>
      <c r="G374" s="4">
        <f t="shared" ca="1" si="15"/>
        <v>10</v>
      </c>
      <c r="H374" s="4">
        <v>6</v>
      </c>
      <c r="I374">
        <f t="shared" ca="1" si="16"/>
        <v>60</v>
      </c>
      <c r="J374">
        <f t="shared" si="17"/>
        <v>12</v>
      </c>
      <c r="K374" t="str">
        <f>VLOOKUP(E374,地区表!$A$2:$C$255,3,FALSE)</f>
        <v>华北</v>
      </c>
      <c r="L374" s="23" t="str" cm="1">
        <f t="array" ref="L374:N374">_xlfn.TEXTSPLIT(A374,"-")</f>
        <v>CN</v>
      </c>
      <c r="M374" s="22" t="str">
        <v>3080</v>
      </c>
      <c r="N374" s="22" t="str">
        <v>5743460</v>
      </c>
    </row>
    <row r="375" spans="1:14" ht="15.6">
      <c r="A375" s="4" t="s">
        <v>475</v>
      </c>
      <c r="B375" s="5">
        <v>44635.405741893097</v>
      </c>
      <c r="C375" s="5">
        <v>44641.286644226697</v>
      </c>
      <c r="D375" s="4" t="s">
        <v>98</v>
      </c>
      <c r="E375" s="4" t="s">
        <v>476</v>
      </c>
      <c r="F375" s="4" t="s">
        <v>101</v>
      </c>
      <c r="G375" s="4">
        <f t="shared" ca="1" si="15"/>
        <v>100</v>
      </c>
      <c r="H375" s="4">
        <v>2</v>
      </c>
      <c r="I375">
        <f t="shared" ca="1" si="16"/>
        <v>200</v>
      </c>
      <c r="J375">
        <f t="shared" si="17"/>
        <v>3</v>
      </c>
      <c r="K375" t="str">
        <f>VLOOKUP(E375,地区表!$A$2:$C$255,3,FALSE)</f>
        <v>华东</v>
      </c>
      <c r="L375" s="23" t="str" cm="1">
        <f t="array" ref="L375:N375">_xlfn.TEXTSPLIT(A375,"-")</f>
        <v>CN</v>
      </c>
      <c r="M375" s="22" t="str">
        <v>3179</v>
      </c>
      <c r="N375" s="22" t="str">
        <v>5036114</v>
      </c>
    </row>
    <row r="376" spans="1:14" ht="15.6">
      <c r="A376" s="4" t="s">
        <v>475</v>
      </c>
      <c r="B376" s="5">
        <v>44635.220300722998</v>
      </c>
      <c r="C376" s="5">
        <v>44641.332389138101</v>
      </c>
      <c r="D376" s="4" t="s">
        <v>98</v>
      </c>
      <c r="E376" s="4" t="s">
        <v>476</v>
      </c>
      <c r="F376" s="4" t="s">
        <v>144</v>
      </c>
      <c r="G376" s="4">
        <f t="shared" ca="1" si="15"/>
        <v>88</v>
      </c>
      <c r="H376" s="4">
        <v>3</v>
      </c>
      <c r="I376">
        <f t="shared" ca="1" si="16"/>
        <v>264</v>
      </c>
      <c r="J376">
        <f t="shared" si="17"/>
        <v>3</v>
      </c>
      <c r="K376" t="str">
        <f>VLOOKUP(E376,地区表!$A$2:$C$255,3,FALSE)</f>
        <v>华东</v>
      </c>
      <c r="L376" s="23" t="str" cm="1">
        <f t="array" ref="L376:N376">_xlfn.TEXTSPLIT(A376,"-")</f>
        <v>CN</v>
      </c>
      <c r="M376" s="22" t="str">
        <v>3179</v>
      </c>
      <c r="N376" s="22" t="str">
        <v>5036114</v>
      </c>
    </row>
    <row r="377" spans="1:14" ht="15.6">
      <c r="A377" s="4" t="s">
        <v>475</v>
      </c>
      <c r="B377" s="5">
        <v>44635.0742106869</v>
      </c>
      <c r="C377" s="5">
        <v>44641.577934838802</v>
      </c>
      <c r="D377" s="4" t="s">
        <v>98</v>
      </c>
      <c r="E377" s="4" t="s">
        <v>476</v>
      </c>
      <c r="F377" s="4" t="s">
        <v>106</v>
      </c>
      <c r="G377" s="4">
        <f t="shared" ca="1" si="15"/>
        <v>89</v>
      </c>
      <c r="H377" s="4">
        <v>4</v>
      </c>
      <c r="I377">
        <f t="shared" ca="1" si="16"/>
        <v>356</v>
      </c>
      <c r="J377">
        <f t="shared" si="17"/>
        <v>3</v>
      </c>
      <c r="K377" t="str">
        <f>VLOOKUP(E377,地区表!$A$2:$C$255,3,FALSE)</f>
        <v>华东</v>
      </c>
      <c r="L377" s="23" t="str" cm="1">
        <f t="array" ref="L377:N377">_xlfn.TEXTSPLIT(A377,"-")</f>
        <v>CN</v>
      </c>
      <c r="M377" s="22" t="str">
        <v>3179</v>
      </c>
      <c r="N377" s="22" t="str">
        <v>5036114</v>
      </c>
    </row>
    <row r="378" spans="1:14" ht="15.6">
      <c r="A378" s="4" t="s">
        <v>475</v>
      </c>
      <c r="B378" s="5">
        <v>44635.0711056828</v>
      </c>
      <c r="C378" s="5">
        <v>44641.056284211802</v>
      </c>
      <c r="D378" s="4" t="s">
        <v>98</v>
      </c>
      <c r="E378" s="4" t="s">
        <v>476</v>
      </c>
      <c r="F378" s="4" t="s">
        <v>110</v>
      </c>
      <c r="G378" s="4">
        <f t="shared" ca="1" si="15"/>
        <v>77</v>
      </c>
      <c r="H378" s="4">
        <v>3</v>
      </c>
      <c r="I378">
        <f t="shared" ca="1" si="16"/>
        <v>231</v>
      </c>
      <c r="J378">
        <f t="shared" si="17"/>
        <v>3</v>
      </c>
      <c r="K378" t="str">
        <f>VLOOKUP(E378,地区表!$A$2:$C$255,3,FALSE)</f>
        <v>华东</v>
      </c>
      <c r="L378" s="23" t="str" cm="1">
        <f t="array" ref="L378:N378">_xlfn.TEXTSPLIT(A378,"-")</f>
        <v>CN</v>
      </c>
      <c r="M378" s="22" t="str">
        <v>3179</v>
      </c>
      <c r="N378" s="22" t="str">
        <v>5036114</v>
      </c>
    </row>
    <row r="379" spans="1:14" ht="15.6">
      <c r="A379" s="4" t="s">
        <v>756</v>
      </c>
      <c r="B379" s="5">
        <v>44439.008746360603</v>
      </c>
      <c r="C379" s="5">
        <v>44444.608692894602</v>
      </c>
      <c r="D379" s="4" t="s">
        <v>98</v>
      </c>
      <c r="E379" s="4" t="s">
        <v>476</v>
      </c>
      <c r="F379" s="4" t="s">
        <v>106</v>
      </c>
      <c r="G379" s="4">
        <f t="shared" ca="1" si="15"/>
        <v>28</v>
      </c>
      <c r="H379" s="4">
        <v>11</v>
      </c>
      <c r="I379">
        <f t="shared" ca="1" si="16"/>
        <v>308</v>
      </c>
      <c r="J379">
        <f t="shared" si="17"/>
        <v>8</v>
      </c>
      <c r="K379" t="str">
        <f>VLOOKUP(E379,地区表!$A$2:$C$255,3,FALSE)</f>
        <v>华东</v>
      </c>
      <c r="L379" s="23" t="str" cm="1">
        <f t="array" ref="L379:N379">_xlfn.TEXTSPLIT(A379,"-")</f>
        <v>CN</v>
      </c>
      <c r="M379" s="22" t="str">
        <v>2983</v>
      </c>
      <c r="N379" s="22" t="str">
        <v>5834341</v>
      </c>
    </row>
    <row r="380" spans="1:14" ht="15.6">
      <c r="A380" s="4" t="s">
        <v>756</v>
      </c>
      <c r="B380" s="5">
        <v>44439.8487649077</v>
      </c>
      <c r="C380" s="5">
        <v>44444.546550655003</v>
      </c>
      <c r="D380" s="4" t="s">
        <v>98</v>
      </c>
      <c r="E380" s="4" t="s">
        <v>476</v>
      </c>
      <c r="F380" s="4" t="s">
        <v>111</v>
      </c>
      <c r="G380" s="4">
        <f t="shared" ca="1" si="15"/>
        <v>35</v>
      </c>
      <c r="H380" s="4">
        <v>8</v>
      </c>
      <c r="I380">
        <f t="shared" ca="1" si="16"/>
        <v>280</v>
      </c>
      <c r="J380">
        <f t="shared" si="17"/>
        <v>8</v>
      </c>
      <c r="K380" t="str">
        <f>VLOOKUP(E380,地区表!$A$2:$C$255,3,FALSE)</f>
        <v>华东</v>
      </c>
      <c r="L380" s="23" t="str" cm="1">
        <f t="array" ref="L380:N380">_xlfn.TEXTSPLIT(A380,"-")</f>
        <v>CN</v>
      </c>
      <c r="M380" s="22" t="str">
        <v>2983</v>
      </c>
      <c r="N380" s="22" t="str">
        <v>5834341</v>
      </c>
    </row>
    <row r="381" spans="1:14" ht="15.6">
      <c r="A381" s="4" t="s">
        <v>265</v>
      </c>
      <c r="B381" s="5">
        <v>44258.207529379302</v>
      </c>
      <c r="C381" s="5">
        <v>44263.532265933602</v>
      </c>
      <c r="D381" s="4" t="s">
        <v>94</v>
      </c>
      <c r="E381" s="4" t="s">
        <v>266</v>
      </c>
      <c r="F381" s="4" t="s">
        <v>141</v>
      </c>
      <c r="G381" s="4">
        <f t="shared" ca="1" si="15"/>
        <v>14</v>
      </c>
      <c r="H381" s="4">
        <v>3</v>
      </c>
      <c r="I381">
        <f t="shared" ca="1" si="16"/>
        <v>42</v>
      </c>
      <c r="J381">
        <f t="shared" si="17"/>
        <v>3</v>
      </c>
      <c r="K381" t="str">
        <f>VLOOKUP(E381,地区表!$A$2:$C$255,3,FALSE)</f>
        <v>东北</v>
      </c>
      <c r="L381" s="23" t="str" cm="1">
        <f t="array" ref="L381:N381">_xlfn.TEXTSPLIT(A381,"-")</f>
        <v>CN</v>
      </c>
      <c r="M381" s="22" t="str">
        <v>2802</v>
      </c>
      <c r="N381" s="22" t="str">
        <v>2491194</v>
      </c>
    </row>
    <row r="382" spans="1:14" ht="15.6">
      <c r="A382" s="4" t="s">
        <v>613</v>
      </c>
      <c r="B382" s="5">
        <v>44942.1702393995</v>
      </c>
      <c r="C382" s="5">
        <v>44949.432799669798</v>
      </c>
      <c r="D382" s="4" t="s">
        <v>98</v>
      </c>
      <c r="E382" s="4" t="s">
        <v>614</v>
      </c>
      <c r="F382" s="4" t="s">
        <v>125</v>
      </c>
      <c r="G382" s="4">
        <f t="shared" ca="1" si="15"/>
        <v>85</v>
      </c>
      <c r="H382" s="4">
        <v>7</v>
      </c>
      <c r="I382">
        <f t="shared" ca="1" si="16"/>
        <v>595</v>
      </c>
      <c r="J382">
        <f t="shared" si="17"/>
        <v>1</v>
      </c>
      <c r="K382" t="str">
        <f>VLOOKUP(E382,地区表!$A$2:$C$255,3,FALSE)</f>
        <v>中南</v>
      </c>
      <c r="L382" s="23" t="str" cm="1">
        <f t="array" ref="L382:N382">_xlfn.TEXTSPLIT(A382,"-")</f>
        <v>CN</v>
      </c>
      <c r="M382" s="22" t="str">
        <v>2391</v>
      </c>
      <c r="N382" s="22" t="str">
        <v>3297567</v>
      </c>
    </row>
    <row r="383" spans="1:14" ht="15.6">
      <c r="A383" s="4" t="s">
        <v>613</v>
      </c>
      <c r="B383" s="5">
        <v>44942.808060270901</v>
      </c>
      <c r="C383" s="5">
        <v>44949.037382160503</v>
      </c>
      <c r="D383" s="4" t="s">
        <v>98</v>
      </c>
      <c r="E383" s="4" t="s">
        <v>614</v>
      </c>
      <c r="F383" s="4" t="s">
        <v>111</v>
      </c>
      <c r="G383" s="4">
        <f t="shared" ca="1" si="15"/>
        <v>65</v>
      </c>
      <c r="H383" s="4">
        <v>9</v>
      </c>
      <c r="I383">
        <f t="shared" ca="1" si="16"/>
        <v>585</v>
      </c>
      <c r="J383">
        <f t="shared" si="17"/>
        <v>1</v>
      </c>
      <c r="K383" t="str">
        <f>VLOOKUP(E383,地区表!$A$2:$C$255,3,FALSE)</f>
        <v>中南</v>
      </c>
      <c r="L383" s="23" t="str" cm="1">
        <f t="array" ref="L383:N383">_xlfn.TEXTSPLIT(A383,"-")</f>
        <v>CN</v>
      </c>
      <c r="M383" s="22" t="str">
        <v>2391</v>
      </c>
      <c r="N383" s="22" t="str">
        <v>3297567</v>
      </c>
    </row>
    <row r="384" spans="1:14" ht="15.6">
      <c r="A384" s="4" t="s">
        <v>532</v>
      </c>
      <c r="B384" s="5">
        <v>45071.786863655601</v>
      </c>
      <c r="C384" s="5">
        <v>45075.664928472303</v>
      </c>
      <c r="D384" s="4" t="s">
        <v>94</v>
      </c>
      <c r="E384" s="4" t="s">
        <v>533</v>
      </c>
      <c r="F384" s="4" t="s">
        <v>125</v>
      </c>
      <c r="G384" s="4">
        <f t="shared" ca="1" si="15"/>
        <v>37</v>
      </c>
      <c r="H384" s="4">
        <v>5</v>
      </c>
      <c r="I384">
        <f t="shared" ca="1" si="16"/>
        <v>185</v>
      </c>
      <c r="J384">
        <f t="shared" si="17"/>
        <v>5</v>
      </c>
      <c r="K384" t="str">
        <f>VLOOKUP(E384,地区表!$A$2:$C$255,3,FALSE)</f>
        <v>华东</v>
      </c>
      <c r="L384" s="23" t="str" cm="1">
        <f t="array" ref="L384:N384">_xlfn.TEXTSPLIT(A384,"-")</f>
        <v>CN</v>
      </c>
      <c r="M384" s="22" t="str">
        <v>2520</v>
      </c>
      <c r="N384" s="22" t="str">
        <v>3807036</v>
      </c>
    </row>
    <row r="385" spans="1:14" ht="15.6">
      <c r="A385" s="4" t="s">
        <v>532</v>
      </c>
      <c r="B385" s="5">
        <v>45071.618451517897</v>
      </c>
      <c r="C385" s="5">
        <v>45075.660660971997</v>
      </c>
      <c r="D385" s="4" t="s">
        <v>94</v>
      </c>
      <c r="E385" s="4" t="s">
        <v>533</v>
      </c>
      <c r="F385" s="4" t="s">
        <v>106</v>
      </c>
      <c r="G385" s="4">
        <f t="shared" ca="1" si="15"/>
        <v>24</v>
      </c>
      <c r="H385" s="4">
        <v>2</v>
      </c>
      <c r="I385">
        <f t="shared" ca="1" si="16"/>
        <v>48</v>
      </c>
      <c r="J385">
        <f t="shared" si="17"/>
        <v>5</v>
      </c>
      <c r="K385" t="str">
        <f>VLOOKUP(E385,地区表!$A$2:$C$255,3,FALSE)</f>
        <v>华东</v>
      </c>
      <c r="L385" s="23" t="str" cm="1">
        <f t="array" ref="L385:N385">_xlfn.TEXTSPLIT(A385,"-")</f>
        <v>CN</v>
      </c>
      <c r="M385" s="22" t="str">
        <v>2520</v>
      </c>
      <c r="N385" s="22" t="str">
        <v>3807036</v>
      </c>
    </row>
    <row r="386" spans="1:14" ht="15.6">
      <c r="A386" s="4" t="s">
        <v>532</v>
      </c>
      <c r="B386" s="5">
        <v>45071.9103372397</v>
      </c>
      <c r="C386" s="5">
        <v>45075.543717834997</v>
      </c>
      <c r="D386" s="4" t="s">
        <v>94</v>
      </c>
      <c r="E386" s="4" t="s">
        <v>533</v>
      </c>
      <c r="F386" s="4" t="s">
        <v>141</v>
      </c>
      <c r="G386" s="4">
        <f t="shared" ref="G386:G449" ca="1" si="18">RANDBETWEEN(10,100)</f>
        <v>55</v>
      </c>
      <c r="H386" s="4">
        <v>2</v>
      </c>
      <c r="I386">
        <f t="shared" ca="1" si="16"/>
        <v>110</v>
      </c>
      <c r="J386">
        <f t="shared" si="17"/>
        <v>5</v>
      </c>
      <c r="K386" t="str">
        <f>VLOOKUP(E386,地区表!$A$2:$C$255,3,FALSE)</f>
        <v>华东</v>
      </c>
      <c r="L386" s="23" t="str" cm="1">
        <f t="array" ref="L386:N386">_xlfn.TEXTSPLIT(A386,"-")</f>
        <v>CN</v>
      </c>
      <c r="M386" s="22" t="str">
        <v>2520</v>
      </c>
      <c r="N386" s="22" t="str">
        <v>3807036</v>
      </c>
    </row>
    <row r="387" spans="1:14" ht="15.6">
      <c r="A387" s="4" t="s">
        <v>542</v>
      </c>
      <c r="B387" s="5">
        <v>44660.6261085566</v>
      </c>
      <c r="C387" s="5">
        <v>44664.619651524903</v>
      </c>
      <c r="D387" s="4" t="s">
        <v>98</v>
      </c>
      <c r="E387" s="4" t="s">
        <v>533</v>
      </c>
      <c r="F387" s="4" t="s">
        <v>101</v>
      </c>
      <c r="G387" s="4">
        <f t="shared" ca="1" si="18"/>
        <v>28</v>
      </c>
      <c r="H387" s="4">
        <v>3</v>
      </c>
      <c r="I387">
        <f t="shared" ref="I387:I450" ca="1" si="19">G387*H387</f>
        <v>84</v>
      </c>
      <c r="J387">
        <f t="shared" ref="J387:J450" si="20">MONTH(B387)</f>
        <v>4</v>
      </c>
      <c r="K387" t="str">
        <f>VLOOKUP(E387,地区表!$A$2:$C$255,3,FALSE)</f>
        <v>华东</v>
      </c>
      <c r="L387" s="23" t="str" cm="1">
        <f t="array" ref="L387:N387">_xlfn.TEXTSPLIT(A387,"-")</f>
        <v>CN</v>
      </c>
      <c r="M387" s="22" t="str">
        <v>2109</v>
      </c>
      <c r="N387" s="22" t="str">
        <v>2560726</v>
      </c>
    </row>
    <row r="388" spans="1:14" ht="15.6">
      <c r="A388" s="4" t="s">
        <v>576</v>
      </c>
      <c r="B388" s="5">
        <v>45004.325532192102</v>
      </c>
      <c r="C388" s="5">
        <v>45011.868470100701</v>
      </c>
      <c r="D388" s="4" t="s">
        <v>98</v>
      </c>
      <c r="E388" s="4" t="s">
        <v>533</v>
      </c>
      <c r="F388" s="4" t="s">
        <v>144</v>
      </c>
      <c r="G388" s="4">
        <f t="shared" ca="1" si="18"/>
        <v>89</v>
      </c>
      <c r="H388" s="4">
        <v>3</v>
      </c>
      <c r="I388">
        <f t="shared" ca="1" si="19"/>
        <v>267</v>
      </c>
      <c r="J388">
        <f t="shared" si="20"/>
        <v>3</v>
      </c>
      <c r="K388" t="str">
        <f>VLOOKUP(E388,地区表!$A$2:$C$255,3,FALSE)</f>
        <v>华东</v>
      </c>
      <c r="L388" s="23" t="str" cm="1">
        <f t="array" ref="L388:N388">_xlfn.TEXTSPLIT(A388,"-")</f>
        <v>CN</v>
      </c>
      <c r="M388" s="22" t="str">
        <v>2453</v>
      </c>
      <c r="N388" s="22" t="str">
        <v>4944475</v>
      </c>
    </row>
    <row r="389" spans="1:14" ht="15.6">
      <c r="A389" s="4" t="s">
        <v>601</v>
      </c>
      <c r="B389" s="5">
        <v>45285.782790465397</v>
      </c>
      <c r="C389" s="5">
        <v>45290.0750142119</v>
      </c>
      <c r="D389" s="4" t="s">
        <v>98</v>
      </c>
      <c r="E389" s="4" t="s">
        <v>533</v>
      </c>
      <c r="F389" s="4" t="s">
        <v>109</v>
      </c>
      <c r="G389" s="4">
        <f t="shared" ca="1" si="18"/>
        <v>50</v>
      </c>
      <c r="H389" s="4">
        <v>5</v>
      </c>
      <c r="I389">
        <f t="shared" ca="1" si="19"/>
        <v>250</v>
      </c>
      <c r="J389">
        <f t="shared" si="20"/>
        <v>12</v>
      </c>
      <c r="K389" t="str">
        <f>VLOOKUP(E389,地区表!$A$2:$C$255,3,FALSE)</f>
        <v>华东</v>
      </c>
      <c r="L389" s="23" t="str" cm="1">
        <f t="array" ref="L389:N389">_xlfn.TEXTSPLIT(A389,"-")</f>
        <v>CN</v>
      </c>
      <c r="M389" s="22" t="str">
        <v>2734</v>
      </c>
      <c r="N389" s="22" t="str">
        <v>5180154</v>
      </c>
    </row>
    <row r="390" spans="1:14" ht="15.6">
      <c r="A390" s="4" t="s">
        <v>601</v>
      </c>
      <c r="B390" s="5">
        <v>45285.757980902403</v>
      </c>
      <c r="C390" s="5">
        <v>45290.1952132921</v>
      </c>
      <c r="D390" s="4" t="s">
        <v>98</v>
      </c>
      <c r="E390" s="4" t="s">
        <v>533</v>
      </c>
      <c r="F390" s="4" t="s">
        <v>121</v>
      </c>
      <c r="G390" s="4">
        <f t="shared" ca="1" si="18"/>
        <v>91</v>
      </c>
      <c r="H390" s="4">
        <v>5</v>
      </c>
      <c r="I390">
        <f t="shared" ca="1" si="19"/>
        <v>455</v>
      </c>
      <c r="J390">
        <f t="shared" si="20"/>
        <v>12</v>
      </c>
      <c r="K390" t="str">
        <f>VLOOKUP(E390,地区表!$A$2:$C$255,3,FALSE)</f>
        <v>华东</v>
      </c>
      <c r="L390" s="23" t="str" cm="1">
        <f t="array" ref="L390:N390">_xlfn.TEXTSPLIT(A390,"-")</f>
        <v>CN</v>
      </c>
      <c r="M390" s="22" t="str">
        <v>2734</v>
      </c>
      <c r="N390" s="22" t="str">
        <v>5180154</v>
      </c>
    </row>
    <row r="391" spans="1:14" ht="15.6">
      <c r="A391" s="4" t="s">
        <v>820</v>
      </c>
      <c r="B391" s="5">
        <v>44900.8886762525</v>
      </c>
      <c r="C391" s="5">
        <v>44903.607592488101</v>
      </c>
      <c r="D391" s="4" t="s">
        <v>94</v>
      </c>
      <c r="E391" s="4" t="s">
        <v>533</v>
      </c>
      <c r="F391" s="4" t="s">
        <v>121</v>
      </c>
      <c r="G391" s="4">
        <f t="shared" ca="1" si="18"/>
        <v>67</v>
      </c>
      <c r="H391" s="4">
        <v>4</v>
      </c>
      <c r="I391">
        <f t="shared" ca="1" si="19"/>
        <v>268</v>
      </c>
      <c r="J391">
        <f t="shared" si="20"/>
        <v>12</v>
      </c>
      <c r="K391" t="str">
        <f>VLOOKUP(E391,地区表!$A$2:$C$255,3,FALSE)</f>
        <v>华东</v>
      </c>
      <c r="L391" s="23" t="str" cm="1">
        <f t="array" ref="L391:N391">_xlfn.TEXTSPLIT(A391,"-")</f>
        <v>CN</v>
      </c>
      <c r="M391" s="22" t="str">
        <v>2349</v>
      </c>
      <c r="N391" s="22" t="str">
        <v>2547654</v>
      </c>
    </row>
    <row r="392" spans="1:14" ht="15.6">
      <c r="A392" s="4" t="s">
        <v>338</v>
      </c>
      <c r="B392" s="5">
        <v>44431.983364116597</v>
      </c>
      <c r="C392" s="5">
        <v>44431.373849306299</v>
      </c>
      <c r="D392" s="4" t="s">
        <v>98</v>
      </c>
      <c r="E392" s="4" t="s">
        <v>339</v>
      </c>
      <c r="F392" s="4" t="s">
        <v>100</v>
      </c>
      <c r="G392" s="4">
        <f t="shared" ca="1" si="18"/>
        <v>59</v>
      </c>
      <c r="H392" s="4">
        <v>2</v>
      </c>
      <c r="I392">
        <f t="shared" ca="1" si="19"/>
        <v>118</v>
      </c>
      <c r="J392">
        <f t="shared" si="20"/>
        <v>8</v>
      </c>
      <c r="K392" t="str">
        <f>VLOOKUP(E392,地区表!$A$2:$C$255,3,FALSE)</f>
        <v>东北</v>
      </c>
      <c r="L392" s="23" t="str" cm="1">
        <f t="array" ref="L392:N392">_xlfn.TEXTSPLIT(A392,"-")</f>
        <v>CN</v>
      </c>
      <c r="M392" s="22" t="str">
        <v>2975</v>
      </c>
      <c r="N392" s="22" t="str">
        <v>2203847</v>
      </c>
    </row>
    <row r="393" spans="1:14" ht="15.6">
      <c r="A393" s="4" t="s">
        <v>338</v>
      </c>
      <c r="B393" s="5">
        <v>44431.333894789801</v>
      </c>
      <c r="C393" s="5">
        <v>44431.893248649198</v>
      </c>
      <c r="D393" s="4" t="s">
        <v>98</v>
      </c>
      <c r="E393" s="4" t="s">
        <v>339</v>
      </c>
      <c r="F393" s="4" t="s">
        <v>110</v>
      </c>
      <c r="G393" s="4">
        <f t="shared" ca="1" si="18"/>
        <v>23</v>
      </c>
      <c r="H393" s="4">
        <v>4</v>
      </c>
      <c r="I393">
        <f t="shared" ca="1" si="19"/>
        <v>92</v>
      </c>
      <c r="J393">
        <f t="shared" si="20"/>
        <v>8</v>
      </c>
      <c r="K393" t="str">
        <f>VLOOKUP(E393,地区表!$A$2:$C$255,3,FALSE)</f>
        <v>东北</v>
      </c>
      <c r="L393" s="23" t="str" cm="1">
        <f t="array" ref="L393:N393">_xlfn.TEXTSPLIT(A393,"-")</f>
        <v>CN</v>
      </c>
      <c r="M393" s="22" t="str">
        <v>2975</v>
      </c>
      <c r="N393" s="22" t="str">
        <v>2203847</v>
      </c>
    </row>
    <row r="394" spans="1:14" ht="15.6">
      <c r="A394" s="4" t="s">
        <v>499</v>
      </c>
      <c r="B394" s="5">
        <v>44461.915168628599</v>
      </c>
      <c r="C394" s="5">
        <v>44466.696103502298</v>
      </c>
      <c r="D394" s="4" t="s">
        <v>114</v>
      </c>
      <c r="E394" s="4" t="s">
        <v>500</v>
      </c>
      <c r="F394" s="4" t="s">
        <v>141</v>
      </c>
      <c r="G394" s="4">
        <f t="shared" ca="1" si="18"/>
        <v>87</v>
      </c>
      <c r="H394" s="4">
        <v>5</v>
      </c>
      <c r="I394">
        <f t="shared" ca="1" si="19"/>
        <v>435</v>
      </c>
      <c r="J394">
        <f t="shared" si="20"/>
        <v>9</v>
      </c>
      <c r="K394" t="str">
        <f>VLOOKUP(E394,地区表!$A$2:$C$255,3,FALSE)</f>
        <v>华东</v>
      </c>
      <c r="L394" s="23" t="str" cm="1">
        <f t="array" ref="L394:N394">_xlfn.TEXTSPLIT(A394,"-")</f>
        <v>US</v>
      </c>
      <c r="M394" s="22" t="str">
        <v>3005</v>
      </c>
      <c r="N394" s="22" t="str">
        <v>2312244</v>
      </c>
    </row>
    <row r="395" spans="1:14" ht="15.6">
      <c r="A395" s="4" t="s">
        <v>802</v>
      </c>
      <c r="B395" s="5">
        <v>44333.841756319001</v>
      </c>
      <c r="C395" s="5">
        <v>44338.201384325803</v>
      </c>
      <c r="D395" s="4" t="s">
        <v>114</v>
      </c>
      <c r="E395" s="4" t="s">
        <v>500</v>
      </c>
      <c r="F395" s="4" t="s">
        <v>122</v>
      </c>
      <c r="G395" s="4">
        <f t="shared" ca="1" si="18"/>
        <v>28</v>
      </c>
      <c r="H395" s="4">
        <v>2</v>
      </c>
      <c r="I395">
        <f t="shared" ca="1" si="19"/>
        <v>56</v>
      </c>
      <c r="J395">
        <f t="shared" si="20"/>
        <v>5</v>
      </c>
      <c r="K395" t="str">
        <f>VLOOKUP(E395,地区表!$A$2:$C$255,3,FALSE)</f>
        <v>华东</v>
      </c>
      <c r="L395" s="23" t="str" cm="1">
        <f t="array" ref="L395:N395">_xlfn.TEXTSPLIT(A395,"-")</f>
        <v>US</v>
      </c>
      <c r="M395" s="22" t="str">
        <v>2877</v>
      </c>
      <c r="N395" s="22" t="str">
        <v>4375818</v>
      </c>
    </row>
    <row r="396" spans="1:14" ht="15.6">
      <c r="A396" s="4" t="s">
        <v>842</v>
      </c>
      <c r="B396" s="5">
        <v>44752.577795301397</v>
      </c>
      <c r="C396" s="5">
        <v>44755.296439142403</v>
      </c>
      <c r="D396" s="4" t="s">
        <v>98</v>
      </c>
      <c r="E396" s="4" t="s">
        <v>500</v>
      </c>
      <c r="F396" s="4" t="s">
        <v>112</v>
      </c>
      <c r="G396" s="4">
        <f t="shared" ca="1" si="18"/>
        <v>89</v>
      </c>
      <c r="H396" s="4">
        <v>3</v>
      </c>
      <c r="I396">
        <f t="shared" ca="1" si="19"/>
        <v>267</v>
      </c>
      <c r="J396">
        <f t="shared" si="20"/>
        <v>7</v>
      </c>
      <c r="K396" t="str">
        <f>VLOOKUP(E396,地区表!$A$2:$C$255,3,FALSE)</f>
        <v>华东</v>
      </c>
      <c r="L396" s="23" t="str" cm="1">
        <f t="array" ref="L396:N396">_xlfn.TEXTSPLIT(A396,"-")</f>
        <v>US</v>
      </c>
      <c r="M396" s="22" t="str">
        <v>2201</v>
      </c>
      <c r="N396" s="22" t="str">
        <v>2609031</v>
      </c>
    </row>
    <row r="397" spans="1:14" ht="15.6">
      <c r="A397" s="4" t="s">
        <v>842</v>
      </c>
      <c r="B397" s="5">
        <v>44752.183766154303</v>
      </c>
      <c r="C397" s="5">
        <v>44755.876914023604</v>
      </c>
      <c r="D397" s="4" t="s">
        <v>98</v>
      </c>
      <c r="E397" s="4" t="s">
        <v>500</v>
      </c>
      <c r="F397" s="4" t="s">
        <v>135</v>
      </c>
      <c r="G397" s="4">
        <f t="shared" ca="1" si="18"/>
        <v>59</v>
      </c>
      <c r="H397" s="4">
        <v>4</v>
      </c>
      <c r="I397">
        <f t="shared" ca="1" si="19"/>
        <v>236</v>
      </c>
      <c r="J397">
        <f t="shared" si="20"/>
        <v>7</v>
      </c>
      <c r="K397" t="str">
        <f>VLOOKUP(E397,地区表!$A$2:$C$255,3,FALSE)</f>
        <v>华东</v>
      </c>
      <c r="L397" s="23" t="str" cm="1">
        <f t="array" ref="L397:N397">_xlfn.TEXTSPLIT(A397,"-")</f>
        <v>US</v>
      </c>
      <c r="M397" s="22" t="str">
        <v>2201</v>
      </c>
      <c r="N397" s="22" t="str">
        <v>2609031</v>
      </c>
    </row>
    <row r="398" spans="1:14" ht="15.6">
      <c r="A398" s="4" t="s">
        <v>842</v>
      </c>
      <c r="B398" s="5">
        <v>44752.995237392402</v>
      </c>
      <c r="C398" s="5">
        <v>44755.331483182803</v>
      </c>
      <c r="D398" s="4" t="s">
        <v>98</v>
      </c>
      <c r="E398" s="4" t="s">
        <v>500</v>
      </c>
      <c r="F398" s="4" t="s">
        <v>122</v>
      </c>
      <c r="G398" s="4">
        <f t="shared" ca="1" si="18"/>
        <v>55</v>
      </c>
      <c r="H398" s="4">
        <v>2</v>
      </c>
      <c r="I398">
        <f t="shared" ca="1" si="19"/>
        <v>110</v>
      </c>
      <c r="J398">
        <f t="shared" si="20"/>
        <v>7</v>
      </c>
      <c r="K398" t="str">
        <f>VLOOKUP(E398,地区表!$A$2:$C$255,3,FALSE)</f>
        <v>华东</v>
      </c>
      <c r="L398" s="23" t="str" cm="1">
        <f t="array" ref="L398:N398">_xlfn.TEXTSPLIT(A398,"-")</f>
        <v>US</v>
      </c>
      <c r="M398" s="22" t="str">
        <v>2201</v>
      </c>
      <c r="N398" s="22" t="str">
        <v>2609031</v>
      </c>
    </row>
    <row r="399" spans="1:14" ht="15.6">
      <c r="A399" s="4" t="s">
        <v>340</v>
      </c>
      <c r="B399" s="5">
        <v>44772.064845681904</v>
      </c>
      <c r="C399" s="5">
        <v>44779.800462135703</v>
      </c>
      <c r="D399" s="4" t="s">
        <v>98</v>
      </c>
      <c r="E399" s="4" t="s">
        <v>341</v>
      </c>
      <c r="F399" s="4" t="s">
        <v>125</v>
      </c>
      <c r="G399" s="4">
        <f t="shared" ca="1" si="18"/>
        <v>48</v>
      </c>
      <c r="H399" s="4">
        <v>4</v>
      </c>
      <c r="I399">
        <f t="shared" ca="1" si="19"/>
        <v>192</v>
      </c>
      <c r="J399">
        <f t="shared" si="20"/>
        <v>7</v>
      </c>
      <c r="K399" t="str">
        <f>VLOOKUP(E399,地区表!$A$2:$C$255,3,FALSE)</f>
        <v>华东</v>
      </c>
      <c r="L399" s="23" t="str" cm="1">
        <f t="array" ref="L399:N399">_xlfn.TEXTSPLIT(A399,"-")</f>
        <v>CN</v>
      </c>
      <c r="M399" s="22" t="str">
        <v>2221</v>
      </c>
      <c r="N399" s="22" t="str">
        <v>3103245</v>
      </c>
    </row>
    <row r="400" spans="1:14" ht="15.6">
      <c r="A400" s="4" t="s">
        <v>340</v>
      </c>
      <c r="B400" s="5">
        <v>44772.196478987004</v>
      </c>
      <c r="C400" s="5">
        <v>44779.340292478999</v>
      </c>
      <c r="D400" s="4" t="s">
        <v>98</v>
      </c>
      <c r="E400" s="4" t="s">
        <v>341</v>
      </c>
      <c r="F400" s="4" t="s">
        <v>111</v>
      </c>
      <c r="G400" s="4">
        <f t="shared" ca="1" si="18"/>
        <v>84</v>
      </c>
      <c r="H400" s="4">
        <v>1</v>
      </c>
      <c r="I400">
        <f t="shared" ca="1" si="19"/>
        <v>84</v>
      </c>
      <c r="J400">
        <f t="shared" si="20"/>
        <v>7</v>
      </c>
      <c r="K400" t="str">
        <f>VLOOKUP(E400,地区表!$A$2:$C$255,3,FALSE)</f>
        <v>华东</v>
      </c>
      <c r="L400" s="23" t="str" cm="1">
        <f t="array" ref="L400:N400">_xlfn.TEXTSPLIT(A400,"-")</f>
        <v>CN</v>
      </c>
      <c r="M400" s="22" t="str">
        <v>2221</v>
      </c>
      <c r="N400" s="22" t="str">
        <v>3103245</v>
      </c>
    </row>
    <row r="401" spans="1:14" ht="15.6">
      <c r="A401" s="4" t="s">
        <v>344</v>
      </c>
      <c r="B401" s="5">
        <v>44211.554964895098</v>
      </c>
      <c r="C401" s="5">
        <v>44217.451562774098</v>
      </c>
      <c r="D401" s="4" t="s">
        <v>98</v>
      </c>
      <c r="E401" s="4" t="s">
        <v>341</v>
      </c>
      <c r="F401" s="4" t="s">
        <v>111</v>
      </c>
      <c r="G401" s="4">
        <f t="shared" ca="1" si="18"/>
        <v>93</v>
      </c>
      <c r="H401" s="4">
        <v>3</v>
      </c>
      <c r="I401">
        <f t="shared" ca="1" si="19"/>
        <v>279</v>
      </c>
      <c r="J401">
        <f t="shared" si="20"/>
        <v>1</v>
      </c>
      <c r="K401" t="str">
        <f>VLOOKUP(E401,地区表!$A$2:$C$255,3,FALSE)</f>
        <v>华东</v>
      </c>
      <c r="L401" s="23" t="str" cm="1">
        <f t="array" ref="L401:N401">_xlfn.TEXTSPLIT(A401,"-")</f>
        <v>CN</v>
      </c>
      <c r="M401" s="22" t="str">
        <v>2755</v>
      </c>
      <c r="N401" s="22" t="str">
        <v>4015472</v>
      </c>
    </row>
    <row r="402" spans="1:14" ht="15.6">
      <c r="A402" s="4" t="s">
        <v>344</v>
      </c>
      <c r="B402" s="5">
        <v>44211.809841855596</v>
      </c>
      <c r="C402" s="5">
        <v>44217.184258103996</v>
      </c>
      <c r="D402" s="4" t="s">
        <v>98</v>
      </c>
      <c r="E402" s="4" t="s">
        <v>341</v>
      </c>
      <c r="F402" s="4" t="s">
        <v>122</v>
      </c>
      <c r="G402" s="4">
        <f t="shared" ca="1" si="18"/>
        <v>48</v>
      </c>
      <c r="H402" s="4">
        <v>3</v>
      </c>
      <c r="I402">
        <f t="shared" ca="1" si="19"/>
        <v>144</v>
      </c>
      <c r="J402">
        <f t="shared" si="20"/>
        <v>1</v>
      </c>
      <c r="K402" t="str">
        <f>VLOOKUP(E402,地区表!$A$2:$C$255,3,FALSE)</f>
        <v>华东</v>
      </c>
      <c r="L402" s="23" t="str" cm="1">
        <f t="array" ref="L402:N402">_xlfn.TEXTSPLIT(A402,"-")</f>
        <v>CN</v>
      </c>
      <c r="M402" s="22" t="str">
        <v>2755</v>
      </c>
      <c r="N402" s="22" t="str">
        <v>4015472</v>
      </c>
    </row>
    <row r="403" spans="1:14" ht="15.6">
      <c r="A403" s="4" t="s">
        <v>599</v>
      </c>
      <c r="B403" s="5">
        <v>45204.965463755303</v>
      </c>
      <c r="C403" s="5">
        <v>45208.528535101497</v>
      </c>
      <c r="D403" s="4" t="s">
        <v>94</v>
      </c>
      <c r="E403" s="4" t="s">
        <v>600</v>
      </c>
      <c r="F403" s="4" t="s">
        <v>121</v>
      </c>
      <c r="G403" s="4">
        <f t="shared" ca="1" si="18"/>
        <v>11</v>
      </c>
      <c r="H403" s="4">
        <v>2</v>
      </c>
      <c r="I403">
        <f t="shared" ca="1" si="19"/>
        <v>22</v>
      </c>
      <c r="J403">
        <f t="shared" si="20"/>
        <v>10</v>
      </c>
      <c r="K403" t="str">
        <f>VLOOKUP(E403,地区表!$A$2:$C$255,3,FALSE)</f>
        <v>华东</v>
      </c>
      <c r="L403" s="23" t="str" cm="1">
        <f t="array" ref="L403:N403">_xlfn.TEXTSPLIT(A403,"-")</f>
        <v>CN</v>
      </c>
      <c r="M403" s="22" t="str">
        <v>1922</v>
      </c>
      <c r="N403" s="22" t="str">
        <v>1137701</v>
      </c>
    </row>
    <row r="404" spans="1:14" ht="15.6">
      <c r="A404" s="4" t="s">
        <v>204</v>
      </c>
      <c r="B404" s="5">
        <v>44709.2235790044</v>
      </c>
      <c r="C404" s="5">
        <v>44712.422627188302</v>
      </c>
      <c r="D404" s="4" t="s">
        <v>98</v>
      </c>
      <c r="E404" s="4" t="s">
        <v>205</v>
      </c>
      <c r="F404" s="4" t="s">
        <v>96</v>
      </c>
      <c r="G404" s="4">
        <f t="shared" ca="1" si="18"/>
        <v>42</v>
      </c>
      <c r="H404" s="4">
        <v>3</v>
      </c>
      <c r="I404">
        <f t="shared" ca="1" si="19"/>
        <v>126</v>
      </c>
      <c r="J404">
        <f t="shared" si="20"/>
        <v>5</v>
      </c>
      <c r="K404" t="str">
        <f>VLOOKUP(E404,地区表!$A$2:$C$255,3,FALSE)</f>
        <v>华东</v>
      </c>
      <c r="L404" s="23" t="str" cm="1">
        <f t="array" ref="L404:N404">_xlfn.TEXTSPLIT(A404,"-")</f>
        <v>CN</v>
      </c>
      <c r="M404" s="22" t="str">
        <v>2158</v>
      </c>
      <c r="N404" s="22" t="str">
        <v>1973789</v>
      </c>
    </row>
    <row r="405" spans="1:14" ht="15.6">
      <c r="A405" s="4" t="s">
        <v>204</v>
      </c>
      <c r="B405" s="5">
        <v>44709.573320560499</v>
      </c>
      <c r="C405" s="5">
        <v>44712.7668925623</v>
      </c>
      <c r="D405" s="4" t="s">
        <v>98</v>
      </c>
      <c r="E405" s="4" t="s">
        <v>205</v>
      </c>
      <c r="F405" s="4" t="s">
        <v>106</v>
      </c>
      <c r="G405" s="4">
        <f t="shared" ca="1" si="18"/>
        <v>83</v>
      </c>
      <c r="H405" s="4">
        <v>4</v>
      </c>
      <c r="I405">
        <f t="shared" ca="1" si="19"/>
        <v>332</v>
      </c>
      <c r="J405">
        <f t="shared" si="20"/>
        <v>5</v>
      </c>
      <c r="K405" t="str">
        <f>VLOOKUP(E405,地区表!$A$2:$C$255,3,FALSE)</f>
        <v>华东</v>
      </c>
      <c r="L405" s="23" t="str" cm="1">
        <f t="array" ref="L405:N405">_xlfn.TEXTSPLIT(A405,"-")</f>
        <v>CN</v>
      </c>
      <c r="M405" s="22" t="str">
        <v>2158</v>
      </c>
      <c r="N405" s="22" t="str">
        <v>1973789</v>
      </c>
    </row>
    <row r="406" spans="1:14" ht="15.6">
      <c r="A406" s="4" t="s">
        <v>815</v>
      </c>
      <c r="B406" s="5">
        <v>44305.9146399827</v>
      </c>
      <c r="C406" s="5">
        <v>44310.995241791003</v>
      </c>
      <c r="D406" s="4" t="s">
        <v>98</v>
      </c>
      <c r="E406" s="4" t="s">
        <v>205</v>
      </c>
      <c r="F406" s="4" t="s">
        <v>110</v>
      </c>
      <c r="G406" s="4">
        <f t="shared" ca="1" si="18"/>
        <v>71</v>
      </c>
      <c r="H406" s="4">
        <v>5</v>
      </c>
      <c r="I406">
        <f t="shared" ca="1" si="19"/>
        <v>355</v>
      </c>
      <c r="J406">
        <f t="shared" si="20"/>
        <v>4</v>
      </c>
      <c r="K406" t="str">
        <f>VLOOKUP(E406,地区表!$A$2:$C$255,3,FALSE)</f>
        <v>华东</v>
      </c>
      <c r="L406" s="23" t="str" cm="1">
        <f t="array" ref="L406:N406">_xlfn.TEXTSPLIT(A406,"-")</f>
        <v>CN</v>
      </c>
      <c r="M406" s="22" t="str">
        <v>2849</v>
      </c>
      <c r="N406" s="22" t="str">
        <v>3231478</v>
      </c>
    </row>
    <row r="407" spans="1:14" ht="15.6">
      <c r="A407" s="4" t="s">
        <v>815</v>
      </c>
      <c r="B407" s="5">
        <v>44305.3543906013</v>
      </c>
      <c r="C407" s="5">
        <v>44310.883974812001</v>
      </c>
      <c r="D407" s="4" t="s">
        <v>98</v>
      </c>
      <c r="E407" s="4" t="s">
        <v>205</v>
      </c>
      <c r="F407" s="4" t="s">
        <v>110</v>
      </c>
      <c r="G407" s="4">
        <f t="shared" ca="1" si="18"/>
        <v>69</v>
      </c>
      <c r="H407" s="4">
        <v>3</v>
      </c>
      <c r="I407">
        <f t="shared" ca="1" si="19"/>
        <v>207</v>
      </c>
      <c r="J407">
        <f t="shared" si="20"/>
        <v>4</v>
      </c>
      <c r="K407" t="str">
        <f>VLOOKUP(E407,地区表!$A$2:$C$255,3,FALSE)</f>
        <v>华东</v>
      </c>
      <c r="L407" s="23" t="str" cm="1">
        <f t="array" ref="L407:N407">_xlfn.TEXTSPLIT(A407,"-")</f>
        <v>CN</v>
      </c>
      <c r="M407" s="22" t="str">
        <v>2849</v>
      </c>
      <c r="N407" s="22" t="str">
        <v>3231478</v>
      </c>
    </row>
    <row r="408" spans="1:14" ht="15.6">
      <c r="A408" s="4" t="s">
        <v>304</v>
      </c>
      <c r="B408" s="5">
        <v>44254.592879387499</v>
      </c>
      <c r="C408" s="5">
        <v>44256.538820466703</v>
      </c>
      <c r="D408" s="4" t="s">
        <v>98</v>
      </c>
      <c r="E408" s="4" t="s">
        <v>305</v>
      </c>
      <c r="F408" s="4" t="s">
        <v>121</v>
      </c>
      <c r="G408" s="4">
        <f t="shared" ca="1" si="18"/>
        <v>37</v>
      </c>
      <c r="H408" s="4">
        <v>2</v>
      </c>
      <c r="I408">
        <f t="shared" ca="1" si="19"/>
        <v>74</v>
      </c>
      <c r="J408">
        <f t="shared" si="20"/>
        <v>2</v>
      </c>
      <c r="K408" t="str">
        <f>VLOOKUP(E408,地区表!$A$2:$C$255,3,FALSE)</f>
        <v>中南</v>
      </c>
      <c r="L408" s="23" t="str" cm="1">
        <f t="array" ref="L408:N408">_xlfn.TEXTSPLIT(A408,"-")</f>
        <v>CN</v>
      </c>
      <c r="M408" s="22" t="str">
        <v>2798</v>
      </c>
      <c r="N408" s="22" t="str">
        <v>3266914</v>
      </c>
    </row>
    <row r="409" spans="1:14" ht="15.6">
      <c r="A409" s="4" t="s">
        <v>304</v>
      </c>
      <c r="B409" s="5">
        <v>44254.191528994903</v>
      </c>
      <c r="C409" s="5">
        <v>44256.2241022132</v>
      </c>
      <c r="D409" s="4" t="s">
        <v>98</v>
      </c>
      <c r="E409" s="4" t="s">
        <v>305</v>
      </c>
      <c r="F409" s="4" t="s">
        <v>96</v>
      </c>
      <c r="G409" s="4">
        <f t="shared" ca="1" si="18"/>
        <v>88</v>
      </c>
      <c r="H409" s="4">
        <v>2</v>
      </c>
      <c r="I409">
        <f t="shared" ca="1" si="19"/>
        <v>176</v>
      </c>
      <c r="J409">
        <f t="shared" si="20"/>
        <v>2</v>
      </c>
      <c r="K409" t="str">
        <f>VLOOKUP(E409,地区表!$A$2:$C$255,3,FALSE)</f>
        <v>中南</v>
      </c>
      <c r="L409" s="23" t="str" cm="1">
        <f t="array" ref="L409:N409">_xlfn.TEXTSPLIT(A409,"-")</f>
        <v>CN</v>
      </c>
      <c r="M409" s="22" t="str">
        <v>2798</v>
      </c>
      <c r="N409" s="22" t="str">
        <v>3266914</v>
      </c>
    </row>
    <row r="410" spans="1:14" ht="15.6">
      <c r="A410" s="4" t="s">
        <v>304</v>
      </c>
      <c r="B410" s="5">
        <v>44254.790219550399</v>
      </c>
      <c r="C410" s="5">
        <v>44256.285476042998</v>
      </c>
      <c r="D410" s="4" t="s">
        <v>98</v>
      </c>
      <c r="E410" s="4" t="s">
        <v>305</v>
      </c>
      <c r="F410" s="4" t="s">
        <v>121</v>
      </c>
      <c r="G410" s="4">
        <f t="shared" ca="1" si="18"/>
        <v>62</v>
      </c>
      <c r="H410" s="4">
        <v>3</v>
      </c>
      <c r="I410">
        <f t="shared" ca="1" si="19"/>
        <v>186</v>
      </c>
      <c r="J410">
        <f t="shared" si="20"/>
        <v>2</v>
      </c>
      <c r="K410" t="str">
        <f>VLOOKUP(E410,地区表!$A$2:$C$255,3,FALSE)</f>
        <v>中南</v>
      </c>
      <c r="L410" s="23" t="str" cm="1">
        <f t="array" ref="L410:N410">_xlfn.TEXTSPLIT(A410,"-")</f>
        <v>CN</v>
      </c>
      <c r="M410" s="22" t="str">
        <v>2798</v>
      </c>
      <c r="N410" s="22" t="str">
        <v>3266914</v>
      </c>
    </row>
    <row r="411" spans="1:14" ht="15.6">
      <c r="A411" s="4" t="s">
        <v>304</v>
      </c>
      <c r="B411" s="5">
        <v>44254.850653975402</v>
      </c>
      <c r="C411" s="5">
        <v>44256.910787702203</v>
      </c>
      <c r="D411" s="4" t="s">
        <v>98</v>
      </c>
      <c r="E411" s="4" t="s">
        <v>305</v>
      </c>
      <c r="F411" s="4" t="s">
        <v>125</v>
      </c>
      <c r="G411" s="4">
        <f t="shared" ca="1" si="18"/>
        <v>38</v>
      </c>
      <c r="H411" s="4">
        <v>7</v>
      </c>
      <c r="I411">
        <f t="shared" ca="1" si="19"/>
        <v>266</v>
      </c>
      <c r="J411">
        <f t="shared" si="20"/>
        <v>2</v>
      </c>
      <c r="K411" t="str">
        <f>VLOOKUP(E411,地区表!$A$2:$C$255,3,FALSE)</f>
        <v>中南</v>
      </c>
      <c r="L411" s="23" t="str" cm="1">
        <f t="array" ref="L411:N411">_xlfn.TEXTSPLIT(A411,"-")</f>
        <v>CN</v>
      </c>
      <c r="M411" s="22" t="str">
        <v>2798</v>
      </c>
      <c r="N411" s="22" t="str">
        <v>3266914</v>
      </c>
    </row>
    <row r="412" spans="1:14" ht="15.6">
      <c r="A412" s="4" t="s">
        <v>159</v>
      </c>
      <c r="B412" s="5">
        <v>44320.140177107103</v>
      </c>
      <c r="C412" s="5">
        <v>44324.716235637803</v>
      </c>
      <c r="D412" s="4" t="s">
        <v>98</v>
      </c>
      <c r="E412" s="4" t="s">
        <v>160</v>
      </c>
      <c r="F412" s="4" t="s">
        <v>96</v>
      </c>
      <c r="G412" s="4">
        <f t="shared" ca="1" si="18"/>
        <v>19</v>
      </c>
      <c r="H412" s="4">
        <v>4</v>
      </c>
      <c r="I412">
        <f t="shared" ca="1" si="19"/>
        <v>76</v>
      </c>
      <c r="J412">
        <f t="shared" si="20"/>
        <v>5</v>
      </c>
      <c r="K412" t="str">
        <f>VLOOKUP(E412,地区表!$A$2:$C$255,3,FALSE)</f>
        <v>东北</v>
      </c>
      <c r="L412" s="23" t="str" cm="1">
        <f t="array" ref="L412:N412">_xlfn.TEXTSPLIT(A412,"-")</f>
        <v>US</v>
      </c>
      <c r="M412" s="22" t="str">
        <v>2864</v>
      </c>
      <c r="N412" s="22" t="str">
        <v>4297166</v>
      </c>
    </row>
    <row r="413" spans="1:14" ht="15.6">
      <c r="A413" s="4" t="s">
        <v>159</v>
      </c>
      <c r="B413" s="5">
        <v>44320.469371930703</v>
      </c>
      <c r="C413" s="5">
        <v>44324.614764477999</v>
      </c>
      <c r="D413" s="4" t="s">
        <v>98</v>
      </c>
      <c r="E413" s="4" t="s">
        <v>160</v>
      </c>
      <c r="F413" s="4" t="s">
        <v>112</v>
      </c>
      <c r="G413" s="4">
        <f t="shared" ca="1" si="18"/>
        <v>38</v>
      </c>
      <c r="H413" s="4">
        <v>5</v>
      </c>
      <c r="I413">
        <f t="shared" ca="1" si="19"/>
        <v>190</v>
      </c>
      <c r="J413">
        <f t="shared" si="20"/>
        <v>5</v>
      </c>
      <c r="K413" t="str">
        <f>VLOOKUP(E413,地区表!$A$2:$C$255,3,FALSE)</f>
        <v>东北</v>
      </c>
      <c r="L413" s="23" t="str" cm="1">
        <f t="array" ref="L413:N413">_xlfn.TEXTSPLIT(A413,"-")</f>
        <v>US</v>
      </c>
      <c r="M413" s="22" t="str">
        <v>2864</v>
      </c>
      <c r="N413" s="22" t="str">
        <v>4297166</v>
      </c>
    </row>
    <row r="414" spans="1:14" ht="15.6">
      <c r="A414" s="4" t="s">
        <v>159</v>
      </c>
      <c r="B414" s="5">
        <v>44320.796947740899</v>
      </c>
      <c r="C414" s="5">
        <v>44324.939224914197</v>
      </c>
      <c r="D414" s="4" t="s">
        <v>98</v>
      </c>
      <c r="E414" s="4" t="s">
        <v>160</v>
      </c>
      <c r="F414" s="4" t="s">
        <v>112</v>
      </c>
      <c r="G414" s="4">
        <f t="shared" ca="1" si="18"/>
        <v>39</v>
      </c>
      <c r="H414" s="4">
        <v>3</v>
      </c>
      <c r="I414">
        <f t="shared" ca="1" si="19"/>
        <v>117</v>
      </c>
      <c r="J414">
        <f t="shared" si="20"/>
        <v>5</v>
      </c>
      <c r="K414" t="str">
        <f>VLOOKUP(E414,地区表!$A$2:$C$255,3,FALSE)</f>
        <v>东北</v>
      </c>
      <c r="L414" s="23" t="str" cm="1">
        <f t="array" ref="L414:N414">_xlfn.TEXTSPLIT(A414,"-")</f>
        <v>US</v>
      </c>
      <c r="M414" s="22" t="str">
        <v>2864</v>
      </c>
      <c r="N414" s="22" t="str">
        <v>4297166</v>
      </c>
    </row>
    <row r="415" spans="1:14" ht="15.6">
      <c r="A415" s="4" t="s">
        <v>228</v>
      </c>
      <c r="B415" s="5">
        <v>44575.506956683603</v>
      </c>
      <c r="C415" s="5">
        <v>44581.607653979598</v>
      </c>
      <c r="D415" s="4" t="s">
        <v>98</v>
      </c>
      <c r="E415" s="4" t="s">
        <v>160</v>
      </c>
      <c r="F415" s="4" t="s">
        <v>121</v>
      </c>
      <c r="G415" s="4">
        <f t="shared" ca="1" si="18"/>
        <v>30</v>
      </c>
      <c r="H415" s="4">
        <v>6</v>
      </c>
      <c r="I415">
        <f t="shared" ca="1" si="19"/>
        <v>180</v>
      </c>
      <c r="J415">
        <f t="shared" si="20"/>
        <v>1</v>
      </c>
      <c r="K415" t="str">
        <f>VLOOKUP(E415,地区表!$A$2:$C$255,3,FALSE)</f>
        <v>东北</v>
      </c>
      <c r="L415" s="23" t="str" cm="1">
        <f t="array" ref="L415:N415">_xlfn.TEXTSPLIT(A415,"-")</f>
        <v>US</v>
      </c>
      <c r="M415" s="22" t="str">
        <v>3119</v>
      </c>
      <c r="N415" s="22" t="str">
        <v>2352370</v>
      </c>
    </row>
    <row r="416" spans="1:14" ht="15.6">
      <c r="A416" s="4" t="s">
        <v>228</v>
      </c>
      <c r="B416" s="5">
        <v>44575.7587391501</v>
      </c>
      <c r="C416" s="5">
        <v>44581.069617371802</v>
      </c>
      <c r="D416" s="4" t="s">
        <v>98</v>
      </c>
      <c r="E416" s="4" t="s">
        <v>160</v>
      </c>
      <c r="F416" s="4" t="s">
        <v>101</v>
      </c>
      <c r="G416" s="4">
        <f t="shared" ca="1" si="18"/>
        <v>67</v>
      </c>
      <c r="H416" s="4">
        <v>11</v>
      </c>
      <c r="I416">
        <f t="shared" ca="1" si="19"/>
        <v>737</v>
      </c>
      <c r="J416">
        <f t="shared" si="20"/>
        <v>1</v>
      </c>
      <c r="K416" t="str">
        <f>VLOOKUP(E416,地区表!$A$2:$C$255,3,FALSE)</f>
        <v>东北</v>
      </c>
      <c r="L416" s="23" t="str" cm="1">
        <f t="array" ref="L416:N416">_xlfn.TEXTSPLIT(A416,"-")</f>
        <v>US</v>
      </c>
      <c r="M416" s="22" t="str">
        <v>3119</v>
      </c>
      <c r="N416" s="22" t="str">
        <v>2352370</v>
      </c>
    </row>
    <row r="417" spans="1:14" ht="15.6">
      <c r="A417" s="4" t="s">
        <v>369</v>
      </c>
      <c r="B417" s="5">
        <v>44629.329421830502</v>
      </c>
      <c r="C417" s="5">
        <v>44635.368922932401</v>
      </c>
      <c r="D417" s="4" t="s">
        <v>98</v>
      </c>
      <c r="E417" s="4" t="s">
        <v>160</v>
      </c>
      <c r="F417" s="4" t="s">
        <v>110</v>
      </c>
      <c r="G417" s="4">
        <f t="shared" ca="1" si="18"/>
        <v>96</v>
      </c>
      <c r="H417" s="4">
        <v>1</v>
      </c>
      <c r="I417">
        <f t="shared" ca="1" si="19"/>
        <v>96</v>
      </c>
      <c r="J417">
        <f t="shared" si="20"/>
        <v>3</v>
      </c>
      <c r="K417" t="str">
        <f>VLOOKUP(E417,地区表!$A$2:$C$255,3,FALSE)</f>
        <v>东北</v>
      </c>
      <c r="L417" s="23" t="str" cm="1">
        <f t="array" ref="L417:N417">_xlfn.TEXTSPLIT(A417,"-")</f>
        <v>US</v>
      </c>
      <c r="M417" s="22" t="str">
        <v>3173</v>
      </c>
      <c r="N417" s="22" t="str">
        <v>1947265</v>
      </c>
    </row>
    <row r="418" spans="1:14" ht="15.6">
      <c r="A418" s="4" t="s">
        <v>413</v>
      </c>
      <c r="B418" s="5">
        <v>44602.240770617398</v>
      </c>
      <c r="C418" s="5">
        <v>44606.050624217802</v>
      </c>
      <c r="D418" s="4" t="s">
        <v>94</v>
      </c>
      <c r="E418" s="4" t="s">
        <v>160</v>
      </c>
      <c r="F418" s="4" t="s">
        <v>106</v>
      </c>
      <c r="G418" s="4">
        <f t="shared" ca="1" si="18"/>
        <v>78</v>
      </c>
      <c r="H418" s="4">
        <v>6</v>
      </c>
      <c r="I418">
        <f t="shared" ca="1" si="19"/>
        <v>468</v>
      </c>
      <c r="J418">
        <f t="shared" si="20"/>
        <v>2</v>
      </c>
      <c r="K418" t="str">
        <f>VLOOKUP(E418,地区表!$A$2:$C$255,3,FALSE)</f>
        <v>东北</v>
      </c>
      <c r="L418" s="23" t="str" cm="1">
        <f t="array" ref="L418:N418">_xlfn.TEXTSPLIT(A418,"-")</f>
        <v>US</v>
      </c>
      <c r="M418" s="22" t="str">
        <v>3146</v>
      </c>
      <c r="N418" s="22" t="str">
        <v>2513055</v>
      </c>
    </row>
    <row r="419" spans="1:14" ht="15.6">
      <c r="A419" s="4" t="s">
        <v>413</v>
      </c>
      <c r="B419" s="5">
        <v>44602.392210695303</v>
      </c>
      <c r="C419" s="5">
        <v>44606.722873764898</v>
      </c>
      <c r="D419" s="4" t="s">
        <v>94</v>
      </c>
      <c r="E419" s="4" t="s">
        <v>160</v>
      </c>
      <c r="F419" s="4" t="s">
        <v>101</v>
      </c>
      <c r="G419" s="4">
        <f t="shared" ca="1" si="18"/>
        <v>95</v>
      </c>
      <c r="H419" s="4">
        <v>8</v>
      </c>
      <c r="I419">
        <f t="shared" ca="1" si="19"/>
        <v>760</v>
      </c>
      <c r="J419">
        <f t="shared" si="20"/>
        <v>2</v>
      </c>
      <c r="K419" t="str">
        <f>VLOOKUP(E419,地区表!$A$2:$C$255,3,FALSE)</f>
        <v>东北</v>
      </c>
      <c r="L419" s="23" t="str" cm="1">
        <f t="array" ref="L419:N419">_xlfn.TEXTSPLIT(A419,"-")</f>
        <v>US</v>
      </c>
      <c r="M419" s="22" t="str">
        <v>3146</v>
      </c>
      <c r="N419" s="22" t="str">
        <v>2513055</v>
      </c>
    </row>
    <row r="420" spans="1:14" ht="15.6">
      <c r="A420" s="4" t="s">
        <v>413</v>
      </c>
      <c r="B420" s="5">
        <v>44602.595195670503</v>
      </c>
      <c r="C420" s="5">
        <v>44606.702506124901</v>
      </c>
      <c r="D420" s="4" t="s">
        <v>94</v>
      </c>
      <c r="E420" s="4" t="s">
        <v>160</v>
      </c>
      <c r="F420" s="4" t="s">
        <v>100</v>
      </c>
      <c r="G420" s="4">
        <f t="shared" ca="1" si="18"/>
        <v>77</v>
      </c>
      <c r="H420" s="4">
        <v>4</v>
      </c>
      <c r="I420">
        <f t="shared" ca="1" si="19"/>
        <v>308</v>
      </c>
      <c r="J420">
        <f t="shared" si="20"/>
        <v>2</v>
      </c>
      <c r="K420" t="str">
        <f>VLOOKUP(E420,地区表!$A$2:$C$255,3,FALSE)</f>
        <v>东北</v>
      </c>
      <c r="L420" s="23" t="str" cm="1">
        <f t="array" ref="L420:N420">_xlfn.TEXTSPLIT(A420,"-")</f>
        <v>US</v>
      </c>
      <c r="M420" s="22" t="str">
        <v>3146</v>
      </c>
      <c r="N420" s="22" t="str">
        <v>2513055</v>
      </c>
    </row>
    <row r="421" spans="1:14" ht="15.6">
      <c r="A421" s="4" t="s">
        <v>413</v>
      </c>
      <c r="B421" s="5">
        <v>44602.788293063903</v>
      </c>
      <c r="C421" s="5">
        <v>44606.444189589398</v>
      </c>
      <c r="D421" s="4" t="s">
        <v>94</v>
      </c>
      <c r="E421" s="4" t="s">
        <v>160</v>
      </c>
      <c r="F421" s="4" t="s">
        <v>100</v>
      </c>
      <c r="G421" s="4">
        <f t="shared" ca="1" si="18"/>
        <v>25</v>
      </c>
      <c r="H421" s="4">
        <v>2</v>
      </c>
      <c r="I421">
        <f t="shared" ca="1" si="19"/>
        <v>50</v>
      </c>
      <c r="J421">
        <f t="shared" si="20"/>
        <v>2</v>
      </c>
      <c r="K421" t="str">
        <f>VLOOKUP(E421,地区表!$A$2:$C$255,3,FALSE)</f>
        <v>东北</v>
      </c>
      <c r="L421" s="23" t="str" cm="1">
        <f t="array" ref="L421:N421">_xlfn.TEXTSPLIT(A421,"-")</f>
        <v>US</v>
      </c>
      <c r="M421" s="22" t="str">
        <v>3146</v>
      </c>
      <c r="N421" s="22" t="str">
        <v>2513055</v>
      </c>
    </row>
    <row r="422" spans="1:14" ht="15.6">
      <c r="A422" s="4" t="s">
        <v>530</v>
      </c>
      <c r="B422" s="5">
        <v>45243.778715607303</v>
      </c>
      <c r="C422" s="5">
        <v>45247.138641981903</v>
      </c>
      <c r="D422" s="4" t="s">
        <v>94</v>
      </c>
      <c r="E422" s="4" t="s">
        <v>160</v>
      </c>
      <c r="F422" s="4" t="s">
        <v>111</v>
      </c>
      <c r="G422" s="4">
        <f t="shared" ca="1" si="18"/>
        <v>13</v>
      </c>
      <c r="H422" s="4">
        <v>3</v>
      </c>
      <c r="I422">
        <f t="shared" ca="1" si="19"/>
        <v>39</v>
      </c>
      <c r="J422">
        <f t="shared" si="20"/>
        <v>11</v>
      </c>
      <c r="K422" t="str">
        <f>VLOOKUP(E422,地区表!$A$2:$C$255,3,FALSE)</f>
        <v>东北</v>
      </c>
      <c r="L422" s="23" t="str" cm="1">
        <f t="array" ref="L422:N422">_xlfn.TEXTSPLIT(A422,"-")</f>
        <v>CN</v>
      </c>
      <c r="M422" s="22" t="str">
        <v>2692</v>
      </c>
      <c r="N422" s="22" t="str">
        <v>2146974</v>
      </c>
    </row>
    <row r="423" spans="1:14" ht="15.6">
      <c r="A423" s="4" t="s">
        <v>530</v>
      </c>
      <c r="B423" s="5">
        <v>45243.276039776603</v>
      </c>
      <c r="C423" s="5">
        <v>45247.425902758398</v>
      </c>
      <c r="D423" s="4" t="s">
        <v>94</v>
      </c>
      <c r="E423" s="4" t="s">
        <v>160</v>
      </c>
      <c r="F423" s="4" t="s">
        <v>125</v>
      </c>
      <c r="G423" s="4">
        <f t="shared" ca="1" si="18"/>
        <v>39</v>
      </c>
      <c r="H423" s="4">
        <v>6</v>
      </c>
      <c r="I423">
        <f t="shared" ca="1" si="19"/>
        <v>234</v>
      </c>
      <c r="J423">
        <f t="shared" si="20"/>
        <v>11</v>
      </c>
      <c r="K423" t="str">
        <f>VLOOKUP(E423,地区表!$A$2:$C$255,3,FALSE)</f>
        <v>东北</v>
      </c>
      <c r="L423" s="23" t="str" cm="1">
        <f t="array" ref="L423:N423">_xlfn.TEXTSPLIT(A423,"-")</f>
        <v>CN</v>
      </c>
      <c r="M423" s="22" t="str">
        <v>2692</v>
      </c>
      <c r="N423" s="22" t="str">
        <v>2146974</v>
      </c>
    </row>
    <row r="424" spans="1:14" ht="15.6">
      <c r="A424" s="4" t="s">
        <v>530</v>
      </c>
      <c r="B424" s="5">
        <v>45243.8584541686</v>
      </c>
      <c r="C424" s="5">
        <v>45247.0601430319</v>
      </c>
      <c r="D424" s="4" t="s">
        <v>94</v>
      </c>
      <c r="E424" s="4" t="s">
        <v>160</v>
      </c>
      <c r="F424" s="4" t="s">
        <v>100</v>
      </c>
      <c r="G424" s="4">
        <f t="shared" ca="1" si="18"/>
        <v>86</v>
      </c>
      <c r="H424" s="4">
        <v>2</v>
      </c>
      <c r="I424">
        <f t="shared" ca="1" si="19"/>
        <v>172</v>
      </c>
      <c r="J424">
        <f t="shared" si="20"/>
        <v>11</v>
      </c>
      <c r="K424" t="str">
        <f>VLOOKUP(E424,地区表!$A$2:$C$255,3,FALSE)</f>
        <v>东北</v>
      </c>
      <c r="L424" s="23" t="str" cm="1">
        <f t="array" ref="L424:N424">_xlfn.TEXTSPLIT(A424,"-")</f>
        <v>CN</v>
      </c>
      <c r="M424" s="22" t="str">
        <v>2692</v>
      </c>
      <c r="N424" s="22" t="str">
        <v>2146974</v>
      </c>
    </row>
    <row r="425" spans="1:14" ht="15.6">
      <c r="A425" s="4" t="s">
        <v>530</v>
      </c>
      <c r="B425" s="5">
        <v>45243.137829262101</v>
      </c>
      <c r="C425" s="5">
        <v>45247.2759835205</v>
      </c>
      <c r="D425" s="4" t="s">
        <v>94</v>
      </c>
      <c r="E425" s="4" t="s">
        <v>160</v>
      </c>
      <c r="F425" s="4" t="s">
        <v>122</v>
      </c>
      <c r="G425" s="4">
        <f t="shared" ca="1" si="18"/>
        <v>43</v>
      </c>
      <c r="H425" s="4">
        <v>3</v>
      </c>
      <c r="I425">
        <f t="shared" ca="1" si="19"/>
        <v>129</v>
      </c>
      <c r="J425">
        <f t="shared" si="20"/>
        <v>11</v>
      </c>
      <c r="K425" t="str">
        <f>VLOOKUP(E425,地区表!$A$2:$C$255,3,FALSE)</f>
        <v>东北</v>
      </c>
      <c r="L425" s="23" t="str" cm="1">
        <f t="array" ref="L425:N425">_xlfn.TEXTSPLIT(A425,"-")</f>
        <v>CN</v>
      </c>
      <c r="M425" s="22" t="str">
        <v>2692</v>
      </c>
      <c r="N425" s="22" t="str">
        <v>2146974</v>
      </c>
    </row>
    <row r="426" spans="1:14" ht="15.6">
      <c r="A426" s="4" t="s">
        <v>530</v>
      </c>
      <c r="B426" s="5">
        <v>45243.111411734499</v>
      </c>
      <c r="C426" s="5">
        <v>45247.106867180097</v>
      </c>
      <c r="D426" s="4" t="s">
        <v>94</v>
      </c>
      <c r="E426" s="4" t="s">
        <v>160</v>
      </c>
      <c r="F426" s="4" t="s">
        <v>110</v>
      </c>
      <c r="G426" s="4">
        <f t="shared" ca="1" si="18"/>
        <v>22</v>
      </c>
      <c r="H426" s="4">
        <v>1</v>
      </c>
      <c r="I426">
        <f t="shared" ca="1" si="19"/>
        <v>22</v>
      </c>
      <c r="J426">
        <f t="shared" si="20"/>
        <v>11</v>
      </c>
      <c r="K426" t="str">
        <f>VLOOKUP(E426,地区表!$A$2:$C$255,3,FALSE)</f>
        <v>东北</v>
      </c>
      <c r="L426" s="23" t="str" cm="1">
        <f t="array" ref="L426:N426">_xlfn.TEXTSPLIT(A426,"-")</f>
        <v>CN</v>
      </c>
      <c r="M426" s="22" t="str">
        <v>2692</v>
      </c>
      <c r="N426" s="22" t="str">
        <v>2146974</v>
      </c>
    </row>
    <row r="427" spans="1:14" ht="15.6">
      <c r="A427" s="4" t="s">
        <v>608</v>
      </c>
      <c r="B427" s="5">
        <v>45239.289416593201</v>
      </c>
      <c r="C427" s="5">
        <v>45244.334189989102</v>
      </c>
      <c r="D427" s="4" t="s">
        <v>98</v>
      </c>
      <c r="E427" s="4" t="s">
        <v>160</v>
      </c>
      <c r="F427" s="4" t="s">
        <v>122</v>
      </c>
      <c r="G427" s="4">
        <f t="shared" ca="1" si="18"/>
        <v>30</v>
      </c>
      <c r="H427" s="4">
        <v>5</v>
      </c>
      <c r="I427">
        <f t="shared" ca="1" si="19"/>
        <v>150</v>
      </c>
      <c r="J427">
        <f t="shared" si="20"/>
        <v>11</v>
      </c>
      <c r="K427" t="str">
        <f>VLOOKUP(E427,地区表!$A$2:$C$255,3,FALSE)</f>
        <v>东北</v>
      </c>
      <c r="L427" s="23" t="str" cm="1">
        <f t="array" ref="L427:N427">_xlfn.TEXTSPLIT(A427,"-")</f>
        <v>US</v>
      </c>
      <c r="M427" s="22" t="str">
        <v>2688</v>
      </c>
      <c r="N427" s="22" t="str">
        <v>4200185</v>
      </c>
    </row>
    <row r="428" spans="1:14" ht="15.6">
      <c r="A428" s="4" t="s">
        <v>608</v>
      </c>
      <c r="B428" s="5">
        <v>45239.103846176098</v>
      </c>
      <c r="C428" s="5">
        <v>45244.866564627802</v>
      </c>
      <c r="D428" s="4" t="s">
        <v>98</v>
      </c>
      <c r="E428" s="4" t="s">
        <v>160</v>
      </c>
      <c r="F428" s="4" t="s">
        <v>112</v>
      </c>
      <c r="G428" s="4">
        <f t="shared" ca="1" si="18"/>
        <v>10</v>
      </c>
      <c r="H428" s="4">
        <v>3</v>
      </c>
      <c r="I428">
        <f t="shared" ca="1" si="19"/>
        <v>30</v>
      </c>
      <c r="J428">
        <f t="shared" si="20"/>
        <v>11</v>
      </c>
      <c r="K428" t="str">
        <f>VLOOKUP(E428,地区表!$A$2:$C$255,3,FALSE)</f>
        <v>东北</v>
      </c>
      <c r="L428" s="23" t="str" cm="1">
        <f t="array" ref="L428:N428">_xlfn.TEXTSPLIT(A428,"-")</f>
        <v>US</v>
      </c>
      <c r="M428" s="22" t="str">
        <v>2688</v>
      </c>
      <c r="N428" s="22" t="str">
        <v>4200185</v>
      </c>
    </row>
    <row r="429" spans="1:14" ht="15.6">
      <c r="A429" s="4" t="s">
        <v>821</v>
      </c>
      <c r="B429" s="5">
        <v>44806.251666976299</v>
      </c>
      <c r="C429" s="5">
        <v>44811.149119774302</v>
      </c>
      <c r="D429" s="4" t="s">
        <v>94</v>
      </c>
      <c r="E429" s="4" t="s">
        <v>160</v>
      </c>
      <c r="F429" s="4" t="s">
        <v>141</v>
      </c>
      <c r="G429" s="4">
        <f t="shared" ca="1" si="18"/>
        <v>18</v>
      </c>
      <c r="H429" s="4">
        <v>9</v>
      </c>
      <c r="I429">
        <f t="shared" ca="1" si="19"/>
        <v>162</v>
      </c>
      <c r="J429">
        <f t="shared" si="20"/>
        <v>9</v>
      </c>
      <c r="K429" t="str">
        <f>VLOOKUP(E429,地区表!$A$2:$C$255,3,FALSE)</f>
        <v>东北</v>
      </c>
      <c r="L429" s="23" t="str" cm="1">
        <f t="array" ref="L429:N429">_xlfn.TEXTSPLIT(A429,"-")</f>
        <v>US</v>
      </c>
      <c r="M429" s="22" t="str">
        <v>2255</v>
      </c>
      <c r="N429" s="22" t="str">
        <v>5199872</v>
      </c>
    </row>
    <row r="430" spans="1:14" ht="15.6">
      <c r="A430" s="4" t="s">
        <v>829</v>
      </c>
      <c r="B430" s="5">
        <v>44800.531927660602</v>
      </c>
      <c r="C430" s="5">
        <v>44803.713480020699</v>
      </c>
      <c r="D430" s="4" t="s">
        <v>98</v>
      </c>
      <c r="E430" s="4" t="s">
        <v>160</v>
      </c>
      <c r="F430" s="4" t="s">
        <v>106</v>
      </c>
      <c r="G430" s="4">
        <f t="shared" ca="1" si="18"/>
        <v>87</v>
      </c>
      <c r="H430" s="4">
        <v>2</v>
      </c>
      <c r="I430">
        <f t="shared" ca="1" si="19"/>
        <v>174</v>
      </c>
      <c r="J430">
        <f t="shared" si="20"/>
        <v>8</v>
      </c>
      <c r="K430" t="str">
        <f>VLOOKUP(E430,地区表!$A$2:$C$255,3,FALSE)</f>
        <v>东北</v>
      </c>
      <c r="L430" s="23" t="str" cm="1">
        <f t="array" ref="L430:N430">_xlfn.TEXTSPLIT(A430,"-")</f>
        <v>US</v>
      </c>
      <c r="M430" s="22" t="str">
        <v>2249</v>
      </c>
      <c r="N430" s="22" t="str">
        <v>2642546</v>
      </c>
    </row>
    <row r="431" spans="1:14" ht="15.6">
      <c r="A431" s="4" t="s">
        <v>829</v>
      </c>
      <c r="B431" s="5">
        <v>44800.179187572699</v>
      </c>
      <c r="C431" s="5">
        <v>44803.566327009299</v>
      </c>
      <c r="D431" s="4" t="s">
        <v>98</v>
      </c>
      <c r="E431" s="4" t="s">
        <v>160</v>
      </c>
      <c r="F431" s="4" t="s">
        <v>135</v>
      </c>
      <c r="G431" s="4">
        <f t="shared" ca="1" si="18"/>
        <v>65</v>
      </c>
      <c r="H431" s="4">
        <v>3</v>
      </c>
      <c r="I431">
        <f t="shared" ca="1" si="19"/>
        <v>195</v>
      </c>
      <c r="J431">
        <f t="shared" si="20"/>
        <v>8</v>
      </c>
      <c r="K431" t="str">
        <f>VLOOKUP(E431,地区表!$A$2:$C$255,3,FALSE)</f>
        <v>东北</v>
      </c>
      <c r="L431" s="23" t="str" cm="1">
        <f t="array" ref="L431:N431">_xlfn.TEXTSPLIT(A431,"-")</f>
        <v>US</v>
      </c>
      <c r="M431" s="22" t="str">
        <v>2249</v>
      </c>
      <c r="N431" s="22" t="str">
        <v>2642546</v>
      </c>
    </row>
    <row r="432" spans="1:14" ht="15.6">
      <c r="A432" s="4" t="s">
        <v>722</v>
      </c>
      <c r="B432" s="5">
        <v>45284.682920709303</v>
      </c>
      <c r="C432" s="5">
        <v>45289.552859891897</v>
      </c>
      <c r="D432" s="4" t="s">
        <v>94</v>
      </c>
      <c r="E432" s="4" t="s">
        <v>723</v>
      </c>
      <c r="F432" s="4" t="s">
        <v>100</v>
      </c>
      <c r="G432" s="4">
        <f t="shared" ca="1" si="18"/>
        <v>33</v>
      </c>
      <c r="H432" s="4">
        <v>5</v>
      </c>
      <c r="I432">
        <f t="shared" ca="1" si="19"/>
        <v>165</v>
      </c>
      <c r="J432">
        <f t="shared" si="20"/>
        <v>12</v>
      </c>
      <c r="K432" t="str">
        <f>VLOOKUP(E432,地区表!$A$2:$C$255,3,FALSE)</f>
        <v>中南</v>
      </c>
      <c r="L432" s="23" t="str" cm="1">
        <f t="array" ref="L432:N432">_xlfn.TEXTSPLIT(A432,"-")</f>
        <v>CN</v>
      </c>
      <c r="M432" s="22" t="str">
        <v>2002</v>
      </c>
      <c r="N432" s="22" t="str">
        <v>4114478</v>
      </c>
    </row>
    <row r="433" spans="1:14" ht="15.6">
      <c r="A433" s="4" t="s">
        <v>701</v>
      </c>
      <c r="B433" s="5">
        <v>44959.627762889897</v>
      </c>
      <c r="C433" s="5">
        <v>44963.1314958695</v>
      </c>
      <c r="D433" s="4" t="s">
        <v>94</v>
      </c>
      <c r="E433" s="4" t="s">
        <v>702</v>
      </c>
      <c r="F433" s="4" t="s">
        <v>130</v>
      </c>
      <c r="G433" s="4">
        <f t="shared" ca="1" si="18"/>
        <v>77</v>
      </c>
      <c r="H433" s="4">
        <v>3</v>
      </c>
      <c r="I433">
        <f t="shared" ca="1" si="19"/>
        <v>231</v>
      </c>
      <c r="J433">
        <f t="shared" si="20"/>
        <v>2</v>
      </c>
      <c r="K433" t="str">
        <f>VLOOKUP(E433,地区表!$A$2:$C$255,3,FALSE)</f>
        <v>中南</v>
      </c>
      <c r="L433" s="23" t="str" cm="1">
        <f t="array" ref="L433:N433">_xlfn.TEXTSPLIT(A433,"-")</f>
        <v>CN</v>
      </c>
      <c r="M433" s="22" t="str">
        <v>2408</v>
      </c>
      <c r="N433" s="22" t="str">
        <v>2462555</v>
      </c>
    </row>
    <row r="434" spans="1:14" ht="15.6">
      <c r="A434" s="4" t="s">
        <v>701</v>
      </c>
      <c r="B434" s="5">
        <v>44959.972060526597</v>
      </c>
      <c r="C434" s="5">
        <v>44963.793139633402</v>
      </c>
      <c r="D434" s="4" t="s">
        <v>94</v>
      </c>
      <c r="E434" s="4" t="s">
        <v>702</v>
      </c>
      <c r="F434" s="4" t="s">
        <v>130</v>
      </c>
      <c r="G434" s="4">
        <f t="shared" ca="1" si="18"/>
        <v>20</v>
      </c>
      <c r="H434" s="4">
        <v>3</v>
      </c>
      <c r="I434">
        <f t="shared" ca="1" si="19"/>
        <v>60</v>
      </c>
      <c r="J434">
        <f t="shared" si="20"/>
        <v>2</v>
      </c>
      <c r="K434" t="str">
        <f>VLOOKUP(E434,地区表!$A$2:$C$255,3,FALSE)</f>
        <v>中南</v>
      </c>
      <c r="L434" s="23" t="str" cm="1">
        <f t="array" ref="L434:N434">_xlfn.TEXTSPLIT(A434,"-")</f>
        <v>CN</v>
      </c>
      <c r="M434" s="22" t="str">
        <v>2408</v>
      </c>
      <c r="N434" s="22" t="str">
        <v>2462555</v>
      </c>
    </row>
    <row r="435" spans="1:14" ht="15.6">
      <c r="A435" s="4" t="s">
        <v>104</v>
      </c>
      <c r="B435" s="5">
        <v>45201.239192335801</v>
      </c>
      <c r="C435" s="5">
        <v>45203.494459030298</v>
      </c>
      <c r="D435" s="4" t="s">
        <v>98</v>
      </c>
      <c r="E435" s="4" t="s">
        <v>105</v>
      </c>
      <c r="F435" s="4" t="s">
        <v>106</v>
      </c>
      <c r="G435" s="4">
        <f t="shared" ca="1" si="18"/>
        <v>92</v>
      </c>
      <c r="H435" s="4">
        <v>3</v>
      </c>
      <c r="I435">
        <f t="shared" ca="1" si="19"/>
        <v>276</v>
      </c>
      <c r="J435">
        <f t="shared" si="20"/>
        <v>10</v>
      </c>
      <c r="K435" t="str">
        <f>VLOOKUP(E435,地区表!$A$2:$C$255,3,FALSE)</f>
        <v>中南</v>
      </c>
      <c r="L435" s="23" t="str" cm="1">
        <f t="array" ref="L435:N435">_xlfn.TEXTSPLIT(A435,"-")</f>
        <v>CN</v>
      </c>
      <c r="M435" s="22" t="str">
        <v>2650</v>
      </c>
      <c r="N435" s="22" t="str">
        <v>2975416</v>
      </c>
    </row>
    <row r="436" spans="1:14" ht="15.6">
      <c r="A436" s="4" t="s">
        <v>404</v>
      </c>
      <c r="B436" s="5">
        <v>45151.232519854602</v>
      </c>
      <c r="C436" s="5">
        <v>45156.985583516704</v>
      </c>
      <c r="D436" s="4" t="s">
        <v>94</v>
      </c>
      <c r="E436" s="4" t="s">
        <v>105</v>
      </c>
      <c r="F436" s="4" t="s">
        <v>122</v>
      </c>
      <c r="G436" s="4">
        <f t="shared" ca="1" si="18"/>
        <v>77</v>
      </c>
      <c r="H436" s="4">
        <v>3</v>
      </c>
      <c r="I436">
        <f t="shared" ca="1" si="19"/>
        <v>231</v>
      </c>
      <c r="J436">
        <f t="shared" si="20"/>
        <v>8</v>
      </c>
      <c r="K436" t="str">
        <f>VLOOKUP(E436,地区表!$A$2:$C$255,3,FALSE)</f>
        <v>中南</v>
      </c>
      <c r="L436" s="23" t="str" cm="1">
        <f t="array" ref="L436:N436">_xlfn.TEXTSPLIT(A436,"-")</f>
        <v>CN</v>
      </c>
      <c r="M436" s="22" t="str">
        <v>2600</v>
      </c>
      <c r="N436" s="22" t="str">
        <v>1197917</v>
      </c>
    </row>
    <row r="437" spans="1:14" ht="15.6">
      <c r="A437" s="4" t="s">
        <v>717</v>
      </c>
      <c r="B437" s="5">
        <v>44911.2134617068</v>
      </c>
      <c r="C437" s="5">
        <v>44915.475145784199</v>
      </c>
      <c r="D437" s="4" t="s">
        <v>98</v>
      </c>
      <c r="E437" s="4" t="s">
        <v>105</v>
      </c>
      <c r="F437" s="4" t="s">
        <v>106</v>
      </c>
      <c r="G437" s="4">
        <f t="shared" ca="1" si="18"/>
        <v>48</v>
      </c>
      <c r="H437" s="4">
        <v>2</v>
      </c>
      <c r="I437">
        <f t="shared" ca="1" si="19"/>
        <v>96</v>
      </c>
      <c r="J437">
        <f t="shared" si="20"/>
        <v>12</v>
      </c>
      <c r="K437" t="str">
        <f>VLOOKUP(E437,地区表!$A$2:$C$255,3,FALSE)</f>
        <v>中南</v>
      </c>
      <c r="L437" s="23" t="str" cm="1">
        <f t="array" ref="L437:N437">_xlfn.TEXTSPLIT(A437,"-")</f>
        <v>CN</v>
      </c>
      <c r="M437" s="22" t="str">
        <v>2360</v>
      </c>
      <c r="N437" s="22" t="str">
        <v>4092793</v>
      </c>
    </row>
    <row r="438" spans="1:14" ht="15.6">
      <c r="A438" s="4" t="s">
        <v>408</v>
      </c>
      <c r="B438" s="5">
        <v>44950.5473631399</v>
      </c>
      <c r="C438" s="5">
        <v>44954.449790650797</v>
      </c>
      <c r="D438" s="4" t="s">
        <v>98</v>
      </c>
      <c r="E438" s="4" t="s">
        <v>409</v>
      </c>
      <c r="F438" s="4" t="s">
        <v>118</v>
      </c>
      <c r="G438" s="4">
        <f t="shared" ca="1" si="18"/>
        <v>17</v>
      </c>
      <c r="H438" s="4">
        <v>4</v>
      </c>
      <c r="I438">
        <f t="shared" ca="1" si="19"/>
        <v>68</v>
      </c>
      <c r="J438">
        <f t="shared" si="20"/>
        <v>1</v>
      </c>
      <c r="K438" t="str">
        <f>VLOOKUP(E438,地区表!$A$2:$C$255,3,FALSE)</f>
        <v>西南</v>
      </c>
      <c r="L438" s="23" t="str" cm="1">
        <f t="array" ref="L438:N438">_xlfn.TEXTSPLIT(A438,"-")</f>
        <v>US</v>
      </c>
      <c r="M438" s="22" t="str">
        <v>2399</v>
      </c>
      <c r="N438" s="22" t="str">
        <v>1964482</v>
      </c>
    </row>
    <row r="439" spans="1:14" ht="15.6">
      <c r="A439" s="4" t="s">
        <v>408</v>
      </c>
      <c r="B439" s="5">
        <v>44950.031207740401</v>
      </c>
      <c r="C439" s="5">
        <v>44954.506432960101</v>
      </c>
      <c r="D439" s="4" t="s">
        <v>98</v>
      </c>
      <c r="E439" s="4" t="s">
        <v>409</v>
      </c>
      <c r="F439" s="4" t="s">
        <v>141</v>
      </c>
      <c r="G439" s="4">
        <f t="shared" ca="1" si="18"/>
        <v>70</v>
      </c>
      <c r="H439" s="4">
        <v>3</v>
      </c>
      <c r="I439">
        <f t="shared" ca="1" si="19"/>
        <v>210</v>
      </c>
      <c r="J439">
        <f t="shared" si="20"/>
        <v>1</v>
      </c>
      <c r="K439" t="str">
        <f>VLOOKUP(E439,地区表!$A$2:$C$255,3,FALSE)</f>
        <v>西南</v>
      </c>
      <c r="L439" s="23" t="str" cm="1">
        <f t="array" ref="L439:N439">_xlfn.TEXTSPLIT(A439,"-")</f>
        <v>US</v>
      </c>
      <c r="M439" s="22" t="str">
        <v>2399</v>
      </c>
      <c r="N439" s="22" t="str">
        <v>1964482</v>
      </c>
    </row>
    <row r="440" spans="1:14" ht="15.6">
      <c r="A440" s="4" t="s">
        <v>507</v>
      </c>
      <c r="B440" s="5">
        <v>45152.146627394301</v>
      </c>
      <c r="C440" s="5">
        <v>45156.0864541091</v>
      </c>
      <c r="D440" s="4" t="s">
        <v>98</v>
      </c>
      <c r="E440" s="4" t="s">
        <v>409</v>
      </c>
      <c r="F440" s="4" t="s">
        <v>121</v>
      </c>
      <c r="G440" s="4">
        <f t="shared" ca="1" si="18"/>
        <v>87</v>
      </c>
      <c r="H440" s="4">
        <v>3</v>
      </c>
      <c r="I440">
        <f t="shared" ca="1" si="19"/>
        <v>261</v>
      </c>
      <c r="J440">
        <f t="shared" si="20"/>
        <v>8</v>
      </c>
      <c r="K440" t="str">
        <f>VLOOKUP(E440,地区表!$A$2:$C$255,3,FALSE)</f>
        <v>西南</v>
      </c>
      <c r="L440" s="23" t="str" cm="1">
        <f t="array" ref="L440:N440">_xlfn.TEXTSPLIT(A440,"-")</f>
        <v>CN</v>
      </c>
      <c r="M440" s="22" t="str">
        <v>2601</v>
      </c>
      <c r="N440" s="22" t="str">
        <v>4998591</v>
      </c>
    </row>
    <row r="441" spans="1:14" ht="15.6">
      <c r="A441" s="4" t="s">
        <v>749</v>
      </c>
      <c r="B441" s="5">
        <v>44544.425099101303</v>
      </c>
      <c r="C441" s="5">
        <v>44546.7043934334</v>
      </c>
      <c r="D441" s="4" t="s">
        <v>94</v>
      </c>
      <c r="E441" s="4" t="s">
        <v>409</v>
      </c>
      <c r="F441" s="4" t="s">
        <v>112</v>
      </c>
      <c r="G441" s="4">
        <f t="shared" ca="1" si="18"/>
        <v>33</v>
      </c>
      <c r="H441" s="4">
        <v>2</v>
      </c>
      <c r="I441">
        <f t="shared" ca="1" si="19"/>
        <v>66</v>
      </c>
      <c r="J441">
        <f t="shared" si="20"/>
        <v>12</v>
      </c>
      <c r="K441" t="str">
        <f>VLOOKUP(E441,地区表!$A$2:$C$255,3,FALSE)</f>
        <v>西南</v>
      </c>
      <c r="L441" s="23" t="str" cm="1">
        <f t="array" ref="L441:N441">_xlfn.TEXTSPLIT(A441,"-")</f>
        <v>CN</v>
      </c>
      <c r="M441" s="22" t="str">
        <v>3088</v>
      </c>
      <c r="N441" s="22" t="str">
        <v>3284718</v>
      </c>
    </row>
    <row r="442" spans="1:14" ht="15.6">
      <c r="A442" s="4" t="s">
        <v>749</v>
      </c>
      <c r="B442" s="5">
        <v>44544.0609519672</v>
      </c>
      <c r="C442" s="5">
        <v>44546.239854785097</v>
      </c>
      <c r="D442" s="4" t="s">
        <v>94</v>
      </c>
      <c r="E442" s="4" t="s">
        <v>409</v>
      </c>
      <c r="F442" s="4" t="s">
        <v>125</v>
      </c>
      <c r="G442" s="4">
        <f t="shared" ca="1" si="18"/>
        <v>59</v>
      </c>
      <c r="H442" s="4">
        <v>1</v>
      </c>
      <c r="I442">
        <f t="shared" ca="1" si="19"/>
        <v>59</v>
      </c>
      <c r="J442">
        <f t="shared" si="20"/>
        <v>12</v>
      </c>
      <c r="K442" t="str">
        <f>VLOOKUP(E442,地区表!$A$2:$C$255,3,FALSE)</f>
        <v>西南</v>
      </c>
      <c r="L442" s="23" t="str" cm="1">
        <f t="array" ref="L442:N442">_xlfn.TEXTSPLIT(A442,"-")</f>
        <v>CN</v>
      </c>
      <c r="M442" s="22" t="str">
        <v>3088</v>
      </c>
      <c r="N442" s="22" t="str">
        <v>3284718</v>
      </c>
    </row>
    <row r="443" spans="1:14" ht="15.6">
      <c r="A443" s="4" t="s">
        <v>749</v>
      </c>
      <c r="B443" s="5">
        <v>44544.032591948999</v>
      </c>
      <c r="C443" s="5">
        <v>44546.019786055898</v>
      </c>
      <c r="D443" s="4" t="s">
        <v>94</v>
      </c>
      <c r="E443" s="4" t="s">
        <v>409</v>
      </c>
      <c r="F443" s="4" t="s">
        <v>131</v>
      </c>
      <c r="G443" s="4">
        <f t="shared" ca="1" si="18"/>
        <v>42</v>
      </c>
      <c r="H443" s="4">
        <v>6</v>
      </c>
      <c r="I443">
        <f t="shared" ca="1" si="19"/>
        <v>252</v>
      </c>
      <c r="J443">
        <f t="shared" si="20"/>
        <v>12</v>
      </c>
      <c r="K443" t="str">
        <f>VLOOKUP(E443,地区表!$A$2:$C$255,3,FALSE)</f>
        <v>西南</v>
      </c>
      <c r="L443" s="23" t="str" cm="1">
        <f t="array" ref="L443:N443">_xlfn.TEXTSPLIT(A443,"-")</f>
        <v>CN</v>
      </c>
      <c r="M443" s="22" t="str">
        <v>3088</v>
      </c>
      <c r="N443" s="22" t="str">
        <v>3284718</v>
      </c>
    </row>
    <row r="444" spans="1:14" ht="15.6">
      <c r="A444" s="4" t="s">
        <v>196</v>
      </c>
      <c r="B444" s="5">
        <v>44667.789985880801</v>
      </c>
      <c r="C444" s="5">
        <v>44671.905549632203</v>
      </c>
      <c r="D444" s="4" t="s">
        <v>98</v>
      </c>
      <c r="E444" s="4" t="s">
        <v>197</v>
      </c>
      <c r="F444" s="4" t="s">
        <v>122</v>
      </c>
      <c r="G444" s="4">
        <f t="shared" ca="1" si="18"/>
        <v>26</v>
      </c>
      <c r="H444" s="4">
        <v>4</v>
      </c>
      <c r="I444">
        <f t="shared" ca="1" si="19"/>
        <v>104</v>
      </c>
      <c r="J444">
        <f t="shared" si="20"/>
        <v>4</v>
      </c>
      <c r="K444" t="str">
        <f>VLOOKUP(E444,地区表!$A$2:$C$255,3,FALSE)</f>
        <v>中南</v>
      </c>
      <c r="L444" s="23" t="str" cm="1">
        <f t="array" ref="L444:N444">_xlfn.TEXTSPLIT(A444,"-")</f>
        <v>US</v>
      </c>
      <c r="M444" s="22" t="str">
        <v>2116</v>
      </c>
      <c r="N444" s="22" t="str">
        <v>1357144</v>
      </c>
    </row>
    <row r="445" spans="1:14" ht="15.6">
      <c r="A445" s="4" t="s">
        <v>288</v>
      </c>
      <c r="B445" s="5">
        <v>44454.364420596699</v>
      </c>
      <c r="C445" s="5">
        <v>44459.145909955601</v>
      </c>
      <c r="D445" s="4" t="s">
        <v>94</v>
      </c>
      <c r="E445" s="4" t="s">
        <v>197</v>
      </c>
      <c r="F445" s="4" t="s">
        <v>121</v>
      </c>
      <c r="G445" s="4">
        <f t="shared" ca="1" si="18"/>
        <v>10</v>
      </c>
      <c r="H445" s="4">
        <v>4</v>
      </c>
      <c r="I445">
        <f t="shared" ca="1" si="19"/>
        <v>40</v>
      </c>
      <c r="J445">
        <f t="shared" si="20"/>
        <v>9</v>
      </c>
      <c r="K445" t="str">
        <f>VLOOKUP(E445,地区表!$A$2:$C$255,3,FALSE)</f>
        <v>中南</v>
      </c>
      <c r="L445" s="23" t="str" cm="1">
        <f t="array" ref="L445:N445">_xlfn.TEXTSPLIT(A445,"-")</f>
        <v>US</v>
      </c>
      <c r="M445" s="22" t="str">
        <v>2998</v>
      </c>
      <c r="N445" s="22" t="str">
        <v>3405401</v>
      </c>
    </row>
    <row r="446" spans="1:14" ht="15.6">
      <c r="A446" s="4" t="s">
        <v>522</v>
      </c>
      <c r="B446" s="5">
        <v>44607.858064471002</v>
      </c>
      <c r="C446" s="5">
        <v>44612.459568855404</v>
      </c>
      <c r="D446" s="4" t="s">
        <v>94</v>
      </c>
      <c r="E446" s="4" t="s">
        <v>197</v>
      </c>
      <c r="F446" s="4" t="s">
        <v>110</v>
      </c>
      <c r="G446" s="4">
        <f t="shared" ca="1" si="18"/>
        <v>32</v>
      </c>
      <c r="H446" s="4">
        <v>4</v>
      </c>
      <c r="I446">
        <f t="shared" ca="1" si="19"/>
        <v>128</v>
      </c>
      <c r="J446">
        <f t="shared" si="20"/>
        <v>2</v>
      </c>
      <c r="K446" t="str">
        <f>VLOOKUP(E446,地区表!$A$2:$C$255,3,FALSE)</f>
        <v>中南</v>
      </c>
      <c r="L446" s="23" t="str" cm="1">
        <f t="array" ref="L446:N446">_xlfn.TEXTSPLIT(A446,"-")</f>
        <v>US</v>
      </c>
      <c r="M446" s="22" t="str">
        <v>2055</v>
      </c>
      <c r="N446" s="22" t="str">
        <v>5672005</v>
      </c>
    </row>
    <row r="447" spans="1:14" ht="15.6">
      <c r="A447" s="4" t="s">
        <v>522</v>
      </c>
      <c r="B447" s="5">
        <v>44607.738377052199</v>
      </c>
      <c r="C447" s="5">
        <v>44612.4282785084</v>
      </c>
      <c r="D447" s="4" t="s">
        <v>94</v>
      </c>
      <c r="E447" s="4" t="s">
        <v>197</v>
      </c>
      <c r="F447" s="4" t="s">
        <v>135</v>
      </c>
      <c r="G447" s="4">
        <f t="shared" ca="1" si="18"/>
        <v>28</v>
      </c>
      <c r="H447" s="4">
        <v>1</v>
      </c>
      <c r="I447">
        <f t="shared" ca="1" si="19"/>
        <v>28</v>
      </c>
      <c r="J447">
        <f t="shared" si="20"/>
        <v>2</v>
      </c>
      <c r="K447" t="str">
        <f>VLOOKUP(E447,地区表!$A$2:$C$255,3,FALSE)</f>
        <v>中南</v>
      </c>
      <c r="L447" s="23" t="str" cm="1">
        <f t="array" ref="L447:N447">_xlfn.TEXTSPLIT(A447,"-")</f>
        <v>US</v>
      </c>
      <c r="M447" s="22" t="str">
        <v>2055</v>
      </c>
      <c r="N447" s="22" t="str">
        <v>5672005</v>
      </c>
    </row>
    <row r="448" spans="1:14" ht="15.6">
      <c r="A448" s="4" t="s">
        <v>522</v>
      </c>
      <c r="B448" s="5">
        <v>44607.704933838497</v>
      </c>
      <c r="C448" s="5">
        <v>44612.869754639803</v>
      </c>
      <c r="D448" s="4" t="s">
        <v>94</v>
      </c>
      <c r="E448" s="4" t="s">
        <v>197</v>
      </c>
      <c r="F448" s="4" t="s">
        <v>131</v>
      </c>
      <c r="G448" s="4">
        <f t="shared" ca="1" si="18"/>
        <v>93</v>
      </c>
      <c r="H448" s="4">
        <v>1</v>
      </c>
      <c r="I448">
        <f t="shared" ca="1" si="19"/>
        <v>93</v>
      </c>
      <c r="J448">
        <f t="shared" si="20"/>
        <v>2</v>
      </c>
      <c r="K448" t="str">
        <f>VLOOKUP(E448,地区表!$A$2:$C$255,3,FALSE)</f>
        <v>中南</v>
      </c>
      <c r="L448" s="23" t="str" cm="1">
        <f t="array" ref="L448:N448">_xlfn.TEXTSPLIT(A448,"-")</f>
        <v>US</v>
      </c>
      <c r="M448" s="22" t="str">
        <v>2055</v>
      </c>
      <c r="N448" s="22" t="str">
        <v>5672005</v>
      </c>
    </row>
    <row r="449" spans="1:14" ht="15.6">
      <c r="A449" s="4" t="s">
        <v>649</v>
      </c>
      <c r="B449" s="5">
        <v>45215.898063144501</v>
      </c>
      <c r="C449" s="5">
        <v>45220.534146446698</v>
      </c>
      <c r="D449" s="4" t="s">
        <v>98</v>
      </c>
      <c r="E449" s="4" t="s">
        <v>197</v>
      </c>
      <c r="F449" s="4" t="s">
        <v>118</v>
      </c>
      <c r="G449" s="4">
        <f t="shared" ca="1" si="18"/>
        <v>41</v>
      </c>
      <c r="H449" s="4">
        <v>4</v>
      </c>
      <c r="I449">
        <f t="shared" ca="1" si="19"/>
        <v>164</v>
      </c>
      <c r="J449">
        <f t="shared" si="20"/>
        <v>10</v>
      </c>
      <c r="K449" t="str">
        <f>VLOOKUP(E449,地区表!$A$2:$C$255,3,FALSE)</f>
        <v>中南</v>
      </c>
      <c r="L449" s="23" t="str" cm="1">
        <f t="array" ref="L449:N449">_xlfn.TEXTSPLIT(A449,"-")</f>
        <v>US</v>
      </c>
      <c r="M449" s="22" t="str">
        <v>2664</v>
      </c>
      <c r="N449" s="22" t="str">
        <v>3285234</v>
      </c>
    </row>
    <row r="450" spans="1:14" ht="15.6">
      <c r="A450" s="4" t="s">
        <v>684</v>
      </c>
      <c r="B450" s="5">
        <v>44640.779355495797</v>
      </c>
      <c r="C450" s="5">
        <v>44641.423853544999</v>
      </c>
      <c r="D450" s="4" t="s">
        <v>114</v>
      </c>
      <c r="E450" s="4" t="s">
        <v>197</v>
      </c>
      <c r="F450" s="4" t="s">
        <v>141</v>
      </c>
      <c r="G450" s="4">
        <f t="shared" ref="G450:G513" ca="1" si="21">RANDBETWEEN(10,100)</f>
        <v>91</v>
      </c>
      <c r="H450" s="4">
        <v>3</v>
      </c>
      <c r="I450">
        <f t="shared" ca="1" si="19"/>
        <v>273</v>
      </c>
      <c r="J450">
        <f t="shared" si="20"/>
        <v>3</v>
      </c>
      <c r="K450" t="str">
        <f>VLOOKUP(E450,地区表!$A$2:$C$255,3,FALSE)</f>
        <v>中南</v>
      </c>
      <c r="L450" s="23" t="str" cm="1">
        <f t="array" ref="L450:N450">_xlfn.TEXTSPLIT(A450,"-")</f>
        <v>US</v>
      </c>
      <c r="M450" s="22" t="str">
        <v>2089</v>
      </c>
      <c r="N450" s="22" t="str">
        <v>5956912</v>
      </c>
    </row>
    <row r="451" spans="1:14" ht="15.6">
      <c r="A451" s="4" t="s">
        <v>742</v>
      </c>
      <c r="B451" s="5">
        <v>45180.6903212869</v>
      </c>
      <c r="C451" s="5">
        <v>45186.522151133897</v>
      </c>
      <c r="D451" s="4" t="s">
        <v>98</v>
      </c>
      <c r="E451" s="4" t="s">
        <v>197</v>
      </c>
      <c r="F451" s="4" t="s">
        <v>112</v>
      </c>
      <c r="G451" s="4">
        <f t="shared" ca="1" si="21"/>
        <v>76</v>
      </c>
      <c r="H451" s="4">
        <v>8</v>
      </c>
      <c r="I451">
        <f t="shared" ref="I451:I514" ca="1" si="22">G451*H451</f>
        <v>608</v>
      </c>
      <c r="J451">
        <f t="shared" ref="J451:J514" si="23">MONTH(B451)</f>
        <v>9</v>
      </c>
      <c r="K451" t="str">
        <f>VLOOKUP(E451,地区表!$A$2:$C$255,3,FALSE)</f>
        <v>中南</v>
      </c>
      <c r="L451" s="23" t="str" cm="1">
        <f t="array" ref="L451:N451">_xlfn.TEXTSPLIT(A451,"-")</f>
        <v>US</v>
      </c>
      <c r="M451" s="22" t="str">
        <v>1898</v>
      </c>
      <c r="N451" s="22" t="str">
        <v>4517151</v>
      </c>
    </row>
    <row r="452" spans="1:14" ht="15.6">
      <c r="A452" s="4" t="s">
        <v>797</v>
      </c>
      <c r="B452" s="5">
        <v>45062.568442306503</v>
      </c>
      <c r="C452" s="5">
        <v>45067.225922439997</v>
      </c>
      <c r="D452" s="4" t="s">
        <v>98</v>
      </c>
      <c r="E452" s="4" t="s">
        <v>197</v>
      </c>
      <c r="F452" s="4" t="s">
        <v>141</v>
      </c>
      <c r="G452" s="4">
        <f t="shared" ca="1" si="21"/>
        <v>33</v>
      </c>
      <c r="H452" s="4">
        <v>2</v>
      </c>
      <c r="I452">
        <f t="shared" ca="1" si="22"/>
        <v>66</v>
      </c>
      <c r="J452">
        <f t="shared" si="23"/>
        <v>5</v>
      </c>
      <c r="K452" t="str">
        <f>VLOOKUP(E452,地区表!$A$2:$C$255,3,FALSE)</f>
        <v>中南</v>
      </c>
      <c r="L452" s="23" t="str" cm="1">
        <f t="array" ref="L452:N452">_xlfn.TEXTSPLIT(A452,"-")</f>
        <v>US</v>
      </c>
      <c r="M452" s="22" t="str">
        <v>2511</v>
      </c>
      <c r="N452" s="22" t="str">
        <v>1756643</v>
      </c>
    </row>
    <row r="453" spans="1:14" ht="15.6">
      <c r="A453" s="4" t="s">
        <v>797</v>
      </c>
      <c r="B453" s="5">
        <v>45062.505606856197</v>
      </c>
      <c r="C453" s="5">
        <v>45067.4046469573</v>
      </c>
      <c r="D453" s="4" t="s">
        <v>98</v>
      </c>
      <c r="E453" s="4" t="s">
        <v>197</v>
      </c>
      <c r="F453" s="4" t="s">
        <v>122</v>
      </c>
      <c r="G453" s="4">
        <f t="shared" ca="1" si="21"/>
        <v>89</v>
      </c>
      <c r="H453" s="4">
        <v>3</v>
      </c>
      <c r="I453">
        <f t="shared" ca="1" si="22"/>
        <v>267</v>
      </c>
      <c r="J453">
        <f t="shared" si="23"/>
        <v>5</v>
      </c>
      <c r="K453" t="str">
        <f>VLOOKUP(E453,地区表!$A$2:$C$255,3,FALSE)</f>
        <v>中南</v>
      </c>
      <c r="L453" s="23" t="str" cm="1">
        <f t="array" ref="L453:N453">_xlfn.TEXTSPLIT(A453,"-")</f>
        <v>US</v>
      </c>
      <c r="M453" s="22" t="str">
        <v>2511</v>
      </c>
      <c r="N453" s="22" t="str">
        <v>1756643</v>
      </c>
    </row>
    <row r="454" spans="1:14" ht="15.6">
      <c r="A454" s="4" t="s">
        <v>825</v>
      </c>
      <c r="B454" s="5">
        <v>44704.908889342601</v>
      </c>
      <c r="C454" s="5">
        <v>44708.051106806801</v>
      </c>
      <c r="D454" s="4" t="s">
        <v>114</v>
      </c>
      <c r="E454" s="4" t="s">
        <v>197</v>
      </c>
      <c r="F454" s="4" t="s">
        <v>110</v>
      </c>
      <c r="G454" s="4">
        <f t="shared" ca="1" si="21"/>
        <v>97</v>
      </c>
      <c r="H454" s="4">
        <v>5</v>
      </c>
      <c r="I454">
        <f t="shared" ca="1" si="22"/>
        <v>485</v>
      </c>
      <c r="J454">
        <f t="shared" si="23"/>
        <v>5</v>
      </c>
      <c r="K454" t="str">
        <f>VLOOKUP(E454,地区表!$A$2:$C$255,3,FALSE)</f>
        <v>中南</v>
      </c>
      <c r="L454" s="23" t="str" cm="1">
        <f t="array" ref="L454:N454">_xlfn.TEXTSPLIT(A454,"-")</f>
        <v>US</v>
      </c>
      <c r="M454" s="22" t="str">
        <v>2153</v>
      </c>
      <c r="N454" s="22" t="str">
        <v>1346492</v>
      </c>
    </row>
    <row r="455" spans="1:14" ht="15.6">
      <c r="A455" s="4" t="s">
        <v>825</v>
      </c>
      <c r="B455" s="5">
        <v>44704.057402500897</v>
      </c>
      <c r="C455" s="5">
        <v>44708.709706817303</v>
      </c>
      <c r="D455" s="4" t="s">
        <v>114</v>
      </c>
      <c r="E455" s="4" t="s">
        <v>197</v>
      </c>
      <c r="F455" s="4" t="s">
        <v>131</v>
      </c>
      <c r="G455" s="4">
        <f t="shared" ca="1" si="21"/>
        <v>99</v>
      </c>
      <c r="H455" s="4">
        <v>2</v>
      </c>
      <c r="I455">
        <f t="shared" ca="1" si="22"/>
        <v>198</v>
      </c>
      <c r="J455">
        <f t="shared" si="23"/>
        <v>5</v>
      </c>
      <c r="K455" t="str">
        <f>VLOOKUP(E455,地区表!$A$2:$C$255,3,FALSE)</f>
        <v>中南</v>
      </c>
      <c r="L455" s="23" t="str" cm="1">
        <f t="array" ref="L455:N455">_xlfn.TEXTSPLIT(A455,"-")</f>
        <v>US</v>
      </c>
      <c r="M455" s="22" t="str">
        <v>2153</v>
      </c>
      <c r="N455" s="22" t="str">
        <v>1346492</v>
      </c>
    </row>
    <row r="456" spans="1:14" ht="15.6">
      <c r="A456" s="4" t="s">
        <v>770</v>
      </c>
      <c r="B456" s="5">
        <v>45151.933057314804</v>
      </c>
      <c r="C456" s="5">
        <v>45155.725794862599</v>
      </c>
      <c r="D456" s="4" t="s">
        <v>94</v>
      </c>
      <c r="E456" s="4" t="s">
        <v>771</v>
      </c>
      <c r="F456" s="4" t="s">
        <v>131</v>
      </c>
      <c r="G456" s="4">
        <f t="shared" ca="1" si="21"/>
        <v>97</v>
      </c>
      <c r="H456" s="4">
        <v>3</v>
      </c>
      <c r="I456">
        <f t="shared" ca="1" si="22"/>
        <v>291</v>
      </c>
      <c r="J456">
        <f t="shared" si="23"/>
        <v>8</v>
      </c>
      <c r="K456" t="str">
        <f>VLOOKUP(E456,地区表!$A$2:$C$255,3,FALSE)</f>
        <v>华北</v>
      </c>
      <c r="L456" s="23" t="str" cm="1">
        <f t="array" ref="L456:N456">_xlfn.TEXTSPLIT(A456,"-")</f>
        <v>CN</v>
      </c>
      <c r="M456" s="22" t="str">
        <v>2600</v>
      </c>
      <c r="N456" s="22" t="str">
        <v>4733722</v>
      </c>
    </row>
    <row r="457" spans="1:14" ht="15.6">
      <c r="A457" s="4" t="s">
        <v>770</v>
      </c>
      <c r="B457" s="5">
        <v>45151.655982742297</v>
      </c>
      <c r="C457" s="5">
        <v>45155.345055744503</v>
      </c>
      <c r="D457" s="4" t="s">
        <v>94</v>
      </c>
      <c r="E457" s="4" t="s">
        <v>771</v>
      </c>
      <c r="F457" s="4" t="s">
        <v>110</v>
      </c>
      <c r="G457" s="4">
        <f t="shared" ca="1" si="21"/>
        <v>71</v>
      </c>
      <c r="H457" s="4">
        <v>2</v>
      </c>
      <c r="I457">
        <f t="shared" ca="1" si="22"/>
        <v>142</v>
      </c>
      <c r="J457">
        <f t="shared" si="23"/>
        <v>8</v>
      </c>
      <c r="K457" t="str">
        <f>VLOOKUP(E457,地区表!$A$2:$C$255,3,FALSE)</f>
        <v>华北</v>
      </c>
      <c r="L457" s="23" t="str" cm="1">
        <f t="array" ref="L457:N457">_xlfn.TEXTSPLIT(A457,"-")</f>
        <v>CN</v>
      </c>
      <c r="M457" s="22" t="str">
        <v>2600</v>
      </c>
      <c r="N457" s="22" t="str">
        <v>4733722</v>
      </c>
    </row>
    <row r="458" spans="1:14" ht="15.6">
      <c r="A458" s="4" t="s">
        <v>770</v>
      </c>
      <c r="B458" s="5">
        <v>45151.526064805497</v>
      </c>
      <c r="C458" s="5">
        <v>45155.761974574503</v>
      </c>
      <c r="D458" s="4" t="s">
        <v>94</v>
      </c>
      <c r="E458" s="4" t="s">
        <v>771</v>
      </c>
      <c r="F458" s="4" t="s">
        <v>141</v>
      </c>
      <c r="G458" s="4">
        <f t="shared" ca="1" si="21"/>
        <v>10</v>
      </c>
      <c r="H458" s="4">
        <v>5</v>
      </c>
      <c r="I458">
        <f t="shared" ca="1" si="22"/>
        <v>50</v>
      </c>
      <c r="J458">
        <f t="shared" si="23"/>
        <v>8</v>
      </c>
      <c r="K458" t="str">
        <f>VLOOKUP(E458,地区表!$A$2:$C$255,3,FALSE)</f>
        <v>华北</v>
      </c>
      <c r="L458" s="23" t="str" cm="1">
        <f t="array" ref="L458:N458">_xlfn.TEXTSPLIT(A458,"-")</f>
        <v>CN</v>
      </c>
      <c r="M458" s="22" t="str">
        <v>2600</v>
      </c>
      <c r="N458" s="22" t="str">
        <v>4733722</v>
      </c>
    </row>
    <row r="459" spans="1:14" ht="15.6">
      <c r="A459" s="4" t="s">
        <v>113</v>
      </c>
      <c r="B459" s="5">
        <v>44675.564762069698</v>
      </c>
      <c r="C459" s="5">
        <v>44677.208333519302</v>
      </c>
      <c r="D459" s="4" t="s">
        <v>114</v>
      </c>
      <c r="E459" s="4" t="s">
        <v>115</v>
      </c>
      <c r="F459" s="4" t="s">
        <v>109</v>
      </c>
      <c r="G459" s="4">
        <f t="shared" ca="1" si="21"/>
        <v>38</v>
      </c>
      <c r="H459" s="4">
        <v>2</v>
      </c>
      <c r="I459">
        <f t="shared" ca="1" si="22"/>
        <v>76</v>
      </c>
      <c r="J459">
        <f t="shared" si="23"/>
        <v>4</v>
      </c>
      <c r="K459" t="str">
        <f>VLOOKUP(E459,地区表!$A$2:$C$255,3,FALSE)</f>
        <v>西北</v>
      </c>
      <c r="L459" s="23" t="str" cm="1">
        <f t="array" ref="L459:N459">_xlfn.TEXTSPLIT(A459,"-")</f>
        <v>CN</v>
      </c>
      <c r="M459" s="22" t="str">
        <v>2124</v>
      </c>
      <c r="N459" s="22" t="str">
        <v>4195213</v>
      </c>
    </row>
    <row r="460" spans="1:14" ht="15.6">
      <c r="A460" s="4" t="s">
        <v>362</v>
      </c>
      <c r="B460" s="5">
        <v>44579.885104509704</v>
      </c>
      <c r="C460" s="5">
        <v>44581.703611048601</v>
      </c>
      <c r="D460" s="4" t="s">
        <v>94</v>
      </c>
      <c r="E460" s="4" t="s">
        <v>115</v>
      </c>
      <c r="F460" s="4" t="s">
        <v>135</v>
      </c>
      <c r="G460" s="4">
        <f t="shared" ca="1" si="21"/>
        <v>14</v>
      </c>
      <c r="H460" s="4">
        <v>4</v>
      </c>
      <c r="I460">
        <f t="shared" ca="1" si="22"/>
        <v>56</v>
      </c>
      <c r="J460">
        <f t="shared" si="23"/>
        <v>1</v>
      </c>
      <c r="K460" t="str">
        <f>VLOOKUP(E460,地区表!$A$2:$C$255,3,FALSE)</f>
        <v>西北</v>
      </c>
      <c r="L460" s="23" t="str" cm="1">
        <f t="array" ref="L460:N460">_xlfn.TEXTSPLIT(A460,"-")</f>
        <v>CN</v>
      </c>
      <c r="M460" s="22" t="str">
        <v>3123</v>
      </c>
      <c r="N460" s="22" t="str">
        <v>3361827</v>
      </c>
    </row>
    <row r="461" spans="1:14" ht="15.6">
      <c r="A461" s="4" t="s">
        <v>654</v>
      </c>
      <c r="B461" s="5">
        <v>44648.603573640998</v>
      </c>
      <c r="C461" s="5">
        <v>44651.880475571197</v>
      </c>
      <c r="D461" s="4" t="s">
        <v>114</v>
      </c>
      <c r="E461" s="4" t="s">
        <v>115</v>
      </c>
      <c r="F461" s="4" t="s">
        <v>110</v>
      </c>
      <c r="G461" s="4">
        <f t="shared" ca="1" si="21"/>
        <v>29</v>
      </c>
      <c r="H461" s="4">
        <v>5</v>
      </c>
      <c r="I461">
        <f t="shared" ca="1" si="22"/>
        <v>145</v>
      </c>
      <c r="J461">
        <f t="shared" si="23"/>
        <v>3</v>
      </c>
      <c r="K461" t="str">
        <f>VLOOKUP(E461,地区表!$A$2:$C$255,3,FALSE)</f>
        <v>西北</v>
      </c>
      <c r="L461" s="23" t="str" cm="1">
        <f t="array" ref="L461:N461">_xlfn.TEXTSPLIT(A461,"-")</f>
        <v>CN</v>
      </c>
      <c r="M461" s="22" t="str">
        <v>3192</v>
      </c>
      <c r="N461" s="22" t="str">
        <v>5497693</v>
      </c>
    </row>
    <row r="462" spans="1:14" ht="15.6">
      <c r="A462" s="4" t="s">
        <v>184</v>
      </c>
      <c r="B462" s="5">
        <v>45084.896404958497</v>
      </c>
      <c r="C462" s="5">
        <v>45088.713405807903</v>
      </c>
      <c r="D462" s="4" t="s">
        <v>98</v>
      </c>
      <c r="E462" s="4" t="s">
        <v>185</v>
      </c>
      <c r="F462" s="4" t="s">
        <v>96</v>
      </c>
      <c r="G462" s="4">
        <f t="shared" ca="1" si="21"/>
        <v>53</v>
      </c>
      <c r="H462" s="4">
        <v>5</v>
      </c>
      <c r="I462">
        <f t="shared" ca="1" si="22"/>
        <v>265</v>
      </c>
      <c r="J462">
        <f t="shared" si="23"/>
        <v>6</v>
      </c>
      <c r="K462" t="str">
        <f>VLOOKUP(E462,地区表!$A$2:$C$255,3,FALSE)</f>
        <v>华东</v>
      </c>
      <c r="L462" s="23" t="str" cm="1">
        <f t="array" ref="L462:N462">_xlfn.TEXTSPLIT(A462,"-")</f>
        <v>US</v>
      </c>
      <c r="M462" s="22" t="str">
        <v>1802</v>
      </c>
      <c r="N462" s="22" t="str">
        <v>3275681</v>
      </c>
    </row>
    <row r="463" spans="1:14" ht="15.6">
      <c r="A463" s="4" t="s">
        <v>521</v>
      </c>
      <c r="B463" s="5">
        <v>44638.150436020303</v>
      </c>
      <c r="C463" s="5">
        <v>44643.450712327802</v>
      </c>
      <c r="D463" s="4" t="s">
        <v>114</v>
      </c>
      <c r="E463" s="4" t="s">
        <v>185</v>
      </c>
      <c r="F463" s="4" t="s">
        <v>141</v>
      </c>
      <c r="G463" s="4">
        <f t="shared" ca="1" si="21"/>
        <v>63</v>
      </c>
      <c r="H463" s="4">
        <v>1</v>
      </c>
      <c r="I463">
        <f t="shared" ca="1" si="22"/>
        <v>63</v>
      </c>
      <c r="J463">
        <f t="shared" si="23"/>
        <v>3</v>
      </c>
      <c r="K463" t="str">
        <f>VLOOKUP(E463,地区表!$A$2:$C$255,3,FALSE)</f>
        <v>华东</v>
      </c>
      <c r="L463" s="23" t="str" cm="1">
        <f t="array" ref="L463:N463">_xlfn.TEXTSPLIT(A463,"-")</f>
        <v>US</v>
      </c>
      <c r="M463" s="22" t="str">
        <v>3182</v>
      </c>
      <c r="N463" s="22" t="str">
        <v>2477297</v>
      </c>
    </row>
    <row r="464" spans="1:14" ht="15.6">
      <c r="A464" s="4" t="s">
        <v>539</v>
      </c>
      <c r="B464" s="5">
        <v>45097.644056159203</v>
      </c>
      <c r="C464" s="5">
        <v>45100.829804810703</v>
      </c>
      <c r="D464" s="4" t="s">
        <v>114</v>
      </c>
      <c r="E464" s="4" t="s">
        <v>540</v>
      </c>
      <c r="F464" s="4" t="s">
        <v>131</v>
      </c>
      <c r="G464" s="4">
        <f t="shared" ca="1" si="21"/>
        <v>100</v>
      </c>
      <c r="H464" s="4">
        <v>4</v>
      </c>
      <c r="I464">
        <f t="shared" ca="1" si="22"/>
        <v>400</v>
      </c>
      <c r="J464">
        <f t="shared" si="23"/>
        <v>6</v>
      </c>
      <c r="K464" t="str">
        <f>VLOOKUP(E464,地区表!$A$2:$C$255,3,FALSE)</f>
        <v>东北</v>
      </c>
      <c r="L464" s="23" t="str" cm="1">
        <f t="array" ref="L464:N464">_xlfn.TEXTSPLIT(A464,"-")</f>
        <v>CN</v>
      </c>
      <c r="M464" s="22" t="str">
        <v>1815</v>
      </c>
      <c r="N464" s="22" t="str">
        <v>5477816</v>
      </c>
    </row>
    <row r="465" spans="1:14" ht="15.6">
      <c r="A465" s="4" t="s">
        <v>539</v>
      </c>
      <c r="B465" s="5">
        <v>45097.803979128701</v>
      </c>
      <c r="C465" s="5">
        <v>45100.771924101602</v>
      </c>
      <c r="D465" s="4" t="s">
        <v>114</v>
      </c>
      <c r="E465" s="4" t="s">
        <v>540</v>
      </c>
      <c r="F465" s="4" t="s">
        <v>125</v>
      </c>
      <c r="G465" s="4">
        <f t="shared" ca="1" si="21"/>
        <v>56</v>
      </c>
      <c r="H465" s="4">
        <v>4</v>
      </c>
      <c r="I465">
        <f t="shared" ca="1" si="22"/>
        <v>224</v>
      </c>
      <c r="J465">
        <f t="shared" si="23"/>
        <v>6</v>
      </c>
      <c r="K465" t="str">
        <f>VLOOKUP(E465,地区表!$A$2:$C$255,3,FALSE)</f>
        <v>东北</v>
      </c>
      <c r="L465" s="23" t="str" cm="1">
        <f t="array" ref="L465:N465">_xlfn.TEXTSPLIT(A465,"-")</f>
        <v>CN</v>
      </c>
      <c r="M465" s="22" t="str">
        <v>1815</v>
      </c>
      <c r="N465" s="22" t="str">
        <v>5477816</v>
      </c>
    </row>
    <row r="466" spans="1:14" ht="15.6">
      <c r="A466" s="4" t="s">
        <v>539</v>
      </c>
      <c r="B466" s="5">
        <v>45097.900937520702</v>
      </c>
      <c r="C466" s="5">
        <v>45100.221718535802</v>
      </c>
      <c r="D466" s="4" t="s">
        <v>114</v>
      </c>
      <c r="E466" s="4" t="s">
        <v>540</v>
      </c>
      <c r="F466" s="4" t="s">
        <v>121</v>
      </c>
      <c r="G466" s="4">
        <f t="shared" ca="1" si="21"/>
        <v>37</v>
      </c>
      <c r="H466" s="4">
        <v>2</v>
      </c>
      <c r="I466">
        <f t="shared" ca="1" si="22"/>
        <v>74</v>
      </c>
      <c r="J466">
        <f t="shared" si="23"/>
        <v>6</v>
      </c>
      <c r="K466" t="str">
        <f>VLOOKUP(E466,地区表!$A$2:$C$255,3,FALSE)</f>
        <v>东北</v>
      </c>
      <c r="L466" s="23" t="str" cm="1">
        <f t="array" ref="L466:N466">_xlfn.TEXTSPLIT(A466,"-")</f>
        <v>CN</v>
      </c>
      <c r="M466" s="22" t="str">
        <v>1815</v>
      </c>
      <c r="N466" s="22" t="str">
        <v>5477816</v>
      </c>
    </row>
    <row r="467" spans="1:14" ht="15.6">
      <c r="A467" s="4" t="s">
        <v>448</v>
      </c>
      <c r="B467" s="5">
        <v>44995.677284739402</v>
      </c>
      <c r="C467" s="5">
        <v>44997.600150017897</v>
      </c>
      <c r="D467" s="4" t="s">
        <v>114</v>
      </c>
      <c r="E467" s="4" t="s">
        <v>449</v>
      </c>
      <c r="F467" s="4" t="s">
        <v>101</v>
      </c>
      <c r="G467" s="4">
        <f t="shared" ca="1" si="21"/>
        <v>62</v>
      </c>
      <c r="H467" s="4">
        <v>3</v>
      </c>
      <c r="I467">
        <f t="shared" ca="1" si="22"/>
        <v>186</v>
      </c>
      <c r="J467">
        <f t="shared" si="23"/>
        <v>3</v>
      </c>
      <c r="K467" t="str">
        <f>VLOOKUP(E467,地区表!$A$2:$C$255,3,FALSE)</f>
        <v>中南</v>
      </c>
      <c r="L467" s="23" t="str" cm="1">
        <f t="array" ref="L467:N467">_xlfn.TEXTSPLIT(A467,"-")</f>
        <v>CN</v>
      </c>
      <c r="M467" s="22" t="str">
        <v>2444</v>
      </c>
      <c r="N467" s="22" t="str">
        <v>4725073</v>
      </c>
    </row>
    <row r="468" spans="1:14" ht="15.6">
      <c r="A468" s="4" t="s">
        <v>448</v>
      </c>
      <c r="B468" s="5">
        <v>44995.471685263699</v>
      </c>
      <c r="C468" s="5">
        <v>44997.179035901798</v>
      </c>
      <c r="D468" s="4" t="s">
        <v>114</v>
      </c>
      <c r="E468" s="4" t="s">
        <v>449</v>
      </c>
      <c r="F468" s="4" t="s">
        <v>118</v>
      </c>
      <c r="G468" s="4">
        <f t="shared" ca="1" si="21"/>
        <v>94</v>
      </c>
      <c r="H468" s="4">
        <v>9</v>
      </c>
      <c r="I468">
        <f t="shared" ca="1" si="22"/>
        <v>846</v>
      </c>
      <c r="J468">
        <f t="shared" si="23"/>
        <v>3</v>
      </c>
      <c r="K468" t="str">
        <f>VLOOKUP(E468,地区表!$A$2:$C$255,3,FALSE)</f>
        <v>中南</v>
      </c>
      <c r="L468" s="23" t="str" cm="1">
        <f t="array" ref="L468:N468">_xlfn.TEXTSPLIT(A468,"-")</f>
        <v>CN</v>
      </c>
      <c r="M468" s="22" t="str">
        <v>2444</v>
      </c>
      <c r="N468" s="22" t="str">
        <v>4725073</v>
      </c>
    </row>
    <row r="469" spans="1:14" ht="15.6">
      <c r="A469" s="4" t="s">
        <v>791</v>
      </c>
      <c r="B469" s="5">
        <v>44964.245575706402</v>
      </c>
      <c r="C469" s="5">
        <v>44966.772529150898</v>
      </c>
      <c r="D469" s="4" t="s">
        <v>98</v>
      </c>
      <c r="E469" s="4" t="s">
        <v>449</v>
      </c>
      <c r="F469" s="4" t="s">
        <v>125</v>
      </c>
      <c r="G469" s="4">
        <f t="shared" ca="1" si="21"/>
        <v>74</v>
      </c>
      <c r="H469" s="4">
        <v>1</v>
      </c>
      <c r="I469">
        <f t="shared" ca="1" si="22"/>
        <v>74</v>
      </c>
      <c r="J469">
        <f t="shared" si="23"/>
        <v>2</v>
      </c>
      <c r="K469" t="str">
        <f>VLOOKUP(E469,地区表!$A$2:$C$255,3,FALSE)</f>
        <v>中南</v>
      </c>
      <c r="L469" s="23" t="str" cm="1">
        <f t="array" ref="L469:N469">_xlfn.TEXTSPLIT(A469,"-")</f>
        <v>CN</v>
      </c>
      <c r="M469" s="22" t="str">
        <v>2413</v>
      </c>
      <c r="N469" s="22" t="str">
        <v>2606671</v>
      </c>
    </row>
    <row r="470" spans="1:14" ht="15.6">
      <c r="A470" s="4" t="s">
        <v>791</v>
      </c>
      <c r="B470" s="5">
        <v>44964.729940784797</v>
      </c>
      <c r="C470" s="5">
        <v>44966.718556369</v>
      </c>
      <c r="D470" s="4" t="s">
        <v>98</v>
      </c>
      <c r="E470" s="4" t="s">
        <v>449</v>
      </c>
      <c r="F470" s="4" t="s">
        <v>101</v>
      </c>
      <c r="G470" s="4">
        <f t="shared" ca="1" si="21"/>
        <v>26</v>
      </c>
      <c r="H470" s="4">
        <v>1</v>
      </c>
      <c r="I470">
        <f t="shared" ca="1" si="22"/>
        <v>26</v>
      </c>
      <c r="J470">
        <f t="shared" si="23"/>
        <v>2</v>
      </c>
      <c r="K470" t="str">
        <f>VLOOKUP(E470,地区表!$A$2:$C$255,3,FALSE)</f>
        <v>中南</v>
      </c>
      <c r="L470" s="23" t="str" cm="1">
        <f t="array" ref="L470:N470">_xlfn.TEXTSPLIT(A470,"-")</f>
        <v>CN</v>
      </c>
      <c r="M470" s="22" t="str">
        <v>2413</v>
      </c>
      <c r="N470" s="22" t="str">
        <v>2606671</v>
      </c>
    </row>
    <row r="471" spans="1:14" ht="15.6">
      <c r="A471" s="4" t="s">
        <v>526</v>
      </c>
      <c r="B471" s="5">
        <v>44426.695043458298</v>
      </c>
      <c r="C471" s="5">
        <v>44431.727704509802</v>
      </c>
      <c r="D471" s="4" t="s">
        <v>98</v>
      </c>
      <c r="E471" s="4" t="s">
        <v>527</v>
      </c>
      <c r="F471" s="4" t="s">
        <v>131</v>
      </c>
      <c r="G471" s="4">
        <f t="shared" ca="1" si="21"/>
        <v>13</v>
      </c>
      <c r="H471" s="4">
        <v>3</v>
      </c>
      <c r="I471">
        <f t="shared" ca="1" si="22"/>
        <v>39</v>
      </c>
      <c r="J471">
        <f t="shared" si="23"/>
        <v>8</v>
      </c>
      <c r="K471" t="str">
        <f>VLOOKUP(E471,地区表!$A$2:$C$255,3,FALSE)</f>
        <v>东北</v>
      </c>
      <c r="L471" s="23" t="str" cm="1">
        <f t="array" ref="L471:N471">_xlfn.TEXTSPLIT(A471,"-")</f>
        <v>CN</v>
      </c>
      <c r="M471" s="22" t="str">
        <v>2970</v>
      </c>
      <c r="N471" s="22" t="str">
        <v>2964244</v>
      </c>
    </row>
    <row r="472" spans="1:14" ht="15.6">
      <c r="A472" s="4" t="s">
        <v>526</v>
      </c>
      <c r="B472" s="5">
        <v>44426.744015357399</v>
      </c>
      <c r="C472" s="5">
        <v>44431.675375926701</v>
      </c>
      <c r="D472" s="4" t="s">
        <v>98</v>
      </c>
      <c r="E472" s="4" t="s">
        <v>527</v>
      </c>
      <c r="F472" s="4" t="s">
        <v>122</v>
      </c>
      <c r="G472" s="4">
        <f t="shared" ca="1" si="21"/>
        <v>81</v>
      </c>
      <c r="H472" s="4">
        <v>2</v>
      </c>
      <c r="I472">
        <f t="shared" ca="1" si="22"/>
        <v>162</v>
      </c>
      <c r="J472">
        <f t="shared" si="23"/>
        <v>8</v>
      </c>
      <c r="K472" t="str">
        <f>VLOOKUP(E472,地区表!$A$2:$C$255,3,FALSE)</f>
        <v>东北</v>
      </c>
      <c r="L472" s="23" t="str" cm="1">
        <f t="array" ref="L472:N472">_xlfn.TEXTSPLIT(A472,"-")</f>
        <v>CN</v>
      </c>
      <c r="M472" s="22" t="str">
        <v>2970</v>
      </c>
      <c r="N472" s="22" t="str">
        <v>2964244</v>
      </c>
    </row>
    <row r="473" spans="1:14" ht="15.6">
      <c r="A473" s="4" t="s">
        <v>604</v>
      </c>
      <c r="B473" s="5">
        <v>44492.305561954498</v>
      </c>
      <c r="C473" s="5">
        <v>44495.343026505798</v>
      </c>
      <c r="D473" s="4" t="s">
        <v>94</v>
      </c>
      <c r="E473" s="4" t="s">
        <v>605</v>
      </c>
      <c r="F473" s="4" t="s">
        <v>106</v>
      </c>
      <c r="G473" s="4">
        <f t="shared" ca="1" si="21"/>
        <v>33</v>
      </c>
      <c r="H473" s="4">
        <v>5</v>
      </c>
      <c r="I473">
        <f t="shared" ca="1" si="22"/>
        <v>165</v>
      </c>
      <c r="J473">
        <f t="shared" si="23"/>
        <v>10</v>
      </c>
      <c r="K473" t="str">
        <f>VLOOKUP(E473,地区表!$A$2:$C$255,3,FALSE)</f>
        <v>东北</v>
      </c>
      <c r="L473" s="23" t="str" cm="1">
        <f t="array" ref="L473:N473">_xlfn.TEXTSPLIT(A473,"-")</f>
        <v>CN</v>
      </c>
      <c r="M473" s="22" t="str">
        <v>3036</v>
      </c>
      <c r="N473" s="22" t="str">
        <v>2328434</v>
      </c>
    </row>
    <row r="474" spans="1:14" ht="15.6">
      <c r="A474" s="4" t="s">
        <v>604</v>
      </c>
      <c r="B474" s="5">
        <v>44492.5226292843</v>
      </c>
      <c r="C474" s="5">
        <v>44495.801223955597</v>
      </c>
      <c r="D474" s="4" t="s">
        <v>94</v>
      </c>
      <c r="E474" s="4" t="s">
        <v>605</v>
      </c>
      <c r="F474" s="4" t="s">
        <v>125</v>
      </c>
      <c r="G474" s="4">
        <f t="shared" ca="1" si="21"/>
        <v>82</v>
      </c>
      <c r="H474" s="4">
        <v>4</v>
      </c>
      <c r="I474">
        <f t="shared" ca="1" si="22"/>
        <v>328</v>
      </c>
      <c r="J474">
        <f t="shared" si="23"/>
        <v>10</v>
      </c>
      <c r="K474" t="str">
        <f>VLOOKUP(E474,地区表!$A$2:$C$255,3,FALSE)</f>
        <v>东北</v>
      </c>
      <c r="L474" s="23" t="str" cm="1">
        <f t="array" ref="L474:N474">_xlfn.TEXTSPLIT(A474,"-")</f>
        <v>CN</v>
      </c>
      <c r="M474" s="22" t="str">
        <v>3036</v>
      </c>
      <c r="N474" s="22" t="str">
        <v>2328434</v>
      </c>
    </row>
    <row r="475" spans="1:14" ht="15.6">
      <c r="A475" s="4" t="s">
        <v>729</v>
      </c>
      <c r="B475" s="5">
        <v>44659.786514694497</v>
      </c>
      <c r="C475" s="5">
        <v>44659.592719551198</v>
      </c>
      <c r="D475" s="4" t="s">
        <v>94</v>
      </c>
      <c r="E475" s="4" t="s">
        <v>730</v>
      </c>
      <c r="F475" s="4" t="s">
        <v>106</v>
      </c>
      <c r="G475" s="4">
        <f t="shared" ca="1" si="21"/>
        <v>85</v>
      </c>
      <c r="H475" s="4">
        <v>6</v>
      </c>
      <c r="I475">
        <f t="shared" ca="1" si="22"/>
        <v>510</v>
      </c>
      <c r="J475">
        <f t="shared" si="23"/>
        <v>4</v>
      </c>
      <c r="K475" t="str">
        <f>VLOOKUP(E475,地区表!$A$2:$C$255,3,FALSE)</f>
        <v>中南</v>
      </c>
      <c r="L475" s="23" t="str" cm="1">
        <f t="array" ref="L475:N475">_xlfn.TEXTSPLIT(A475,"-")</f>
        <v>CN</v>
      </c>
      <c r="M475" s="22" t="str">
        <v>3203</v>
      </c>
      <c r="N475" s="22" t="str">
        <v>2166981</v>
      </c>
    </row>
    <row r="476" spans="1:14" ht="15.6">
      <c r="A476" s="4" t="s">
        <v>215</v>
      </c>
      <c r="B476" s="5">
        <v>44348.250086155</v>
      </c>
      <c r="C476" s="5">
        <v>44353.4327033726</v>
      </c>
      <c r="D476" s="4" t="s">
        <v>98</v>
      </c>
      <c r="E476" s="4" t="s">
        <v>216</v>
      </c>
      <c r="F476" s="4" t="s">
        <v>106</v>
      </c>
      <c r="G476" s="4">
        <f t="shared" ca="1" si="21"/>
        <v>94</v>
      </c>
      <c r="H476" s="4">
        <v>1</v>
      </c>
      <c r="I476">
        <f t="shared" ca="1" si="22"/>
        <v>94</v>
      </c>
      <c r="J476">
        <f t="shared" si="23"/>
        <v>6</v>
      </c>
      <c r="K476" t="str">
        <f>VLOOKUP(E476,地区表!$A$2:$C$255,3,FALSE)</f>
        <v>中南</v>
      </c>
      <c r="L476" s="23" t="str" cm="1">
        <f t="array" ref="L476:N476">_xlfn.TEXTSPLIT(A476,"-")</f>
        <v>CN</v>
      </c>
      <c r="M476" s="22" t="str">
        <v>2892</v>
      </c>
      <c r="N476" s="22" t="str">
        <v>5057492</v>
      </c>
    </row>
    <row r="477" spans="1:14" ht="15.6">
      <c r="A477" s="4" t="s">
        <v>430</v>
      </c>
      <c r="B477" s="5">
        <v>44272.383981469502</v>
      </c>
      <c r="C477" s="5">
        <v>44277.649687336198</v>
      </c>
      <c r="D477" s="4" t="s">
        <v>98</v>
      </c>
      <c r="E477" s="4" t="s">
        <v>216</v>
      </c>
      <c r="F477" s="4" t="s">
        <v>110</v>
      </c>
      <c r="G477" s="4">
        <f t="shared" ca="1" si="21"/>
        <v>46</v>
      </c>
      <c r="H477" s="4">
        <v>6</v>
      </c>
      <c r="I477">
        <f t="shared" ca="1" si="22"/>
        <v>276</v>
      </c>
      <c r="J477">
        <f t="shared" si="23"/>
        <v>3</v>
      </c>
      <c r="K477" t="str">
        <f>VLOOKUP(E477,地区表!$A$2:$C$255,3,FALSE)</f>
        <v>中南</v>
      </c>
      <c r="L477" s="23" t="str" cm="1">
        <f t="array" ref="L477:N477">_xlfn.TEXTSPLIT(A477,"-")</f>
        <v>CN</v>
      </c>
      <c r="M477" s="22" t="str">
        <v>2816</v>
      </c>
      <c r="N477" s="22" t="str">
        <v>5648514</v>
      </c>
    </row>
    <row r="478" spans="1:14" ht="15.6">
      <c r="A478" s="4" t="s">
        <v>430</v>
      </c>
      <c r="B478" s="5">
        <v>44272.495873320397</v>
      </c>
      <c r="C478" s="5">
        <v>44277.125867274597</v>
      </c>
      <c r="D478" s="4" t="s">
        <v>98</v>
      </c>
      <c r="E478" s="4" t="s">
        <v>216</v>
      </c>
      <c r="F478" s="4" t="s">
        <v>101</v>
      </c>
      <c r="G478" s="4">
        <f t="shared" ca="1" si="21"/>
        <v>100</v>
      </c>
      <c r="H478" s="4">
        <v>2</v>
      </c>
      <c r="I478">
        <f t="shared" ca="1" si="22"/>
        <v>200</v>
      </c>
      <c r="J478">
        <f t="shared" si="23"/>
        <v>3</v>
      </c>
      <c r="K478" t="str">
        <f>VLOOKUP(E478,地区表!$A$2:$C$255,3,FALSE)</f>
        <v>中南</v>
      </c>
      <c r="L478" s="23" t="str" cm="1">
        <f t="array" ref="L478:N478">_xlfn.TEXTSPLIT(A478,"-")</f>
        <v>CN</v>
      </c>
      <c r="M478" s="22" t="str">
        <v>2816</v>
      </c>
      <c r="N478" s="22" t="str">
        <v>5648514</v>
      </c>
    </row>
    <row r="479" spans="1:14" ht="15.6">
      <c r="A479" s="4" t="s">
        <v>740</v>
      </c>
      <c r="B479" s="5">
        <v>44757.8891999197</v>
      </c>
      <c r="C479" s="5">
        <v>44763.860892832199</v>
      </c>
      <c r="D479" s="4" t="s">
        <v>94</v>
      </c>
      <c r="E479" s="4" t="s">
        <v>216</v>
      </c>
      <c r="F479" s="4" t="s">
        <v>110</v>
      </c>
      <c r="G479" s="4">
        <f t="shared" ca="1" si="21"/>
        <v>75</v>
      </c>
      <c r="H479" s="4">
        <v>8</v>
      </c>
      <c r="I479">
        <f t="shared" ca="1" si="22"/>
        <v>600</v>
      </c>
      <c r="J479">
        <f t="shared" si="23"/>
        <v>7</v>
      </c>
      <c r="K479" t="str">
        <f>VLOOKUP(E479,地区表!$A$2:$C$255,3,FALSE)</f>
        <v>中南</v>
      </c>
      <c r="L479" s="23" t="str" cm="1">
        <f t="array" ref="L479:N479">_xlfn.TEXTSPLIT(A479,"-")</f>
        <v>CN</v>
      </c>
      <c r="M479" s="22" t="str">
        <v>2206</v>
      </c>
      <c r="N479" s="22" t="str">
        <v>4054371</v>
      </c>
    </row>
    <row r="480" spans="1:14" ht="15.6">
      <c r="A480" s="4" t="s">
        <v>740</v>
      </c>
      <c r="B480" s="5">
        <v>44757.280563523498</v>
      </c>
      <c r="C480" s="5">
        <v>44763.3093228496</v>
      </c>
      <c r="D480" s="4" t="s">
        <v>94</v>
      </c>
      <c r="E480" s="4" t="s">
        <v>216</v>
      </c>
      <c r="F480" s="4" t="s">
        <v>110</v>
      </c>
      <c r="G480" s="4">
        <f t="shared" ca="1" si="21"/>
        <v>55</v>
      </c>
      <c r="H480" s="4">
        <v>3</v>
      </c>
      <c r="I480">
        <f t="shared" ca="1" si="22"/>
        <v>165</v>
      </c>
      <c r="J480">
        <f t="shared" si="23"/>
        <v>7</v>
      </c>
      <c r="K480" t="str">
        <f>VLOOKUP(E480,地区表!$A$2:$C$255,3,FALSE)</f>
        <v>中南</v>
      </c>
      <c r="L480" s="23" t="str" cm="1">
        <f t="array" ref="L480:N480">_xlfn.TEXTSPLIT(A480,"-")</f>
        <v>CN</v>
      </c>
      <c r="M480" s="22" t="str">
        <v>2206</v>
      </c>
      <c r="N480" s="22" t="str">
        <v>4054371</v>
      </c>
    </row>
    <row r="481" spans="1:14" ht="15.6">
      <c r="A481" s="4" t="s">
        <v>740</v>
      </c>
      <c r="B481" s="5">
        <v>44757.900243011602</v>
      </c>
      <c r="C481" s="5">
        <v>44763.786167832302</v>
      </c>
      <c r="D481" s="4" t="s">
        <v>94</v>
      </c>
      <c r="E481" s="4" t="s">
        <v>216</v>
      </c>
      <c r="F481" s="4" t="s">
        <v>131</v>
      </c>
      <c r="G481" s="4">
        <f t="shared" ca="1" si="21"/>
        <v>27</v>
      </c>
      <c r="H481" s="4">
        <v>3</v>
      </c>
      <c r="I481">
        <f t="shared" ca="1" si="22"/>
        <v>81</v>
      </c>
      <c r="J481">
        <f t="shared" si="23"/>
        <v>7</v>
      </c>
      <c r="K481" t="str">
        <f>VLOOKUP(E481,地区表!$A$2:$C$255,3,FALSE)</f>
        <v>中南</v>
      </c>
      <c r="L481" s="23" t="str" cm="1">
        <f t="array" ref="L481:N481">_xlfn.TEXTSPLIT(A481,"-")</f>
        <v>CN</v>
      </c>
      <c r="M481" s="22" t="str">
        <v>2206</v>
      </c>
      <c r="N481" s="22" t="str">
        <v>4054371</v>
      </c>
    </row>
    <row r="482" spans="1:14" ht="15.6">
      <c r="A482" s="4" t="s">
        <v>740</v>
      </c>
      <c r="B482" s="5">
        <v>44757.274984121301</v>
      </c>
      <c r="C482" s="5">
        <v>44763.843187437204</v>
      </c>
      <c r="D482" s="4" t="s">
        <v>94</v>
      </c>
      <c r="E482" s="4" t="s">
        <v>216</v>
      </c>
      <c r="F482" s="4" t="s">
        <v>111</v>
      </c>
      <c r="G482" s="4">
        <f t="shared" ca="1" si="21"/>
        <v>12</v>
      </c>
      <c r="H482" s="4">
        <v>2</v>
      </c>
      <c r="I482">
        <f t="shared" ca="1" si="22"/>
        <v>24</v>
      </c>
      <c r="J482">
        <f t="shared" si="23"/>
        <v>7</v>
      </c>
      <c r="K482" t="str">
        <f>VLOOKUP(E482,地区表!$A$2:$C$255,3,FALSE)</f>
        <v>中南</v>
      </c>
      <c r="L482" s="23" t="str" cm="1">
        <f t="array" ref="L482:N482">_xlfn.TEXTSPLIT(A482,"-")</f>
        <v>CN</v>
      </c>
      <c r="M482" s="22" t="str">
        <v>2206</v>
      </c>
      <c r="N482" s="22" t="str">
        <v>4054371</v>
      </c>
    </row>
    <row r="483" spans="1:14" ht="15.6">
      <c r="A483" s="4" t="s">
        <v>740</v>
      </c>
      <c r="B483" s="5">
        <v>44757.6488999676</v>
      </c>
      <c r="C483" s="5">
        <v>44763.283576294802</v>
      </c>
      <c r="D483" s="4" t="s">
        <v>94</v>
      </c>
      <c r="E483" s="4" t="s">
        <v>216</v>
      </c>
      <c r="F483" s="4" t="s">
        <v>141</v>
      </c>
      <c r="G483" s="4">
        <f t="shared" ca="1" si="21"/>
        <v>13</v>
      </c>
      <c r="H483" s="4">
        <v>3</v>
      </c>
      <c r="I483">
        <f t="shared" ca="1" si="22"/>
        <v>39</v>
      </c>
      <c r="J483">
        <f t="shared" si="23"/>
        <v>7</v>
      </c>
      <c r="K483" t="str">
        <f>VLOOKUP(E483,地区表!$A$2:$C$255,3,FALSE)</f>
        <v>中南</v>
      </c>
      <c r="L483" s="23" t="str" cm="1">
        <f t="array" ref="L483:N483">_xlfn.TEXTSPLIT(A483,"-")</f>
        <v>CN</v>
      </c>
      <c r="M483" s="22" t="str">
        <v>2206</v>
      </c>
      <c r="N483" s="22" t="str">
        <v>4054371</v>
      </c>
    </row>
    <row r="484" spans="1:14" ht="15.6">
      <c r="A484" s="4" t="s">
        <v>512</v>
      </c>
      <c r="B484" s="5">
        <v>44561.495239389202</v>
      </c>
      <c r="C484" s="5">
        <v>44563.163667659603</v>
      </c>
      <c r="D484" s="4" t="s">
        <v>98</v>
      </c>
      <c r="E484" s="4" t="s">
        <v>513</v>
      </c>
      <c r="F484" s="4" t="s">
        <v>118</v>
      </c>
      <c r="G484" s="4">
        <f t="shared" ca="1" si="21"/>
        <v>94</v>
      </c>
      <c r="H484" s="4">
        <v>5</v>
      </c>
      <c r="I484">
        <f t="shared" ca="1" si="22"/>
        <v>470</v>
      </c>
      <c r="J484">
        <f t="shared" si="23"/>
        <v>12</v>
      </c>
      <c r="K484" t="str">
        <f>VLOOKUP(E484,地区表!$A$2:$C$255,3,FALSE)</f>
        <v>中南</v>
      </c>
      <c r="L484" s="23" t="str" cm="1">
        <f t="array" ref="L484:N484">_xlfn.TEXTSPLIT(A484,"-")</f>
        <v>US</v>
      </c>
      <c r="M484" s="22" t="str">
        <v>3105</v>
      </c>
      <c r="N484" s="22" t="str">
        <v>1346492</v>
      </c>
    </row>
    <row r="485" spans="1:14" ht="15.6">
      <c r="A485" s="4" t="s">
        <v>298</v>
      </c>
      <c r="B485" s="5">
        <v>44288.953682130697</v>
      </c>
      <c r="C485" s="5">
        <v>44292.788892532102</v>
      </c>
      <c r="D485" s="4" t="s">
        <v>94</v>
      </c>
      <c r="E485" s="4" t="s">
        <v>299</v>
      </c>
      <c r="F485" s="4" t="s">
        <v>121</v>
      </c>
      <c r="G485" s="4">
        <f t="shared" ca="1" si="21"/>
        <v>45</v>
      </c>
      <c r="H485" s="4">
        <v>8</v>
      </c>
      <c r="I485">
        <f t="shared" ca="1" si="22"/>
        <v>360</v>
      </c>
      <c r="J485">
        <f t="shared" si="23"/>
        <v>4</v>
      </c>
      <c r="K485" t="str">
        <f>VLOOKUP(E485,地区表!$A$2:$C$255,3,FALSE)</f>
        <v>中南</v>
      </c>
      <c r="L485" s="23" t="str" cm="1">
        <f t="array" ref="L485:N485">_xlfn.TEXTSPLIT(A485,"-")</f>
        <v>US</v>
      </c>
      <c r="M485" s="22" t="str">
        <v>2832</v>
      </c>
      <c r="N485" s="22" t="str">
        <v>4870971</v>
      </c>
    </row>
    <row r="486" spans="1:14" ht="15.6">
      <c r="A486" s="4" t="s">
        <v>298</v>
      </c>
      <c r="B486" s="5">
        <v>44288.956365981903</v>
      </c>
      <c r="C486" s="5">
        <v>44292.402787910702</v>
      </c>
      <c r="D486" s="4" t="s">
        <v>94</v>
      </c>
      <c r="E486" s="4" t="s">
        <v>299</v>
      </c>
      <c r="F486" s="4" t="s">
        <v>122</v>
      </c>
      <c r="G486" s="4">
        <f t="shared" ca="1" si="21"/>
        <v>32</v>
      </c>
      <c r="H486" s="4">
        <v>4</v>
      </c>
      <c r="I486">
        <f t="shared" ca="1" si="22"/>
        <v>128</v>
      </c>
      <c r="J486">
        <f t="shared" si="23"/>
        <v>4</v>
      </c>
      <c r="K486" t="str">
        <f>VLOOKUP(E486,地区表!$A$2:$C$255,3,FALSE)</f>
        <v>中南</v>
      </c>
      <c r="L486" s="23" t="str" cm="1">
        <f t="array" ref="L486:N486">_xlfn.TEXTSPLIT(A486,"-")</f>
        <v>US</v>
      </c>
      <c r="M486" s="22" t="str">
        <v>2832</v>
      </c>
      <c r="N486" s="22" t="str">
        <v>4870971</v>
      </c>
    </row>
    <row r="487" spans="1:14" ht="15.6">
      <c r="A487" s="4" t="s">
        <v>93</v>
      </c>
      <c r="B487" s="5">
        <v>44438.029942054804</v>
      </c>
      <c r="C487" s="5">
        <v>44440.856329397997</v>
      </c>
      <c r="D487" s="4" t="s">
        <v>94</v>
      </c>
      <c r="E487" s="4" t="s">
        <v>95</v>
      </c>
      <c r="F487" s="4" t="s">
        <v>96</v>
      </c>
      <c r="G487" s="4">
        <f t="shared" ca="1" si="21"/>
        <v>51</v>
      </c>
      <c r="H487" s="4">
        <v>2</v>
      </c>
      <c r="I487">
        <f t="shared" ca="1" si="22"/>
        <v>102</v>
      </c>
      <c r="J487">
        <f t="shared" si="23"/>
        <v>8</v>
      </c>
      <c r="K487" t="str">
        <f>VLOOKUP(E487,地区表!$A$2:$C$255,3,FALSE)</f>
        <v>华东</v>
      </c>
      <c r="L487" s="23" t="str" cm="1">
        <f t="array" ref="L487:N487">_xlfn.TEXTSPLIT(A487,"-")</f>
        <v>US</v>
      </c>
      <c r="M487" s="22" t="str">
        <v>2982</v>
      </c>
      <c r="N487" s="22" t="str">
        <v>1357144</v>
      </c>
    </row>
    <row r="488" spans="1:14" ht="15.6">
      <c r="A488" s="4" t="s">
        <v>224</v>
      </c>
      <c r="B488" s="5">
        <v>44730.537367033401</v>
      </c>
      <c r="C488" s="5">
        <v>44736.841303782501</v>
      </c>
      <c r="D488" s="4" t="s">
        <v>98</v>
      </c>
      <c r="E488" s="4" t="s">
        <v>95</v>
      </c>
      <c r="F488" s="4" t="s">
        <v>110</v>
      </c>
      <c r="G488" s="4">
        <f t="shared" ca="1" si="21"/>
        <v>86</v>
      </c>
      <c r="H488" s="4">
        <v>2</v>
      </c>
      <c r="I488">
        <f t="shared" ca="1" si="22"/>
        <v>172</v>
      </c>
      <c r="J488">
        <f t="shared" si="23"/>
        <v>6</v>
      </c>
      <c r="K488" t="str">
        <f>VLOOKUP(E488,地区表!$A$2:$C$255,3,FALSE)</f>
        <v>华东</v>
      </c>
      <c r="L488" s="23" t="str" cm="1">
        <f t="array" ref="L488:N488">_xlfn.TEXTSPLIT(A488,"-")</f>
        <v>CN</v>
      </c>
      <c r="M488" s="22" t="str">
        <v>2179</v>
      </c>
      <c r="N488" s="22" t="str">
        <v>2594036</v>
      </c>
    </row>
    <row r="489" spans="1:14" ht="15.6">
      <c r="A489" s="4" t="s">
        <v>225</v>
      </c>
      <c r="B489" s="5">
        <v>44677.314027348002</v>
      </c>
      <c r="C489" s="5">
        <v>44679.168623100602</v>
      </c>
      <c r="D489" s="4" t="s">
        <v>94</v>
      </c>
      <c r="E489" s="4" t="s">
        <v>95</v>
      </c>
      <c r="F489" s="4" t="s">
        <v>121</v>
      </c>
      <c r="G489" s="4">
        <f t="shared" ca="1" si="21"/>
        <v>94</v>
      </c>
      <c r="H489" s="4">
        <v>5</v>
      </c>
      <c r="I489">
        <f t="shared" ca="1" si="22"/>
        <v>470</v>
      </c>
      <c r="J489">
        <f t="shared" si="23"/>
        <v>4</v>
      </c>
      <c r="K489" t="str">
        <f>VLOOKUP(E489,地区表!$A$2:$C$255,3,FALSE)</f>
        <v>华东</v>
      </c>
      <c r="L489" s="23" t="str" cm="1">
        <f t="array" ref="L489:N489">_xlfn.TEXTSPLIT(A489,"-")</f>
        <v>US</v>
      </c>
      <c r="M489" s="22" t="str">
        <v>2126</v>
      </c>
      <c r="N489" s="22" t="str">
        <v>3737485</v>
      </c>
    </row>
    <row r="490" spans="1:14" ht="15.6">
      <c r="A490" s="4" t="s">
        <v>274</v>
      </c>
      <c r="B490" s="5">
        <v>45280.628823310602</v>
      </c>
      <c r="C490" s="5">
        <v>45284.008250202802</v>
      </c>
      <c r="D490" s="4" t="s">
        <v>98</v>
      </c>
      <c r="E490" s="4" t="s">
        <v>95</v>
      </c>
      <c r="F490" s="4" t="s">
        <v>135</v>
      </c>
      <c r="G490" s="4">
        <f t="shared" ca="1" si="21"/>
        <v>22</v>
      </c>
      <c r="H490" s="4">
        <v>5</v>
      </c>
      <c r="I490">
        <f t="shared" ca="1" si="22"/>
        <v>110</v>
      </c>
      <c r="J490">
        <f t="shared" si="23"/>
        <v>12</v>
      </c>
      <c r="K490" t="str">
        <f>VLOOKUP(E490,地区表!$A$2:$C$255,3,FALSE)</f>
        <v>华东</v>
      </c>
      <c r="L490" s="23" t="str" cm="1">
        <f t="array" ref="L490:N490">_xlfn.TEXTSPLIT(A490,"-")</f>
        <v>CN</v>
      </c>
      <c r="M490" s="22" t="str">
        <v>2729</v>
      </c>
      <c r="N490" s="22" t="str">
        <v>2866628</v>
      </c>
    </row>
    <row r="491" spans="1:14" ht="15.6">
      <c r="A491" s="4" t="s">
        <v>414</v>
      </c>
      <c r="B491" s="5">
        <v>45094.979580628598</v>
      </c>
      <c r="C491" s="5">
        <v>45098.132566457098</v>
      </c>
      <c r="D491" s="4" t="s">
        <v>98</v>
      </c>
      <c r="E491" s="4" t="s">
        <v>95</v>
      </c>
      <c r="F491" s="4" t="s">
        <v>101</v>
      </c>
      <c r="G491" s="4">
        <f t="shared" ca="1" si="21"/>
        <v>22</v>
      </c>
      <c r="H491" s="4">
        <v>4</v>
      </c>
      <c r="I491">
        <f t="shared" ca="1" si="22"/>
        <v>88</v>
      </c>
      <c r="J491">
        <f t="shared" si="23"/>
        <v>6</v>
      </c>
      <c r="K491" t="str">
        <f>VLOOKUP(E491,地区表!$A$2:$C$255,3,FALSE)</f>
        <v>华东</v>
      </c>
      <c r="L491" s="23" t="str" cm="1">
        <f t="array" ref="L491:N491">_xlfn.TEXTSPLIT(A491,"-")</f>
        <v>CN</v>
      </c>
      <c r="M491" s="22" t="str">
        <v>2543</v>
      </c>
      <c r="N491" s="22" t="str">
        <v>4347413</v>
      </c>
    </row>
    <row r="492" spans="1:14" ht="15.6">
      <c r="A492" s="4" t="s">
        <v>414</v>
      </c>
      <c r="B492" s="5">
        <v>45094.699115262098</v>
      </c>
      <c r="C492" s="5">
        <v>45098.565686845097</v>
      </c>
      <c r="D492" s="4" t="s">
        <v>98</v>
      </c>
      <c r="E492" s="4" t="s">
        <v>95</v>
      </c>
      <c r="F492" s="4" t="s">
        <v>109</v>
      </c>
      <c r="G492" s="4">
        <f t="shared" ca="1" si="21"/>
        <v>82</v>
      </c>
      <c r="H492" s="4">
        <v>3</v>
      </c>
      <c r="I492">
        <f t="shared" ca="1" si="22"/>
        <v>246</v>
      </c>
      <c r="J492">
        <f t="shared" si="23"/>
        <v>6</v>
      </c>
      <c r="K492" t="str">
        <f>VLOOKUP(E492,地区表!$A$2:$C$255,3,FALSE)</f>
        <v>华东</v>
      </c>
      <c r="L492" s="23" t="str" cm="1">
        <f t="array" ref="L492:N492">_xlfn.TEXTSPLIT(A492,"-")</f>
        <v>CN</v>
      </c>
      <c r="M492" s="22" t="str">
        <v>2543</v>
      </c>
      <c r="N492" s="22" t="str">
        <v>4347413</v>
      </c>
    </row>
    <row r="493" spans="1:14" ht="15.6">
      <c r="A493" s="4" t="s">
        <v>420</v>
      </c>
      <c r="B493" s="5">
        <v>44524.904687545401</v>
      </c>
      <c r="C493" s="5">
        <v>44528.285308695602</v>
      </c>
      <c r="D493" s="4" t="s">
        <v>114</v>
      </c>
      <c r="E493" s="4" t="s">
        <v>95</v>
      </c>
      <c r="F493" s="4" t="s">
        <v>112</v>
      </c>
      <c r="G493" s="4">
        <f t="shared" ca="1" si="21"/>
        <v>78</v>
      </c>
      <c r="H493" s="4">
        <v>5</v>
      </c>
      <c r="I493">
        <f t="shared" ca="1" si="22"/>
        <v>390</v>
      </c>
      <c r="J493">
        <f t="shared" si="23"/>
        <v>11</v>
      </c>
      <c r="K493" t="str">
        <f>VLOOKUP(E493,地区表!$A$2:$C$255,3,FALSE)</f>
        <v>华东</v>
      </c>
      <c r="L493" s="23" t="str" cm="1">
        <f t="array" ref="L493:N493">_xlfn.TEXTSPLIT(A493,"-")</f>
        <v>US</v>
      </c>
      <c r="M493" s="22" t="str">
        <v>3068</v>
      </c>
      <c r="N493" s="22" t="str">
        <v>5444149</v>
      </c>
    </row>
    <row r="494" spans="1:14" ht="15.6">
      <c r="A494" s="4" t="s">
        <v>446</v>
      </c>
      <c r="B494" s="5">
        <v>44636.080219523399</v>
      </c>
      <c r="C494" s="5">
        <v>44640.243550355801</v>
      </c>
      <c r="D494" s="4" t="s">
        <v>98</v>
      </c>
      <c r="E494" s="4" t="s">
        <v>95</v>
      </c>
      <c r="F494" s="4" t="s">
        <v>96</v>
      </c>
      <c r="G494" s="4">
        <f t="shared" ca="1" si="21"/>
        <v>60</v>
      </c>
      <c r="H494" s="4">
        <v>5</v>
      </c>
      <c r="I494">
        <f t="shared" ca="1" si="22"/>
        <v>300</v>
      </c>
      <c r="J494">
        <f t="shared" si="23"/>
        <v>3</v>
      </c>
      <c r="K494" t="str">
        <f>VLOOKUP(E494,地区表!$A$2:$C$255,3,FALSE)</f>
        <v>华东</v>
      </c>
      <c r="L494" s="23" t="str" cm="1">
        <f t="array" ref="L494:N494">_xlfn.TEXTSPLIT(A494,"-")</f>
        <v>US</v>
      </c>
      <c r="M494" s="22" t="str">
        <v>2085</v>
      </c>
      <c r="N494" s="22" t="str">
        <v>5552260</v>
      </c>
    </row>
    <row r="495" spans="1:14" ht="15.6">
      <c r="A495" s="4" t="s">
        <v>531</v>
      </c>
      <c r="B495" s="5">
        <v>45274.133782768098</v>
      </c>
      <c r="C495" s="5">
        <v>45276.875007806499</v>
      </c>
      <c r="D495" s="4" t="s">
        <v>98</v>
      </c>
      <c r="E495" s="4" t="s">
        <v>95</v>
      </c>
      <c r="F495" s="4" t="s">
        <v>121</v>
      </c>
      <c r="G495" s="4">
        <f t="shared" ca="1" si="21"/>
        <v>69</v>
      </c>
      <c r="H495" s="4">
        <v>4</v>
      </c>
      <c r="I495">
        <f t="shared" ca="1" si="22"/>
        <v>276</v>
      </c>
      <c r="J495">
        <f t="shared" si="23"/>
        <v>12</v>
      </c>
      <c r="K495" t="str">
        <f>VLOOKUP(E495,地区表!$A$2:$C$255,3,FALSE)</f>
        <v>华东</v>
      </c>
      <c r="L495" s="23" t="str" cm="1">
        <f t="array" ref="L495:N495">_xlfn.TEXTSPLIT(A495,"-")</f>
        <v>US</v>
      </c>
      <c r="M495" s="22" t="str">
        <v>1992</v>
      </c>
      <c r="N495" s="22" t="str">
        <v>1597983</v>
      </c>
    </row>
    <row r="496" spans="1:14" ht="15.6">
      <c r="A496" s="4" t="s">
        <v>531</v>
      </c>
      <c r="B496" s="5">
        <v>45274.831991339401</v>
      </c>
      <c r="C496" s="5">
        <v>45276.215125970499</v>
      </c>
      <c r="D496" s="4" t="s">
        <v>98</v>
      </c>
      <c r="E496" s="4" t="s">
        <v>95</v>
      </c>
      <c r="F496" s="4" t="s">
        <v>122</v>
      </c>
      <c r="G496" s="4">
        <f t="shared" ca="1" si="21"/>
        <v>45</v>
      </c>
      <c r="H496" s="4">
        <v>3</v>
      </c>
      <c r="I496">
        <f t="shared" ca="1" si="22"/>
        <v>135</v>
      </c>
      <c r="J496">
        <f t="shared" si="23"/>
        <v>12</v>
      </c>
      <c r="K496" t="str">
        <f>VLOOKUP(E496,地区表!$A$2:$C$255,3,FALSE)</f>
        <v>华东</v>
      </c>
      <c r="L496" s="23" t="str" cm="1">
        <f t="array" ref="L496:N496">_xlfn.TEXTSPLIT(A496,"-")</f>
        <v>US</v>
      </c>
      <c r="M496" s="22" t="str">
        <v>1992</v>
      </c>
      <c r="N496" s="22" t="str">
        <v>1597983</v>
      </c>
    </row>
    <row r="497" spans="1:14" ht="15.6">
      <c r="A497" s="4" t="s">
        <v>543</v>
      </c>
      <c r="B497" s="5">
        <v>44851.6888172826</v>
      </c>
      <c r="C497" s="5">
        <v>44857.661552260499</v>
      </c>
      <c r="D497" s="4" t="s">
        <v>98</v>
      </c>
      <c r="E497" s="4" t="s">
        <v>95</v>
      </c>
      <c r="F497" s="4" t="s">
        <v>110</v>
      </c>
      <c r="G497" s="4">
        <f t="shared" ca="1" si="21"/>
        <v>25</v>
      </c>
      <c r="H497" s="4">
        <v>2</v>
      </c>
      <c r="I497">
        <f t="shared" ca="1" si="22"/>
        <v>50</v>
      </c>
      <c r="J497">
        <f t="shared" si="23"/>
        <v>10</v>
      </c>
      <c r="K497" t="str">
        <f>VLOOKUP(E497,地区表!$A$2:$C$255,3,FALSE)</f>
        <v>华东</v>
      </c>
      <c r="L497" s="23" t="str" cm="1">
        <f t="array" ref="L497:N497">_xlfn.TEXTSPLIT(A497,"-")</f>
        <v>US</v>
      </c>
      <c r="M497" s="22" t="str">
        <v>2300</v>
      </c>
      <c r="N497" s="22" t="str">
        <v>5007229</v>
      </c>
    </row>
    <row r="498" spans="1:14" ht="15.6">
      <c r="A498" s="4" t="s">
        <v>543</v>
      </c>
      <c r="B498" s="5">
        <v>44851.894101401602</v>
      </c>
      <c r="C498" s="5">
        <v>44857.227308624897</v>
      </c>
      <c r="D498" s="4" t="s">
        <v>98</v>
      </c>
      <c r="E498" s="4" t="s">
        <v>95</v>
      </c>
      <c r="F498" s="4" t="s">
        <v>100</v>
      </c>
      <c r="G498" s="4">
        <f t="shared" ca="1" si="21"/>
        <v>79</v>
      </c>
      <c r="H498" s="4">
        <v>2</v>
      </c>
      <c r="I498">
        <f t="shared" ca="1" si="22"/>
        <v>158</v>
      </c>
      <c r="J498">
        <f t="shared" si="23"/>
        <v>10</v>
      </c>
      <c r="K498" t="str">
        <f>VLOOKUP(E498,地区表!$A$2:$C$255,3,FALSE)</f>
        <v>华东</v>
      </c>
      <c r="L498" s="23" t="str" cm="1">
        <f t="array" ref="L498:N498">_xlfn.TEXTSPLIT(A498,"-")</f>
        <v>US</v>
      </c>
      <c r="M498" s="22" t="str">
        <v>2300</v>
      </c>
      <c r="N498" s="22" t="str">
        <v>5007229</v>
      </c>
    </row>
    <row r="499" spans="1:14" ht="15.6">
      <c r="A499" s="4" t="s">
        <v>586</v>
      </c>
      <c r="B499" s="5">
        <v>44223.021581943802</v>
      </c>
      <c r="C499" s="5">
        <v>44230.759341343299</v>
      </c>
      <c r="D499" s="4" t="s">
        <v>94</v>
      </c>
      <c r="E499" s="4" t="s">
        <v>95</v>
      </c>
      <c r="F499" s="4" t="s">
        <v>131</v>
      </c>
      <c r="G499" s="4">
        <f t="shared" ca="1" si="21"/>
        <v>65</v>
      </c>
      <c r="H499" s="4">
        <v>1</v>
      </c>
      <c r="I499">
        <f t="shared" ca="1" si="22"/>
        <v>65</v>
      </c>
      <c r="J499">
        <f t="shared" si="23"/>
        <v>1</v>
      </c>
      <c r="K499" t="str">
        <f>VLOOKUP(E499,地区表!$A$2:$C$255,3,FALSE)</f>
        <v>华东</v>
      </c>
      <c r="L499" s="23" t="str" cm="1">
        <f t="array" ref="L499:N499">_xlfn.TEXTSPLIT(A499,"-")</f>
        <v>CN</v>
      </c>
      <c r="M499" s="22" t="str">
        <v>2767</v>
      </c>
      <c r="N499" s="22" t="str">
        <v>1067897</v>
      </c>
    </row>
    <row r="500" spans="1:14" ht="15.6">
      <c r="A500" s="4" t="s">
        <v>586</v>
      </c>
      <c r="B500" s="5">
        <v>44223.812356743103</v>
      </c>
      <c r="C500" s="5">
        <v>44230.070441311</v>
      </c>
      <c r="D500" s="4" t="s">
        <v>94</v>
      </c>
      <c r="E500" s="4" t="s">
        <v>95</v>
      </c>
      <c r="F500" s="4" t="s">
        <v>109</v>
      </c>
      <c r="G500" s="4">
        <f t="shared" ca="1" si="21"/>
        <v>19</v>
      </c>
      <c r="H500" s="4">
        <v>2</v>
      </c>
      <c r="I500">
        <f t="shared" ca="1" si="22"/>
        <v>38</v>
      </c>
      <c r="J500">
        <f t="shared" si="23"/>
        <v>1</v>
      </c>
      <c r="K500" t="str">
        <f>VLOOKUP(E500,地区表!$A$2:$C$255,3,FALSE)</f>
        <v>华东</v>
      </c>
      <c r="L500" s="23" t="str" cm="1">
        <f t="array" ref="L500:N500">_xlfn.TEXTSPLIT(A500,"-")</f>
        <v>CN</v>
      </c>
      <c r="M500" s="22" t="str">
        <v>2767</v>
      </c>
      <c r="N500" s="22" t="str">
        <v>1067897</v>
      </c>
    </row>
    <row r="501" spans="1:14" ht="15.6">
      <c r="A501" s="4" t="s">
        <v>759</v>
      </c>
      <c r="B501" s="5">
        <v>44639.477343275597</v>
      </c>
      <c r="C501" s="5">
        <v>44645.384421203198</v>
      </c>
      <c r="D501" s="4" t="s">
        <v>98</v>
      </c>
      <c r="E501" s="4" t="s">
        <v>95</v>
      </c>
      <c r="F501" s="4" t="s">
        <v>112</v>
      </c>
      <c r="G501" s="4">
        <f t="shared" ca="1" si="21"/>
        <v>21</v>
      </c>
      <c r="H501" s="4">
        <v>2</v>
      </c>
      <c r="I501">
        <f t="shared" ca="1" si="22"/>
        <v>42</v>
      </c>
      <c r="J501">
        <f t="shared" si="23"/>
        <v>3</v>
      </c>
      <c r="K501" t="str">
        <f>VLOOKUP(E501,地区表!$A$2:$C$255,3,FALSE)</f>
        <v>华东</v>
      </c>
      <c r="L501" s="23" t="str" cm="1">
        <f t="array" ref="L501:N501">_xlfn.TEXTSPLIT(A501,"-")</f>
        <v>US</v>
      </c>
      <c r="M501" s="22" t="str">
        <v>2088</v>
      </c>
      <c r="N501" s="22" t="str">
        <v>4164715</v>
      </c>
    </row>
    <row r="502" spans="1:14" ht="15.6">
      <c r="A502" s="4" t="s">
        <v>626</v>
      </c>
      <c r="B502" s="5">
        <v>44859.010145411201</v>
      </c>
      <c r="C502" s="5">
        <v>44863.485862814399</v>
      </c>
      <c r="D502" s="4" t="s">
        <v>94</v>
      </c>
      <c r="E502" s="4" t="s">
        <v>627</v>
      </c>
      <c r="F502" s="4" t="s">
        <v>106</v>
      </c>
      <c r="G502" s="4">
        <f t="shared" ca="1" si="21"/>
        <v>74</v>
      </c>
      <c r="H502" s="4">
        <v>3</v>
      </c>
      <c r="I502">
        <f t="shared" ca="1" si="22"/>
        <v>222</v>
      </c>
      <c r="J502">
        <f t="shared" si="23"/>
        <v>10</v>
      </c>
      <c r="K502" t="str">
        <f>VLOOKUP(E502,地区表!$A$2:$C$255,3,FALSE)</f>
        <v>东北</v>
      </c>
      <c r="L502" s="23" t="str" cm="1">
        <f t="array" ref="L502:N502">_xlfn.TEXTSPLIT(A502,"-")</f>
        <v>US</v>
      </c>
      <c r="M502" s="22" t="str">
        <v>2308</v>
      </c>
      <c r="N502" s="22" t="str">
        <v>4246507</v>
      </c>
    </row>
    <row r="503" spans="1:14" ht="15.6">
      <c r="A503" s="4" t="s">
        <v>626</v>
      </c>
      <c r="B503" s="5">
        <v>44859.615617598902</v>
      </c>
      <c r="C503" s="5">
        <v>44863.156038185698</v>
      </c>
      <c r="D503" s="4" t="s">
        <v>94</v>
      </c>
      <c r="E503" s="4" t="s">
        <v>627</v>
      </c>
      <c r="F503" s="4" t="s">
        <v>130</v>
      </c>
      <c r="G503" s="4">
        <f t="shared" ca="1" si="21"/>
        <v>52</v>
      </c>
      <c r="H503" s="4">
        <v>1</v>
      </c>
      <c r="I503">
        <f t="shared" ca="1" si="22"/>
        <v>52</v>
      </c>
      <c r="J503">
        <f t="shared" si="23"/>
        <v>10</v>
      </c>
      <c r="K503" t="str">
        <f>VLOOKUP(E503,地区表!$A$2:$C$255,3,FALSE)</f>
        <v>东北</v>
      </c>
      <c r="L503" s="23" t="str" cm="1">
        <f t="array" ref="L503:N503">_xlfn.TEXTSPLIT(A503,"-")</f>
        <v>US</v>
      </c>
      <c r="M503" s="22" t="str">
        <v>2308</v>
      </c>
      <c r="N503" s="22" t="str">
        <v>4246507</v>
      </c>
    </row>
    <row r="504" spans="1:14" ht="15.6">
      <c r="A504" s="4" t="s">
        <v>626</v>
      </c>
      <c r="B504" s="5">
        <v>44859.897940503899</v>
      </c>
      <c r="C504" s="5">
        <v>44863.020382267801</v>
      </c>
      <c r="D504" s="4" t="s">
        <v>94</v>
      </c>
      <c r="E504" s="4" t="s">
        <v>627</v>
      </c>
      <c r="F504" s="4" t="s">
        <v>111</v>
      </c>
      <c r="G504" s="4">
        <f t="shared" ca="1" si="21"/>
        <v>43</v>
      </c>
      <c r="H504" s="4">
        <v>1</v>
      </c>
      <c r="I504">
        <f t="shared" ca="1" si="22"/>
        <v>43</v>
      </c>
      <c r="J504">
        <f t="shared" si="23"/>
        <v>10</v>
      </c>
      <c r="K504" t="str">
        <f>VLOOKUP(E504,地区表!$A$2:$C$255,3,FALSE)</f>
        <v>东北</v>
      </c>
      <c r="L504" s="23" t="str" cm="1">
        <f t="array" ref="L504:N504">_xlfn.TEXTSPLIT(A504,"-")</f>
        <v>US</v>
      </c>
      <c r="M504" s="22" t="str">
        <v>2308</v>
      </c>
      <c r="N504" s="22" t="str">
        <v>4246507</v>
      </c>
    </row>
    <row r="505" spans="1:14" ht="15.6">
      <c r="A505" s="4" t="s">
        <v>626</v>
      </c>
      <c r="B505" s="5">
        <v>44859.292518502203</v>
      </c>
      <c r="C505" s="5">
        <v>44863.010194246301</v>
      </c>
      <c r="D505" s="4" t="s">
        <v>94</v>
      </c>
      <c r="E505" s="4" t="s">
        <v>627</v>
      </c>
      <c r="F505" s="4" t="s">
        <v>125</v>
      </c>
      <c r="G505" s="4">
        <f t="shared" ca="1" si="21"/>
        <v>40</v>
      </c>
      <c r="H505" s="4">
        <v>2</v>
      </c>
      <c r="I505">
        <f t="shared" ca="1" si="22"/>
        <v>80</v>
      </c>
      <c r="J505">
        <f t="shared" si="23"/>
        <v>10</v>
      </c>
      <c r="K505" t="str">
        <f>VLOOKUP(E505,地区表!$A$2:$C$255,3,FALSE)</f>
        <v>东北</v>
      </c>
      <c r="L505" s="23" t="str" cm="1">
        <f t="array" ref="L505:N505">_xlfn.TEXTSPLIT(A505,"-")</f>
        <v>US</v>
      </c>
      <c r="M505" s="22" t="str">
        <v>2308</v>
      </c>
      <c r="N505" s="22" t="str">
        <v>4246507</v>
      </c>
    </row>
    <row r="506" spans="1:14" ht="15.6">
      <c r="A506" s="4" t="s">
        <v>626</v>
      </c>
      <c r="B506" s="5">
        <v>44859.648706447602</v>
      </c>
      <c r="C506" s="5">
        <v>44863.258708248402</v>
      </c>
      <c r="D506" s="4" t="s">
        <v>94</v>
      </c>
      <c r="E506" s="4" t="s">
        <v>627</v>
      </c>
      <c r="F506" s="4" t="s">
        <v>130</v>
      </c>
      <c r="G506" s="4">
        <f t="shared" ca="1" si="21"/>
        <v>10</v>
      </c>
      <c r="H506" s="4">
        <v>5</v>
      </c>
      <c r="I506">
        <f t="shared" ca="1" si="22"/>
        <v>50</v>
      </c>
      <c r="J506">
        <f t="shared" si="23"/>
        <v>10</v>
      </c>
      <c r="K506" t="str">
        <f>VLOOKUP(E506,地区表!$A$2:$C$255,3,FALSE)</f>
        <v>东北</v>
      </c>
      <c r="L506" s="23" t="str" cm="1">
        <f t="array" ref="L506:N506">_xlfn.TEXTSPLIT(A506,"-")</f>
        <v>US</v>
      </c>
      <c r="M506" s="22" t="str">
        <v>2308</v>
      </c>
      <c r="N506" s="22" t="str">
        <v>4246507</v>
      </c>
    </row>
    <row r="507" spans="1:14" ht="15.6">
      <c r="A507" s="4" t="s">
        <v>306</v>
      </c>
      <c r="B507" s="5">
        <v>45081.324204782897</v>
      </c>
      <c r="C507" s="5">
        <v>45085.249475158103</v>
      </c>
      <c r="D507" s="4" t="s">
        <v>98</v>
      </c>
      <c r="E507" s="4" t="s">
        <v>307</v>
      </c>
      <c r="F507" s="4" t="s">
        <v>141</v>
      </c>
      <c r="G507" s="4">
        <f t="shared" ca="1" si="21"/>
        <v>73</v>
      </c>
      <c r="H507" s="4">
        <v>2</v>
      </c>
      <c r="I507">
        <f t="shared" ca="1" si="22"/>
        <v>146</v>
      </c>
      <c r="J507">
        <f t="shared" si="23"/>
        <v>6</v>
      </c>
      <c r="K507" t="str">
        <f>VLOOKUP(E507,地区表!$A$2:$C$255,3,FALSE)</f>
        <v>东北</v>
      </c>
      <c r="L507" s="23" t="str" cm="1">
        <f t="array" ref="L507:N507">_xlfn.TEXTSPLIT(A507,"-")</f>
        <v>US</v>
      </c>
      <c r="M507" s="22" t="str">
        <v>1799</v>
      </c>
      <c r="N507" s="22" t="str">
        <v>1255631</v>
      </c>
    </row>
    <row r="508" spans="1:14" ht="15.6">
      <c r="A508" s="4" t="s">
        <v>306</v>
      </c>
      <c r="B508" s="5">
        <v>45081.177155413003</v>
      </c>
      <c r="C508" s="5">
        <v>45085.276745141397</v>
      </c>
      <c r="D508" s="4" t="s">
        <v>98</v>
      </c>
      <c r="E508" s="4" t="s">
        <v>307</v>
      </c>
      <c r="F508" s="4" t="s">
        <v>96</v>
      </c>
      <c r="G508" s="4">
        <f t="shared" ca="1" si="21"/>
        <v>77</v>
      </c>
      <c r="H508" s="4">
        <v>4</v>
      </c>
      <c r="I508">
        <f t="shared" ca="1" si="22"/>
        <v>308</v>
      </c>
      <c r="J508">
        <f t="shared" si="23"/>
        <v>6</v>
      </c>
      <c r="K508" t="str">
        <f>VLOOKUP(E508,地区表!$A$2:$C$255,3,FALSE)</f>
        <v>东北</v>
      </c>
      <c r="L508" s="23" t="str" cm="1">
        <f t="array" ref="L508:N508">_xlfn.TEXTSPLIT(A508,"-")</f>
        <v>US</v>
      </c>
      <c r="M508" s="22" t="str">
        <v>1799</v>
      </c>
      <c r="N508" s="22" t="str">
        <v>1255631</v>
      </c>
    </row>
    <row r="509" spans="1:14" ht="15.6">
      <c r="A509" s="4" t="s">
        <v>306</v>
      </c>
      <c r="B509" s="5">
        <v>45081.214797272303</v>
      </c>
      <c r="C509" s="5">
        <v>45085.116327206597</v>
      </c>
      <c r="D509" s="4" t="s">
        <v>98</v>
      </c>
      <c r="E509" s="4" t="s">
        <v>307</v>
      </c>
      <c r="F509" s="4" t="s">
        <v>125</v>
      </c>
      <c r="G509" s="4">
        <f t="shared" ca="1" si="21"/>
        <v>13</v>
      </c>
      <c r="H509" s="4">
        <v>3</v>
      </c>
      <c r="I509">
        <f t="shared" ca="1" si="22"/>
        <v>39</v>
      </c>
      <c r="J509">
        <f t="shared" si="23"/>
        <v>6</v>
      </c>
      <c r="K509" t="str">
        <f>VLOOKUP(E509,地区表!$A$2:$C$255,3,FALSE)</f>
        <v>东北</v>
      </c>
      <c r="L509" s="23" t="str" cm="1">
        <f t="array" ref="L509:N509">_xlfn.TEXTSPLIT(A509,"-")</f>
        <v>US</v>
      </c>
      <c r="M509" s="22" t="str">
        <v>1799</v>
      </c>
      <c r="N509" s="22" t="str">
        <v>1255631</v>
      </c>
    </row>
    <row r="510" spans="1:14" ht="15.6">
      <c r="A510" s="4" t="s">
        <v>306</v>
      </c>
      <c r="B510" s="5">
        <v>45081.598141577502</v>
      </c>
      <c r="C510" s="5">
        <v>45085.164477953003</v>
      </c>
      <c r="D510" s="4" t="s">
        <v>98</v>
      </c>
      <c r="E510" s="4" t="s">
        <v>307</v>
      </c>
      <c r="F510" s="4" t="s">
        <v>121</v>
      </c>
      <c r="G510" s="4">
        <f t="shared" ca="1" si="21"/>
        <v>78</v>
      </c>
      <c r="H510" s="4">
        <v>5</v>
      </c>
      <c r="I510">
        <f t="shared" ca="1" si="22"/>
        <v>390</v>
      </c>
      <c r="J510">
        <f t="shared" si="23"/>
        <v>6</v>
      </c>
      <c r="K510" t="str">
        <f>VLOOKUP(E510,地区表!$A$2:$C$255,3,FALSE)</f>
        <v>东北</v>
      </c>
      <c r="L510" s="23" t="str" cm="1">
        <f t="array" ref="L510:N510">_xlfn.TEXTSPLIT(A510,"-")</f>
        <v>US</v>
      </c>
      <c r="M510" s="22" t="str">
        <v>1799</v>
      </c>
      <c r="N510" s="22" t="str">
        <v>1255631</v>
      </c>
    </row>
    <row r="511" spans="1:14" ht="15.6">
      <c r="A511" s="4" t="s">
        <v>306</v>
      </c>
      <c r="B511" s="5">
        <v>45081.358939774</v>
      </c>
      <c r="C511" s="5">
        <v>45085.485257942302</v>
      </c>
      <c r="D511" s="4" t="s">
        <v>98</v>
      </c>
      <c r="E511" s="4" t="s">
        <v>307</v>
      </c>
      <c r="F511" s="4" t="s">
        <v>101</v>
      </c>
      <c r="G511" s="4">
        <f t="shared" ca="1" si="21"/>
        <v>46</v>
      </c>
      <c r="H511" s="4">
        <v>3</v>
      </c>
      <c r="I511">
        <f t="shared" ca="1" si="22"/>
        <v>138</v>
      </c>
      <c r="J511">
        <f t="shared" si="23"/>
        <v>6</v>
      </c>
      <c r="K511" t="str">
        <f>VLOOKUP(E511,地区表!$A$2:$C$255,3,FALSE)</f>
        <v>东北</v>
      </c>
      <c r="L511" s="23" t="str" cm="1">
        <f t="array" ref="L511:N511">_xlfn.TEXTSPLIT(A511,"-")</f>
        <v>US</v>
      </c>
      <c r="M511" s="22" t="str">
        <v>1799</v>
      </c>
      <c r="N511" s="22" t="str">
        <v>1255631</v>
      </c>
    </row>
    <row r="512" spans="1:14" ht="15.6">
      <c r="A512" s="4" t="s">
        <v>306</v>
      </c>
      <c r="B512" s="5">
        <v>45081.877472002598</v>
      </c>
      <c r="C512" s="5">
        <v>45085.6485616848</v>
      </c>
      <c r="D512" s="4" t="s">
        <v>98</v>
      </c>
      <c r="E512" s="4" t="s">
        <v>307</v>
      </c>
      <c r="F512" s="4" t="s">
        <v>106</v>
      </c>
      <c r="G512" s="4">
        <f t="shared" ca="1" si="21"/>
        <v>26</v>
      </c>
      <c r="H512" s="4">
        <v>2</v>
      </c>
      <c r="I512">
        <f t="shared" ca="1" si="22"/>
        <v>52</v>
      </c>
      <c r="J512">
        <f t="shared" si="23"/>
        <v>6</v>
      </c>
      <c r="K512" t="str">
        <f>VLOOKUP(E512,地区表!$A$2:$C$255,3,FALSE)</f>
        <v>东北</v>
      </c>
      <c r="L512" s="23" t="str" cm="1">
        <f t="array" ref="L512:N512">_xlfn.TEXTSPLIT(A512,"-")</f>
        <v>US</v>
      </c>
      <c r="M512" s="22" t="str">
        <v>1799</v>
      </c>
      <c r="N512" s="22" t="str">
        <v>1255631</v>
      </c>
    </row>
    <row r="513" spans="1:14" ht="15.6">
      <c r="A513" s="4" t="s">
        <v>306</v>
      </c>
      <c r="B513" s="5">
        <v>45081.811143578998</v>
      </c>
      <c r="C513" s="5">
        <v>45085.148219605602</v>
      </c>
      <c r="D513" s="4" t="s">
        <v>98</v>
      </c>
      <c r="E513" s="4" t="s">
        <v>307</v>
      </c>
      <c r="F513" s="4" t="s">
        <v>110</v>
      </c>
      <c r="G513" s="4">
        <f t="shared" ca="1" si="21"/>
        <v>62</v>
      </c>
      <c r="H513" s="4">
        <v>4</v>
      </c>
      <c r="I513">
        <f t="shared" ca="1" si="22"/>
        <v>248</v>
      </c>
      <c r="J513">
        <f t="shared" si="23"/>
        <v>6</v>
      </c>
      <c r="K513" t="str">
        <f>VLOOKUP(E513,地区表!$A$2:$C$255,3,FALSE)</f>
        <v>东北</v>
      </c>
      <c r="L513" s="23" t="str" cm="1">
        <f t="array" ref="L513:N513">_xlfn.TEXTSPLIT(A513,"-")</f>
        <v>US</v>
      </c>
      <c r="M513" s="22" t="str">
        <v>1799</v>
      </c>
      <c r="N513" s="22" t="str">
        <v>1255631</v>
      </c>
    </row>
    <row r="514" spans="1:14" ht="15.6">
      <c r="A514" s="4" t="s">
        <v>306</v>
      </c>
      <c r="B514" s="5">
        <v>45081.144354014599</v>
      </c>
      <c r="C514" s="5">
        <v>45085.947466066398</v>
      </c>
      <c r="D514" s="4" t="s">
        <v>98</v>
      </c>
      <c r="E514" s="4" t="s">
        <v>307</v>
      </c>
      <c r="F514" s="4" t="s">
        <v>121</v>
      </c>
      <c r="G514" s="4">
        <f t="shared" ref="G514:G577" ca="1" si="24">RANDBETWEEN(10,100)</f>
        <v>90</v>
      </c>
      <c r="H514" s="4">
        <v>4</v>
      </c>
      <c r="I514">
        <f t="shared" ca="1" si="22"/>
        <v>360</v>
      </c>
      <c r="J514">
        <f t="shared" si="23"/>
        <v>6</v>
      </c>
      <c r="K514" t="str">
        <f>VLOOKUP(E514,地区表!$A$2:$C$255,3,FALSE)</f>
        <v>东北</v>
      </c>
      <c r="L514" s="23" t="str" cm="1">
        <f t="array" ref="L514:N514">_xlfn.TEXTSPLIT(A514,"-")</f>
        <v>US</v>
      </c>
      <c r="M514" s="22" t="str">
        <v>1799</v>
      </c>
      <c r="N514" s="22" t="str">
        <v>1255631</v>
      </c>
    </row>
    <row r="515" spans="1:14" ht="15.6">
      <c r="A515" s="4" t="s">
        <v>724</v>
      </c>
      <c r="B515" s="5">
        <v>44557.5656225446</v>
      </c>
      <c r="C515" s="5">
        <v>44560.299695927897</v>
      </c>
      <c r="D515" s="4" t="s">
        <v>98</v>
      </c>
      <c r="E515" s="4" t="s">
        <v>725</v>
      </c>
      <c r="F515" s="4" t="s">
        <v>106</v>
      </c>
      <c r="G515" s="4">
        <f t="shared" ca="1" si="24"/>
        <v>57</v>
      </c>
      <c r="H515" s="4">
        <v>3</v>
      </c>
      <c r="I515">
        <f t="shared" ref="I515:I578" ca="1" si="25">G515*H515</f>
        <v>171</v>
      </c>
      <c r="J515">
        <f t="shared" ref="J515:J578" si="26">MONTH(B515)</f>
        <v>12</v>
      </c>
      <c r="K515" t="str">
        <f>VLOOKUP(E515,地区表!$A$2:$C$255,3,FALSE)</f>
        <v>西南</v>
      </c>
      <c r="L515" s="23" t="str" cm="1">
        <f t="array" ref="L515:N515">_xlfn.TEXTSPLIT(A515,"-")</f>
        <v>CN</v>
      </c>
      <c r="M515" s="22" t="str">
        <v>3101</v>
      </c>
      <c r="N515" s="22" t="str">
        <v>1261828</v>
      </c>
    </row>
    <row r="516" spans="1:14" ht="15.6">
      <c r="A516" s="4" t="s">
        <v>724</v>
      </c>
      <c r="B516" s="5">
        <v>44557.115452579703</v>
      </c>
      <c r="C516" s="5">
        <v>44560.973021658101</v>
      </c>
      <c r="D516" s="4" t="s">
        <v>98</v>
      </c>
      <c r="E516" s="4" t="s">
        <v>725</v>
      </c>
      <c r="F516" s="4" t="s">
        <v>110</v>
      </c>
      <c r="G516" s="4">
        <f t="shared" ca="1" si="24"/>
        <v>87</v>
      </c>
      <c r="H516" s="4">
        <v>3</v>
      </c>
      <c r="I516">
        <f t="shared" ca="1" si="25"/>
        <v>261</v>
      </c>
      <c r="J516">
        <f t="shared" si="26"/>
        <v>12</v>
      </c>
      <c r="K516" t="str">
        <f>VLOOKUP(E516,地区表!$A$2:$C$255,3,FALSE)</f>
        <v>西南</v>
      </c>
      <c r="L516" s="23" t="str" cm="1">
        <f t="array" ref="L516:N516">_xlfn.TEXTSPLIT(A516,"-")</f>
        <v>CN</v>
      </c>
      <c r="M516" s="22" t="str">
        <v>3101</v>
      </c>
      <c r="N516" s="22" t="str">
        <v>1261828</v>
      </c>
    </row>
    <row r="517" spans="1:14" ht="15.6">
      <c r="A517" s="4" t="s">
        <v>724</v>
      </c>
      <c r="B517" s="5">
        <v>44557.836550526998</v>
      </c>
      <c r="C517" s="5">
        <v>44560.019310013202</v>
      </c>
      <c r="D517" s="4" t="s">
        <v>98</v>
      </c>
      <c r="E517" s="4" t="s">
        <v>725</v>
      </c>
      <c r="F517" s="4" t="s">
        <v>100</v>
      </c>
      <c r="G517" s="4">
        <f t="shared" ca="1" si="24"/>
        <v>96</v>
      </c>
      <c r="H517" s="4">
        <v>4</v>
      </c>
      <c r="I517">
        <f t="shared" ca="1" si="25"/>
        <v>384</v>
      </c>
      <c r="J517">
        <f t="shared" si="26"/>
        <v>12</v>
      </c>
      <c r="K517" t="str">
        <f>VLOOKUP(E517,地区表!$A$2:$C$255,3,FALSE)</f>
        <v>西南</v>
      </c>
      <c r="L517" s="23" t="str" cm="1">
        <f t="array" ref="L517:N517">_xlfn.TEXTSPLIT(A517,"-")</f>
        <v>CN</v>
      </c>
      <c r="M517" s="22" t="str">
        <v>3101</v>
      </c>
      <c r="N517" s="22" t="str">
        <v>1261828</v>
      </c>
    </row>
    <row r="518" spans="1:14" ht="15.6">
      <c r="A518" s="4" t="s">
        <v>169</v>
      </c>
      <c r="B518" s="5">
        <v>45072.808804507702</v>
      </c>
      <c r="C518" s="5">
        <v>45074.670098263799</v>
      </c>
      <c r="D518" s="4" t="s">
        <v>94</v>
      </c>
      <c r="E518" s="4" t="s">
        <v>170</v>
      </c>
      <c r="F518" s="4" t="s">
        <v>125</v>
      </c>
      <c r="G518" s="4">
        <f t="shared" ca="1" si="24"/>
        <v>100</v>
      </c>
      <c r="H518" s="4">
        <v>5</v>
      </c>
      <c r="I518">
        <f t="shared" ca="1" si="25"/>
        <v>500</v>
      </c>
      <c r="J518">
        <f t="shared" si="26"/>
        <v>5</v>
      </c>
      <c r="K518" t="str">
        <f>VLOOKUP(E518,地区表!$A$2:$C$255,3,FALSE)</f>
        <v>华东</v>
      </c>
      <c r="L518" s="23" t="str" cm="1">
        <f t="array" ref="L518:N518">_xlfn.TEXTSPLIT(A518,"-")</f>
        <v>CN</v>
      </c>
      <c r="M518" s="22" t="str">
        <v>1790</v>
      </c>
      <c r="N518" s="22" t="str">
        <v>4497265</v>
      </c>
    </row>
    <row r="519" spans="1:14" ht="15.6">
      <c r="A519" s="4" t="s">
        <v>169</v>
      </c>
      <c r="B519" s="5">
        <v>45072.1953257641</v>
      </c>
      <c r="C519" s="5">
        <v>45074.998240904097</v>
      </c>
      <c r="D519" s="4" t="s">
        <v>94</v>
      </c>
      <c r="E519" s="4" t="s">
        <v>170</v>
      </c>
      <c r="F519" s="4" t="s">
        <v>112</v>
      </c>
      <c r="G519" s="4">
        <f t="shared" ca="1" si="24"/>
        <v>14</v>
      </c>
      <c r="H519" s="4">
        <v>5</v>
      </c>
      <c r="I519">
        <f t="shared" ca="1" si="25"/>
        <v>70</v>
      </c>
      <c r="J519">
        <f t="shared" si="26"/>
        <v>5</v>
      </c>
      <c r="K519" t="str">
        <f>VLOOKUP(E519,地区表!$A$2:$C$255,3,FALSE)</f>
        <v>华东</v>
      </c>
      <c r="L519" s="23" t="str" cm="1">
        <f t="array" ref="L519:N519">_xlfn.TEXTSPLIT(A519,"-")</f>
        <v>CN</v>
      </c>
      <c r="M519" s="22" t="str">
        <v>1790</v>
      </c>
      <c r="N519" s="22" t="str">
        <v>4497265</v>
      </c>
    </row>
    <row r="520" spans="1:14" ht="15.6">
      <c r="A520" s="4" t="s">
        <v>107</v>
      </c>
      <c r="B520" s="5">
        <v>44985.131212910797</v>
      </c>
      <c r="C520" s="5">
        <v>44989.780992304397</v>
      </c>
      <c r="D520" s="4" t="s">
        <v>98</v>
      </c>
      <c r="E520" s="4" t="s">
        <v>108</v>
      </c>
      <c r="F520" s="4" t="s">
        <v>109</v>
      </c>
      <c r="G520" s="4">
        <f t="shared" ca="1" si="24"/>
        <v>43</v>
      </c>
      <c r="H520" s="4">
        <v>9</v>
      </c>
      <c r="I520">
        <f t="shared" ca="1" si="25"/>
        <v>387</v>
      </c>
      <c r="J520">
        <f t="shared" si="26"/>
        <v>2</v>
      </c>
      <c r="K520" t="str">
        <f>VLOOKUP(E520,地区表!$A$2:$C$255,3,FALSE)</f>
        <v>华东</v>
      </c>
      <c r="L520" s="23" t="str" cm="1">
        <f t="array" ref="L520:N520">_xlfn.TEXTSPLIT(A520,"-")</f>
        <v>CN</v>
      </c>
      <c r="M520" s="22" t="str">
        <v>2434</v>
      </c>
      <c r="N520" s="22" t="str">
        <v>4497736</v>
      </c>
    </row>
    <row r="521" spans="1:14" ht="15.6">
      <c r="A521" s="4" t="s">
        <v>107</v>
      </c>
      <c r="B521" s="5">
        <v>44985.538046610498</v>
      </c>
      <c r="C521" s="5">
        <v>44989.012190898502</v>
      </c>
      <c r="D521" s="4" t="s">
        <v>98</v>
      </c>
      <c r="E521" s="4" t="s">
        <v>108</v>
      </c>
      <c r="F521" s="4" t="s">
        <v>101</v>
      </c>
      <c r="G521" s="4">
        <f t="shared" ca="1" si="24"/>
        <v>68</v>
      </c>
      <c r="H521" s="4">
        <v>2</v>
      </c>
      <c r="I521">
        <f t="shared" ca="1" si="25"/>
        <v>136</v>
      </c>
      <c r="J521">
        <f t="shared" si="26"/>
        <v>2</v>
      </c>
      <c r="K521" t="str">
        <f>VLOOKUP(E521,地区表!$A$2:$C$255,3,FALSE)</f>
        <v>华东</v>
      </c>
      <c r="L521" s="23" t="str" cm="1">
        <f t="array" ref="L521:N521">_xlfn.TEXTSPLIT(A521,"-")</f>
        <v>CN</v>
      </c>
      <c r="M521" s="22" t="str">
        <v>2434</v>
      </c>
      <c r="N521" s="22" t="str">
        <v>4497736</v>
      </c>
    </row>
    <row r="522" spans="1:14" ht="15.6">
      <c r="A522" s="4" t="s">
        <v>107</v>
      </c>
      <c r="B522" s="5">
        <v>44985.895862880701</v>
      </c>
      <c r="C522" s="5">
        <v>44989.881944799199</v>
      </c>
      <c r="D522" s="4" t="s">
        <v>98</v>
      </c>
      <c r="E522" s="4" t="s">
        <v>108</v>
      </c>
      <c r="F522" s="4" t="s">
        <v>110</v>
      </c>
      <c r="G522" s="4">
        <f t="shared" ca="1" si="24"/>
        <v>55</v>
      </c>
      <c r="H522" s="4">
        <v>4</v>
      </c>
      <c r="I522">
        <f t="shared" ca="1" si="25"/>
        <v>220</v>
      </c>
      <c r="J522">
        <f t="shared" si="26"/>
        <v>2</v>
      </c>
      <c r="K522" t="str">
        <f>VLOOKUP(E522,地区表!$A$2:$C$255,3,FALSE)</f>
        <v>华东</v>
      </c>
      <c r="L522" s="23" t="str" cm="1">
        <f t="array" ref="L522:N522">_xlfn.TEXTSPLIT(A522,"-")</f>
        <v>CN</v>
      </c>
      <c r="M522" s="22" t="str">
        <v>2434</v>
      </c>
      <c r="N522" s="22" t="str">
        <v>4497736</v>
      </c>
    </row>
    <row r="523" spans="1:14" ht="15.6">
      <c r="A523" s="4" t="s">
        <v>107</v>
      </c>
      <c r="B523" s="5">
        <v>44985.015849021103</v>
      </c>
      <c r="C523" s="5">
        <v>44989.895712560501</v>
      </c>
      <c r="D523" s="4" t="s">
        <v>98</v>
      </c>
      <c r="E523" s="4" t="s">
        <v>108</v>
      </c>
      <c r="F523" s="4" t="s">
        <v>111</v>
      </c>
      <c r="G523" s="4">
        <f t="shared" ca="1" si="24"/>
        <v>39</v>
      </c>
      <c r="H523" s="4">
        <v>5</v>
      </c>
      <c r="I523">
        <f t="shared" ca="1" si="25"/>
        <v>195</v>
      </c>
      <c r="J523">
        <f t="shared" si="26"/>
        <v>2</v>
      </c>
      <c r="K523" t="str">
        <f>VLOOKUP(E523,地区表!$A$2:$C$255,3,FALSE)</f>
        <v>华东</v>
      </c>
      <c r="L523" s="23" t="str" cm="1">
        <f t="array" ref="L523:N523">_xlfn.TEXTSPLIT(A523,"-")</f>
        <v>CN</v>
      </c>
      <c r="M523" s="22" t="str">
        <v>2434</v>
      </c>
      <c r="N523" s="22" t="str">
        <v>4497736</v>
      </c>
    </row>
    <row r="524" spans="1:14" ht="15.6">
      <c r="A524" s="4" t="s">
        <v>107</v>
      </c>
      <c r="B524" s="5">
        <v>44985.573745864</v>
      </c>
      <c r="C524" s="5">
        <v>44989.385328840501</v>
      </c>
      <c r="D524" s="4" t="s">
        <v>98</v>
      </c>
      <c r="E524" s="4" t="s">
        <v>108</v>
      </c>
      <c r="F524" s="4" t="s">
        <v>112</v>
      </c>
      <c r="G524" s="4">
        <f t="shared" ca="1" si="24"/>
        <v>54</v>
      </c>
      <c r="H524" s="4">
        <v>2</v>
      </c>
      <c r="I524">
        <f t="shared" ca="1" si="25"/>
        <v>108</v>
      </c>
      <c r="J524">
        <f t="shared" si="26"/>
        <v>2</v>
      </c>
      <c r="K524" t="str">
        <f>VLOOKUP(E524,地区表!$A$2:$C$255,3,FALSE)</f>
        <v>华东</v>
      </c>
      <c r="L524" s="23" t="str" cm="1">
        <f t="array" ref="L524:N524">_xlfn.TEXTSPLIT(A524,"-")</f>
        <v>CN</v>
      </c>
      <c r="M524" s="22" t="str">
        <v>2434</v>
      </c>
      <c r="N524" s="22" t="str">
        <v>4497736</v>
      </c>
    </row>
    <row r="525" spans="1:14" ht="15.6">
      <c r="A525" s="4" t="s">
        <v>655</v>
      </c>
      <c r="B525" s="5">
        <v>45271.170465097501</v>
      </c>
      <c r="C525" s="5">
        <v>45275.095601942303</v>
      </c>
      <c r="D525" s="4" t="s">
        <v>98</v>
      </c>
      <c r="E525" s="4" t="s">
        <v>656</v>
      </c>
      <c r="F525" s="4" t="s">
        <v>130</v>
      </c>
      <c r="G525" s="4">
        <f t="shared" ca="1" si="24"/>
        <v>63</v>
      </c>
      <c r="H525" s="4">
        <v>3</v>
      </c>
      <c r="I525">
        <f t="shared" ca="1" si="25"/>
        <v>189</v>
      </c>
      <c r="J525">
        <f t="shared" si="26"/>
        <v>12</v>
      </c>
      <c r="K525" t="str">
        <f>VLOOKUP(E525,地区表!$A$2:$C$255,3,FALSE)</f>
        <v>中南</v>
      </c>
      <c r="L525" s="23" t="str" cm="1">
        <f t="array" ref="L525:N525">_xlfn.TEXTSPLIT(A525,"-")</f>
        <v>CN</v>
      </c>
      <c r="M525" s="22" t="str">
        <v>1989</v>
      </c>
      <c r="N525" s="22" t="str">
        <v>2859473</v>
      </c>
    </row>
    <row r="526" spans="1:14" ht="15.6">
      <c r="A526" s="4" t="s">
        <v>240</v>
      </c>
      <c r="B526" s="5">
        <v>45156.666320219301</v>
      </c>
      <c r="C526" s="5">
        <v>45160.732960682399</v>
      </c>
      <c r="D526" s="4" t="s">
        <v>94</v>
      </c>
      <c r="E526" s="4" t="s">
        <v>241</v>
      </c>
      <c r="F526" s="4" t="s">
        <v>100</v>
      </c>
      <c r="G526" s="4">
        <f t="shared" ca="1" si="24"/>
        <v>15</v>
      </c>
      <c r="H526" s="4">
        <v>8</v>
      </c>
      <c r="I526">
        <f t="shared" ca="1" si="25"/>
        <v>120</v>
      </c>
      <c r="J526">
        <f t="shared" si="26"/>
        <v>8</v>
      </c>
      <c r="K526" t="str">
        <f>VLOOKUP(E526,地区表!$A$2:$C$255,3,FALSE)</f>
        <v>西南</v>
      </c>
      <c r="L526" s="23" t="str" cm="1">
        <f t="array" ref="L526:N526">_xlfn.TEXTSPLIT(A526,"-")</f>
        <v>CN</v>
      </c>
      <c r="M526" s="22" t="str">
        <v>2605</v>
      </c>
      <c r="N526" s="22" t="str">
        <v>3988119</v>
      </c>
    </row>
    <row r="527" spans="1:14" ht="15.6">
      <c r="A527" s="4" t="s">
        <v>776</v>
      </c>
      <c r="B527" s="5">
        <v>44856.997944809496</v>
      </c>
      <c r="C527" s="5">
        <v>44860.501050263003</v>
      </c>
      <c r="D527" s="4" t="s">
        <v>98</v>
      </c>
      <c r="E527" s="4" t="s">
        <v>241</v>
      </c>
      <c r="F527" s="4" t="s">
        <v>121</v>
      </c>
      <c r="G527" s="4">
        <f t="shared" ca="1" si="24"/>
        <v>73</v>
      </c>
      <c r="H527" s="4">
        <v>2</v>
      </c>
      <c r="I527">
        <f t="shared" ca="1" si="25"/>
        <v>146</v>
      </c>
      <c r="J527">
        <f t="shared" si="26"/>
        <v>10</v>
      </c>
      <c r="K527" t="str">
        <f>VLOOKUP(E527,地区表!$A$2:$C$255,3,FALSE)</f>
        <v>西南</v>
      </c>
      <c r="L527" s="23" t="str" cm="1">
        <f t="array" ref="L527:N527">_xlfn.TEXTSPLIT(A527,"-")</f>
        <v>CN</v>
      </c>
      <c r="M527" s="22" t="str">
        <v>2305</v>
      </c>
      <c r="N527" s="22" t="str">
        <v>4978724</v>
      </c>
    </row>
    <row r="528" spans="1:14" ht="15.6">
      <c r="A528" s="4" t="s">
        <v>776</v>
      </c>
      <c r="B528" s="5">
        <v>44856.233542781403</v>
      </c>
      <c r="C528" s="5">
        <v>44860.723331289097</v>
      </c>
      <c r="D528" s="4" t="s">
        <v>98</v>
      </c>
      <c r="E528" s="4" t="s">
        <v>241</v>
      </c>
      <c r="F528" s="4" t="s">
        <v>141</v>
      </c>
      <c r="G528" s="4">
        <f t="shared" ca="1" si="24"/>
        <v>60</v>
      </c>
      <c r="H528" s="4">
        <v>1</v>
      </c>
      <c r="I528">
        <f t="shared" ca="1" si="25"/>
        <v>60</v>
      </c>
      <c r="J528">
        <f t="shared" si="26"/>
        <v>10</v>
      </c>
      <c r="K528" t="str">
        <f>VLOOKUP(E528,地区表!$A$2:$C$255,3,FALSE)</f>
        <v>西南</v>
      </c>
      <c r="L528" s="23" t="str" cm="1">
        <f t="array" ref="L528:N528">_xlfn.TEXTSPLIT(A528,"-")</f>
        <v>CN</v>
      </c>
      <c r="M528" s="22" t="str">
        <v>2305</v>
      </c>
      <c r="N528" s="22" t="str">
        <v>4978724</v>
      </c>
    </row>
    <row r="529" spans="1:14" ht="15.6">
      <c r="A529" s="4" t="s">
        <v>776</v>
      </c>
      <c r="B529" s="5">
        <v>44856.995762580998</v>
      </c>
      <c r="C529" s="5">
        <v>44860.833411355597</v>
      </c>
      <c r="D529" s="4" t="s">
        <v>98</v>
      </c>
      <c r="E529" s="4" t="s">
        <v>241</v>
      </c>
      <c r="F529" s="4" t="s">
        <v>131</v>
      </c>
      <c r="G529" s="4">
        <f t="shared" ca="1" si="24"/>
        <v>98</v>
      </c>
      <c r="H529" s="4">
        <v>5</v>
      </c>
      <c r="I529">
        <f t="shared" ca="1" si="25"/>
        <v>490</v>
      </c>
      <c r="J529">
        <f t="shared" si="26"/>
        <v>10</v>
      </c>
      <c r="K529" t="str">
        <f>VLOOKUP(E529,地区表!$A$2:$C$255,3,FALSE)</f>
        <v>西南</v>
      </c>
      <c r="L529" s="23" t="str" cm="1">
        <f t="array" ref="L529:N529">_xlfn.TEXTSPLIT(A529,"-")</f>
        <v>CN</v>
      </c>
      <c r="M529" s="22" t="str">
        <v>2305</v>
      </c>
      <c r="N529" s="22" t="str">
        <v>4978724</v>
      </c>
    </row>
    <row r="530" spans="1:14" ht="15.6">
      <c r="A530" s="4" t="s">
        <v>417</v>
      </c>
      <c r="B530" s="5">
        <v>45264.5420741907</v>
      </c>
      <c r="C530" s="5">
        <v>45268.755128700403</v>
      </c>
      <c r="D530" s="4" t="s">
        <v>98</v>
      </c>
      <c r="E530" s="4" t="s">
        <v>418</v>
      </c>
      <c r="F530" s="4" t="s">
        <v>121</v>
      </c>
      <c r="G530" s="4">
        <f t="shared" ca="1" si="24"/>
        <v>100</v>
      </c>
      <c r="H530" s="4">
        <v>2</v>
      </c>
      <c r="I530">
        <f t="shared" ca="1" si="25"/>
        <v>200</v>
      </c>
      <c r="J530">
        <f t="shared" si="26"/>
        <v>12</v>
      </c>
      <c r="K530" t="str">
        <f>VLOOKUP(E530,地区表!$A$2:$C$255,3,FALSE)</f>
        <v>华东</v>
      </c>
      <c r="L530" s="23" t="str" cm="1">
        <f t="array" ref="L530:N530">_xlfn.TEXTSPLIT(A530,"-")</f>
        <v>CN</v>
      </c>
      <c r="M530" s="22" t="str">
        <v>2713</v>
      </c>
      <c r="N530" s="22" t="str">
        <v>1715632</v>
      </c>
    </row>
    <row r="531" spans="1:14" ht="15.6">
      <c r="A531" s="4" t="s">
        <v>784</v>
      </c>
      <c r="B531" s="5">
        <v>44446.997186388799</v>
      </c>
      <c r="C531" s="5">
        <v>44451.496615903197</v>
      </c>
      <c r="D531" s="4" t="s">
        <v>94</v>
      </c>
      <c r="E531" s="4" t="s">
        <v>418</v>
      </c>
      <c r="F531" s="4" t="s">
        <v>135</v>
      </c>
      <c r="G531" s="4">
        <f t="shared" ca="1" si="24"/>
        <v>57</v>
      </c>
      <c r="H531" s="4">
        <v>9</v>
      </c>
      <c r="I531">
        <f t="shared" ca="1" si="25"/>
        <v>513</v>
      </c>
      <c r="J531">
        <f t="shared" si="26"/>
        <v>9</v>
      </c>
      <c r="K531" t="str">
        <f>VLOOKUP(E531,地区表!$A$2:$C$255,3,FALSE)</f>
        <v>华东</v>
      </c>
      <c r="L531" s="23" t="str" cm="1">
        <f t="array" ref="L531:N531">_xlfn.TEXTSPLIT(A531,"-")</f>
        <v>CN</v>
      </c>
      <c r="M531" s="22" t="str">
        <v>2990</v>
      </c>
      <c r="N531" s="22" t="str">
        <v>4992845</v>
      </c>
    </row>
    <row r="532" spans="1:14" ht="15.6">
      <c r="A532" s="4" t="s">
        <v>694</v>
      </c>
      <c r="B532" s="5">
        <v>44365.317707059003</v>
      </c>
      <c r="C532" s="5">
        <v>44369.511412132997</v>
      </c>
      <c r="D532" s="4" t="s">
        <v>94</v>
      </c>
      <c r="E532" s="4" t="s">
        <v>695</v>
      </c>
      <c r="F532" s="4" t="s">
        <v>106</v>
      </c>
      <c r="G532" s="4">
        <f t="shared" ca="1" si="24"/>
        <v>90</v>
      </c>
      <c r="H532" s="4">
        <v>5</v>
      </c>
      <c r="I532">
        <f t="shared" ca="1" si="25"/>
        <v>450</v>
      </c>
      <c r="J532">
        <f t="shared" si="26"/>
        <v>6</v>
      </c>
      <c r="K532" t="str">
        <f>VLOOKUP(E532,地区表!$A$2:$C$255,3,FALSE)</f>
        <v>华北</v>
      </c>
      <c r="L532" s="23" t="str" cm="1">
        <f t="array" ref="L532:N532">_xlfn.TEXTSPLIT(A532,"-")</f>
        <v>CN</v>
      </c>
      <c r="M532" s="22" t="str">
        <v>2909</v>
      </c>
      <c r="N532" s="22" t="str">
        <v>1574908</v>
      </c>
    </row>
    <row r="533" spans="1:14" ht="15.6">
      <c r="A533" s="4" t="s">
        <v>360</v>
      </c>
      <c r="B533" s="5">
        <v>44907.467679021102</v>
      </c>
      <c r="C533" s="5">
        <v>44913.297352078604</v>
      </c>
      <c r="D533" s="4" t="s">
        <v>98</v>
      </c>
      <c r="E533" s="4" t="s">
        <v>361</v>
      </c>
      <c r="F533" s="4" t="s">
        <v>118</v>
      </c>
      <c r="G533" s="4">
        <f t="shared" ca="1" si="24"/>
        <v>60</v>
      </c>
      <c r="H533" s="4">
        <v>2</v>
      </c>
      <c r="I533">
        <f t="shared" ca="1" si="25"/>
        <v>120</v>
      </c>
      <c r="J533">
        <f t="shared" si="26"/>
        <v>12</v>
      </c>
      <c r="K533" t="str">
        <f>VLOOKUP(E533,地区表!$A$2:$C$255,3,FALSE)</f>
        <v>西南</v>
      </c>
      <c r="L533" s="23" t="str" cm="1">
        <f t="array" ref="L533:N533">_xlfn.TEXTSPLIT(A533,"-")</f>
        <v>CN</v>
      </c>
      <c r="M533" s="22" t="str">
        <v>2356</v>
      </c>
      <c r="N533" s="22" t="str">
        <v>3028018</v>
      </c>
    </row>
    <row r="534" spans="1:14" ht="15.6">
      <c r="A534" s="4" t="s">
        <v>360</v>
      </c>
      <c r="B534" s="5">
        <v>44907.146506113801</v>
      </c>
      <c r="C534" s="5">
        <v>44913.700618192102</v>
      </c>
      <c r="D534" s="4" t="s">
        <v>98</v>
      </c>
      <c r="E534" s="4" t="s">
        <v>361</v>
      </c>
      <c r="F534" s="4" t="s">
        <v>122</v>
      </c>
      <c r="G534" s="4">
        <f t="shared" ca="1" si="24"/>
        <v>66</v>
      </c>
      <c r="H534" s="4">
        <v>3</v>
      </c>
      <c r="I534">
        <f t="shared" ca="1" si="25"/>
        <v>198</v>
      </c>
      <c r="J534">
        <f t="shared" si="26"/>
        <v>12</v>
      </c>
      <c r="K534" t="str">
        <f>VLOOKUP(E534,地区表!$A$2:$C$255,3,FALSE)</f>
        <v>西南</v>
      </c>
      <c r="L534" s="23" t="str" cm="1">
        <f t="array" ref="L534:N534">_xlfn.TEXTSPLIT(A534,"-")</f>
        <v>CN</v>
      </c>
      <c r="M534" s="22" t="str">
        <v>2356</v>
      </c>
      <c r="N534" s="22" t="str">
        <v>3028018</v>
      </c>
    </row>
    <row r="535" spans="1:14" ht="15.6">
      <c r="A535" s="4" t="s">
        <v>394</v>
      </c>
      <c r="B535" s="5">
        <v>45275.471856522803</v>
      </c>
      <c r="C535" s="5">
        <v>45280.134717105102</v>
      </c>
      <c r="D535" s="4" t="s">
        <v>98</v>
      </c>
      <c r="E535" s="4" t="s">
        <v>361</v>
      </c>
      <c r="F535" s="4" t="s">
        <v>121</v>
      </c>
      <c r="G535" s="4">
        <f t="shared" ca="1" si="24"/>
        <v>40</v>
      </c>
      <c r="H535" s="4">
        <v>5</v>
      </c>
      <c r="I535">
        <f t="shared" ca="1" si="25"/>
        <v>200</v>
      </c>
      <c r="J535">
        <f t="shared" si="26"/>
        <v>12</v>
      </c>
      <c r="K535" t="str">
        <f>VLOOKUP(E535,地区表!$A$2:$C$255,3,FALSE)</f>
        <v>西南</v>
      </c>
      <c r="L535" s="23" t="str" cm="1">
        <f t="array" ref="L535:N535">_xlfn.TEXTSPLIT(A535,"-")</f>
        <v>CN</v>
      </c>
      <c r="M535" s="22" t="str">
        <v>2724</v>
      </c>
      <c r="N535" s="22" t="str">
        <v>4619981</v>
      </c>
    </row>
    <row r="536" spans="1:14" ht="15.6">
      <c r="A536" s="4" t="s">
        <v>394</v>
      </c>
      <c r="B536" s="5">
        <v>45275.553836069797</v>
      </c>
      <c r="C536" s="5">
        <v>45280.526580169899</v>
      </c>
      <c r="D536" s="4" t="s">
        <v>98</v>
      </c>
      <c r="E536" s="4" t="s">
        <v>361</v>
      </c>
      <c r="F536" s="4" t="s">
        <v>110</v>
      </c>
      <c r="G536" s="4">
        <f t="shared" ca="1" si="24"/>
        <v>91</v>
      </c>
      <c r="H536" s="4">
        <v>4</v>
      </c>
      <c r="I536">
        <f t="shared" ca="1" si="25"/>
        <v>364</v>
      </c>
      <c r="J536">
        <f t="shared" si="26"/>
        <v>12</v>
      </c>
      <c r="K536" t="str">
        <f>VLOOKUP(E536,地区表!$A$2:$C$255,3,FALSE)</f>
        <v>西南</v>
      </c>
      <c r="L536" s="23" t="str" cm="1">
        <f t="array" ref="L536:N536">_xlfn.TEXTSPLIT(A536,"-")</f>
        <v>CN</v>
      </c>
      <c r="M536" s="22" t="str">
        <v>2724</v>
      </c>
      <c r="N536" s="22" t="str">
        <v>4619981</v>
      </c>
    </row>
    <row r="537" spans="1:14" ht="15.6">
      <c r="A537" s="4" t="s">
        <v>433</v>
      </c>
      <c r="B537" s="5">
        <v>44302.678691384303</v>
      </c>
      <c r="C537" s="5">
        <v>44309.810106648198</v>
      </c>
      <c r="D537" s="4" t="s">
        <v>94</v>
      </c>
      <c r="E537" s="4" t="s">
        <v>361</v>
      </c>
      <c r="F537" s="4" t="s">
        <v>96</v>
      </c>
      <c r="G537" s="4">
        <f t="shared" ca="1" si="24"/>
        <v>35</v>
      </c>
      <c r="H537" s="4">
        <v>5</v>
      </c>
      <c r="I537">
        <f t="shared" ca="1" si="25"/>
        <v>175</v>
      </c>
      <c r="J537">
        <f t="shared" si="26"/>
        <v>4</v>
      </c>
      <c r="K537" t="str">
        <f>VLOOKUP(E537,地区表!$A$2:$C$255,3,FALSE)</f>
        <v>西南</v>
      </c>
      <c r="L537" s="23" t="str" cm="1">
        <f t="array" ref="L537:N537">_xlfn.TEXTSPLIT(A537,"-")</f>
        <v>CN</v>
      </c>
      <c r="M537" s="22" t="str">
        <v>2846</v>
      </c>
      <c r="N537" s="22" t="str">
        <v>2698139</v>
      </c>
    </row>
    <row r="538" spans="1:14" ht="15.6">
      <c r="A538" s="4" t="s">
        <v>583</v>
      </c>
      <c r="B538" s="5">
        <v>44723.546320733898</v>
      </c>
      <c r="C538" s="5">
        <v>44726.470166239698</v>
      </c>
      <c r="D538" s="4" t="s">
        <v>98</v>
      </c>
      <c r="E538" s="4" t="s">
        <v>361</v>
      </c>
      <c r="F538" s="4" t="s">
        <v>131</v>
      </c>
      <c r="G538" s="4">
        <f t="shared" ca="1" si="24"/>
        <v>54</v>
      </c>
      <c r="H538" s="4">
        <v>2</v>
      </c>
      <c r="I538">
        <f t="shared" ca="1" si="25"/>
        <v>108</v>
      </c>
      <c r="J538">
        <f t="shared" si="26"/>
        <v>6</v>
      </c>
      <c r="K538" t="str">
        <f>VLOOKUP(E538,地区表!$A$2:$C$255,3,FALSE)</f>
        <v>西南</v>
      </c>
      <c r="L538" s="23" t="str" cm="1">
        <f t="array" ref="L538:N538">_xlfn.TEXTSPLIT(A538,"-")</f>
        <v>CN</v>
      </c>
      <c r="M538" s="22" t="str">
        <v>2172</v>
      </c>
      <c r="N538" s="22" t="str">
        <v>2975416</v>
      </c>
    </row>
    <row r="539" spans="1:14" ht="15.6">
      <c r="A539" s="4" t="s">
        <v>832</v>
      </c>
      <c r="B539" s="5">
        <v>44747.585048936198</v>
      </c>
      <c r="C539" s="5">
        <v>44750.0767419412</v>
      </c>
      <c r="D539" s="4" t="s">
        <v>98</v>
      </c>
      <c r="E539" s="4" t="s">
        <v>361</v>
      </c>
      <c r="F539" s="4" t="s">
        <v>101</v>
      </c>
      <c r="G539" s="4">
        <f t="shared" ca="1" si="24"/>
        <v>31</v>
      </c>
      <c r="H539" s="4">
        <v>7</v>
      </c>
      <c r="I539">
        <f t="shared" ca="1" si="25"/>
        <v>217</v>
      </c>
      <c r="J539">
        <f t="shared" si="26"/>
        <v>7</v>
      </c>
      <c r="K539" t="str">
        <f>VLOOKUP(E539,地区表!$A$2:$C$255,3,FALSE)</f>
        <v>西南</v>
      </c>
      <c r="L539" s="23" t="str" cm="1">
        <f t="array" ref="L539:N539">_xlfn.TEXTSPLIT(A539,"-")</f>
        <v>CN</v>
      </c>
      <c r="M539" s="22" t="str">
        <v>2196</v>
      </c>
      <c r="N539" s="22" t="str">
        <v>4825687</v>
      </c>
    </row>
    <row r="540" spans="1:14" ht="15.6">
      <c r="A540" s="4" t="s">
        <v>348</v>
      </c>
      <c r="B540" s="5">
        <v>45253.348769274402</v>
      </c>
      <c r="C540" s="5">
        <v>45257.802385898904</v>
      </c>
      <c r="D540" s="4" t="s">
        <v>98</v>
      </c>
      <c r="E540" s="4" t="s">
        <v>349</v>
      </c>
      <c r="F540" s="4" t="s">
        <v>100</v>
      </c>
      <c r="G540" s="4">
        <f t="shared" ca="1" si="24"/>
        <v>80</v>
      </c>
      <c r="H540" s="4">
        <v>6</v>
      </c>
      <c r="I540">
        <f t="shared" ca="1" si="25"/>
        <v>480</v>
      </c>
      <c r="J540">
        <f t="shared" si="26"/>
        <v>11</v>
      </c>
      <c r="K540" t="str">
        <f>VLOOKUP(E540,地区表!$A$2:$C$255,3,FALSE)</f>
        <v>华东</v>
      </c>
      <c r="L540" s="23" t="str" cm="1">
        <f t="array" ref="L540:N540">_xlfn.TEXTSPLIT(A540,"-")</f>
        <v>CN</v>
      </c>
      <c r="M540" s="22" t="str">
        <v>2702</v>
      </c>
      <c r="N540" s="22" t="str">
        <v>4992845</v>
      </c>
    </row>
    <row r="541" spans="1:14" ht="15.6">
      <c r="A541" s="4" t="s">
        <v>447</v>
      </c>
      <c r="B541" s="5">
        <v>44607.545534406097</v>
      </c>
      <c r="C541" s="5">
        <v>44611.614329669501</v>
      </c>
      <c r="D541" s="4" t="s">
        <v>98</v>
      </c>
      <c r="E541" s="4" t="s">
        <v>349</v>
      </c>
      <c r="F541" s="4" t="s">
        <v>121</v>
      </c>
      <c r="G541" s="4">
        <f t="shared" ca="1" si="24"/>
        <v>82</v>
      </c>
      <c r="H541" s="4">
        <v>3</v>
      </c>
      <c r="I541">
        <f t="shared" ca="1" si="25"/>
        <v>246</v>
      </c>
      <c r="J541">
        <f t="shared" si="26"/>
        <v>2</v>
      </c>
      <c r="K541" t="str">
        <f>VLOOKUP(E541,地区表!$A$2:$C$255,3,FALSE)</f>
        <v>华东</v>
      </c>
      <c r="L541" s="23" t="str" cm="1">
        <f t="array" ref="L541:N541">_xlfn.TEXTSPLIT(A541,"-")</f>
        <v>US</v>
      </c>
      <c r="M541" s="22" t="str">
        <v>3151</v>
      </c>
      <c r="N541" s="22" t="str">
        <v>4764837</v>
      </c>
    </row>
    <row r="542" spans="1:14" ht="15.6">
      <c r="A542" s="4" t="s">
        <v>447</v>
      </c>
      <c r="B542" s="5">
        <v>44607.598371229702</v>
      </c>
      <c r="C542" s="5">
        <v>44611.399634364599</v>
      </c>
      <c r="D542" s="4" t="s">
        <v>98</v>
      </c>
      <c r="E542" s="4" t="s">
        <v>349</v>
      </c>
      <c r="F542" s="4" t="s">
        <v>135</v>
      </c>
      <c r="G542" s="4">
        <f t="shared" ca="1" si="24"/>
        <v>42</v>
      </c>
      <c r="H542" s="4">
        <v>4</v>
      </c>
      <c r="I542">
        <f t="shared" ca="1" si="25"/>
        <v>168</v>
      </c>
      <c r="J542">
        <f t="shared" si="26"/>
        <v>2</v>
      </c>
      <c r="K542" t="str">
        <f>VLOOKUP(E542,地区表!$A$2:$C$255,3,FALSE)</f>
        <v>华东</v>
      </c>
      <c r="L542" s="23" t="str" cm="1">
        <f t="array" ref="L542:N542">_xlfn.TEXTSPLIT(A542,"-")</f>
        <v>US</v>
      </c>
      <c r="M542" s="22" t="str">
        <v>3151</v>
      </c>
      <c r="N542" s="22" t="str">
        <v>4764837</v>
      </c>
    </row>
    <row r="543" spans="1:14" ht="15.6">
      <c r="A543" s="4" t="s">
        <v>447</v>
      </c>
      <c r="B543" s="5">
        <v>44607.538024824098</v>
      </c>
      <c r="C543" s="5">
        <v>44611.7678642584</v>
      </c>
      <c r="D543" s="4" t="s">
        <v>98</v>
      </c>
      <c r="E543" s="4" t="s">
        <v>349</v>
      </c>
      <c r="F543" s="4" t="s">
        <v>121</v>
      </c>
      <c r="G543" s="4">
        <f t="shared" ca="1" si="24"/>
        <v>33</v>
      </c>
      <c r="H543" s="4">
        <v>2</v>
      </c>
      <c r="I543">
        <f t="shared" ca="1" si="25"/>
        <v>66</v>
      </c>
      <c r="J543">
        <f t="shared" si="26"/>
        <v>2</v>
      </c>
      <c r="K543" t="str">
        <f>VLOOKUP(E543,地区表!$A$2:$C$255,3,FALSE)</f>
        <v>华东</v>
      </c>
      <c r="L543" s="23" t="str" cm="1">
        <f t="array" ref="L543:N543">_xlfn.TEXTSPLIT(A543,"-")</f>
        <v>US</v>
      </c>
      <c r="M543" s="22" t="str">
        <v>3151</v>
      </c>
      <c r="N543" s="22" t="str">
        <v>4764837</v>
      </c>
    </row>
    <row r="544" spans="1:14" ht="15.6">
      <c r="A544" s="4" t="s">
        <v>706</v>
      </c>
      <c r="B544" s="5">
        <v>45265.473052449597</v>
      </c>
      <c r="C544" s="5">
        <v>45271.662667241901</v>
      </c>
      <c r="D544" s="4" t="s">
        <v>98</v>
      </c>
      <c r="E544" s="4" t="s">
        <v>707</v>
      </c>
      <c r="F544" s="4" t="s">
        <v>111</v>
      </c>
      <c r="G544" s="4">
        <f t="shared" ca="1" si="24"/>
        <v>24</v>
      </c>
      <c r="H544" s="4">
        <v>2</v>
      </c>
      <c r="I544">
        <f t="shared" ca="1" si="25"/>
        <v>48</v>
      </c>
      <c r="J544">
        <f t="shared" si="26"/>
        <v>12</v>
      </c>
      <c r="K544" t="str">
        <f>VLOOKUP(E544,地区表!$A$2:$C$255,3,FALSE)</f>
        <v>中南</v>
      </c>
      <c r="L544" s="23" t="str" cm="1">
        <f t="array" ref="L544:N544">_xlfn.TEXTSPLIT(A544,"-")</f>
        <v>CN</v>
      </c>
      <c r="M544" s="22" t="str">
        <v>1983</v>
      </c>
      <c r="N544" s="22" t="str">
        <v>5278891</v>
      </c>
    </row>
    <row r="545" spans="1:14" ht="15.6">
      <c r="A545" s="4" t="s">
        <v>732</v>
      </c>
      <c r="B545" s="5">
        <v>44481.2812268946</v>
      </c>
      <c r="C545" s="5">
        <v>44484.306567075</v>
      </c>
      <c r="D545" s="4" t="s">
        <v>114</v>
      </c>
      <c r="E545" s="4" t="s">
        <v>733</v>
      </c>
      <c r="F545" s="4" t="s">
        <v>100</v>
      </c>
      <c r="G545" s="4">
        <f t="shared" ca="1" si="24"/>
        <v>23</v>
      </c>
      <c r="H545" s="4">
        <v>10</v>
      </c>
      <c r="I545">
        <f t="shared" ca="1" si="25"/>
        <v>230</v>
      </c>
      <c r="J545">
        <f t="shared" si="26"/>
        <v>10</v>
      </c>
      <c r="K545" t="str">
        <f>VLOOKUP(E545,地区表!$A$2:$C$255,3,FALSE)</f>
        <v>中南</v>
      </c>
      <c r="L545" s="23" t="str" cm="1">
        <f t="array" ref="L545:N545">_xlfn.TEXTSPLIT(A545,"-")</f>
        <v>CN</v>
      </c>
      <c r="M545" s="22" t="str">
        <v>3025</v>
      </c>
      <c r="N545" s="22" t="str">
        <v>1135813</v>
      </c>
    </row>
    <row r="546" spans="1:14" ht="15.6">
      <c r="A546" s="4" t="s">
        <v>732</v>
      </c>
      <c r="B546" s="5">
        <v>44481.0106379192</v>
      </c>
      <c r="C546" s="5">
        <v>44484.4620880609</v>
      </c>
      <c r="D546" s="4" t="s">
        <v>114</v>
      </c>
      <c r="E546" s="4" t="s">
        <v>733</v>
      </c>
      <c r="F546" s="4" t="s">
        <v>96</v>
      </c>
      <c r="G546" s="4">
        <f t="shared" ca="1" si="24"/>
        <v>53</v>
      </c>
      <c r="H546" s="4">
        <v>1</v>
      </c>
      <c r="I546">
        <f t="shared" ca="1" si="25"/>
        <v>53</v>
      </c>
      <c r="J546">
        <f t="shared" si="26"/>
        <v>10</v>
      </c>
      <c r="K546" t="str">
        <f>VLOOKUP(E546,地区表!$A$2:$C$255,3,FALSE)</f>
        <v>中南</v>
      </c>
      <c r="L546" s="23" t="str" cm="1">
        <f t="array" ref="L546:N546">_xlfn.TEXTSPLIT(A546,"-")</f>
        <v>CN</v>
      </c>
      <c r="M546" s="22" t="str">
        <v>3025</v>
      </c>
      <c r="N546" s="22" t="str">
        <v>1135813</v>
      </c>
    </row>
    <row r="547" spans="1:14" ht="15.6">
      <c r="A547" s="4" t="s">
        <v>219</v>
      </c>
      <c r="B547" s="5">
        <v>45223.338783678897</v>
      </c>
      <c r="C547" s="5">
        <v>45223.721124167103</v>
      </c>
      <c r="D547" s="4" t="s">
        <v>98</v>
      </c>
      <c r="E547" s="4" t="s">
        <v>220</v>
      </c>
      <c r="F547" s="4" t="s">
        <v>121</v>
      </c>
      <c r="G547" s="4">
        <f t="shared" ca="1" si="24"/>
        <v>21</v>
      </c>
      <c r="H547" s="4">
        <v>2</v>
      </c>
      <c r="I547">
        <f t="shared" ca="1" si="25"/>
        <v>42</v>
      </c>
      <c r="J547">
        <f t="shared" si="26"/>
        <v>10</v>
      </c>
      <c r="K547" t="str">
        <f>VLOOKUP(E547,地区表!$A$2:$C$255,3,FALSE)</f>
        <v>华东</v>
      </c>
      <c r="L547" s="23" t="str" cm="1">
        <f t="array" ref="L547:N547">_xlfn.TEXTSPLIT(A547,"-")</f>
        <v>CN</v>
      </c>
      <c r="M547" s="22" t="str">
        <v>2672</v>
      </c>
      <c r="N547" s="22" t="str">
        <v>1498643</v>
      </c>
    </row>
    <row r="548" spans="1:14" ht="15.6">
      <c r="A548" s="4" t="s">
        <v>219</v>
      </c>
      <c r="B548" s="5">
        <v>45223.442714903198</v>
      </c>
      <c r="C548" s="5">
        <v>45223.172129835599</v>
      </c>
      <c r="D548" s="4" t="s">
        <v>98</v>
      </c>
      <c r="E548" s="4" t="s">
        <v>220</v>
      </c>
      <c r="F548" s="4" t="s">
        <v>96</v>
      </c>
      <c r="G548" s="4">
        <f t="shared" ca="1" si="24"/>
        <v>22</v>
      </c>
      <c r="H548" s="4">
        <v>5</v>
      </c>
      <c r="I548">
        <f t="shared" ca="1" si="25"/>
        <v>110</v>
      </c>
      <c r="J548">
        <f t="shared" si="26"/>
        <v>10</v>
      </c>
      <c r="K548" t="str">
        <f>VLOOKUP(E548,地区表!$A$2:$C$255,3,FALSE)</f>
        <v>华东</v>
      </c>
      <c r="L548" s="23" t="str" cm="1">
        <f t="array" ref="L548:N548">_xlfn.TEXTSPLIT(A548,"-")</f>
        <v>CN</v>
      </c>
      <c r="M548" s="22" t="str">
        <v>2672</v>
      </c>
      <c r="N548" s="22" t="str">
        <v>1498643</v>
      </c>
    </row>
    <row r="549" spans="1:14" ht="15.6">
      <c r="A549" s="4" t="s">
        <v>318</v>
      </c>
      <c r="B549" s="5">
        <v>45082.914359466398</v>
      </c>
      <c r="C549" s="5">
        <v>45087.119784404298</v>
      </c>
      <c r="D549" s="4" t="s">
        <v>94</v>
      </c>
      <c r="E549" s="4" t="s">
        <v>319</v>
      </c>
      <c r="F549" s="4" t="s">
        <v>130</v>
      </c>
      <c r="G549" s="4">
        <f t="shared" ca="1" si="24"/>
        <v>65</v>
      </c>
      <c r="H549" s="4">
        <v>2</v>
      </c>
      <c r="I549">
        <f t="shared" ca="1" si="25"/>
        <v>130</v>
      </c>
      <c r="J549">
        <f t="shared" si="26"/>
        <v>6</v>
      </c>
      <c r="K549" t="str">
        <f>VLOOKUP(E549,地区表!$A$2:$C$255,3,FALSE)</f>
        <v>东北</v>
      </c>
      <c r="L549" s="23" t="str" cm="1">
        <f t="array" ref="L549:N549">_xlfn.TEXTSPLIT(A549,"-")</f>
        <v>CN</v>
      </c>
      <c r="M549" s="22" t="str">
        <v>2531</v>
      </c>
      <c r="N549" s="22" t="str">
        <v>2045726</v>
      </c>
    </row>
    <row r="550" spans="1:14" ht="15.6">
      <c r="A550" s="4" t="s">
        <v>696</v>
      </c>
      <c r="B550" s="5">
        <v>44676.527230699801</v>
      </c>
      <c r="C550" s="5">
        <v>44681.902099503197</v>
      </c>
      <c r="D550" s="4" t="s">
        <v>94</v>
      </c>
      <c r="E550" s="4" t="s">
        <v>697</v>
      </c>
      <c r="F550" s="4" t="s">
        <v>106</v>
      </c>
      <c r="G550" s="4">
        <f t="shared" ca="1" si="24"/>
        <v>75</v>
      </c>
      <c r="H550" s="4">
        <v>5</v>
      </c>
      <c r="I550">
        <f t="shared" ca="1" si="25"/>
        <v>375</v>
      </c>
      <c r="J550">
        <f t="shared" si="26"/>
        <v>4</v>
      </c>
      <c r="K550" t="str">
        <f>VLOOKUP(E550,地区表!$A$2:$C$255,3,FALSE)</f>
        <v>中南</v>
      </c>
      <c r="L550" s="23" t="str" cm="1">
        <f t="array" ref="L550:N550">_xlfn.TEXTSPLIT(A550,"-")</f>
        <v>US</v>
      </c>
      <c r="M550" s="22" t="str">
        <v>3220</v>
      </c>
      <c r="N550" s="22" t="str">
        <v>2352370</v>
      </c>
    </row>
    <row r="551" spans="1:14" ht="15.6">
      <c r="A551" s="4" t="s">
        <v>570</v>
      </c>
      <c r="B551" s="5">
        <v>44495.8539558259</v>
      </c>
      <c r="C551" s="5">
        <v>44499.2712655016</v>
      </c>
      <c r="D551" s="4" t="s">
        <v>98</v>
      </c>
      <c r="E551" s="4" t="s">
        <v>571</v>
      </c>
      <c r="F551" s="4" t="s">
        <v>110</v>
      </c>
      <c r="G551" s="4">
        <f t="shared" ca="1" si="24"/>
        <v>51</v>
      </c>
      <c r="H551" s="4">
        <v>8</v>
      </c>
      <c r="I551">
        <f t="shared" ca="1" si="25"/>
        <v>408</v>
      </c>
      <c r="J551">
        <f t="shared" si="26"/>
        <v>10</v>
      </c>
      <c r="K551" t="str">
        <f>VLOOKUP(E551,地区表!$A$2:$C$255,3,FALSE)</f>
        <v>华东</v>
      </c>
      <c r="L551" s="23" t="str" cm="1">
        <f t="array" ref="L551:N551">_xlfn.TEXTSPLIT(A551,"-")</f>
        <v>CN</v>
      </c>
      <c r="M551" s="22" t="str">
        <v>3039</v>
      </c>
      <c r="N551" s="22" t="str">
        <v>1129627</v>
      </c>
    </row>
    <row r="552" spans="1:14" ht="15.6">
      <c r="A552" s="4" t="s">
        <v>570</v>
      </c>
      <c r="B552" s="5">
        <v>44495.766597716298</v>
      </c>
      <c r="C552" s="5">
        <v>44499.2256790233</v>
      </c>
      <c r="D552" s="4" t="s">
        <v>98</v>
      </c>
      <c r="E552" s="4" t="s">
        <v>571</v>
      </c>
      <c r="F552" s="4" t="s">
        <v>101</v>
      </c>
      <c r="G552" s="4">
        <f t="shared" ca="1" si="24"/>
        <v>12</v>
      </c>
      <c r="H552" s="4">
        <v>5</v>
      </c>
      <c r="I552">
        <f t="shared" ca="1" si="25"/>
        <v>60</v>
      </c>
      <c r="J552">
        <f t="shared" si="26"/>
        <v>10</v>
      </c>
      <c r="K552" t="str">
        <f>VLOOKUP(E552,地区表!$A$2:$C$255,3,FALSE)</f>
        <v>华东</v>
      </c>
      <c r="L552" s="23" t="str" cm="1">
        <f t="array" ref="L552:N552">_xlfn.TEXTSPLIT(A552,"-")</f>
        <v>CN</v>
      </c>
      <c r="M552" s="22" t="str">
        <v>3039</v>
      </c>
      <c r="N552" s="22" t="str">
        <v>1129627</v>
      </c>
    </row>
    <row r="553" spans="1:14" ht="15.6">
      <c r="A553" s="4" t="s">
        <v>570</v>
      </c>
      <c r="B553" s="5">
        <v>44495.561988229201</v>
      </c>
      <c r="C553" s="5">
        <v>44499.743944703499</v>
      </c>
      <c r="D553" s="4" t="s">
        <v>98</v>
      </c>
      <c r="E553" s="4" t="s">
        <v>571</v>
      </c>
      <c r="F553" s="4" t="s">
        <v>121</v>
      </c>
      <c r="G553" s="4">
        <f t="shared" ca="1" si="24"/>
        <v>99</v>
      </c>
      <c r="H553" s="4">
        <v>4</v>
      </c>
      <c r="I553">
        <f t="shared" ca="1" si="25"/>
        <v>396</v>
      </c>
      <c r="J553">
        <f t="shared" si="26"/>
        <v>10</v>
      </c>
      <c r="K553" t="str">
        <f>VLOOKUP(E553,地区表!$A$2:$C$255,3,FALSE)</f>
        <v>华东</v>
      </c>
      <c r="L553" s="23" t="str" cm="1">
        <f t="array" ref="L553:N553">_xlfn.TEXTSPLIT(A553,"-")</f>
        <v>CN</v>
      </c>
      <c r="M553" s="22" t="str">
        <v>3039</v>
      </c>
      <c r="N553" s="22" t="str">
        <v>1129627</v>
      </c>
    </row>
    <row r="554" spans="1:14" ht="15.6">
      <c r="A554" s="4" t="s">
        <v>570</v>
      </c>
      <c r="B554" s="5">
        <v>44495.108023578803</v>
      </c>
      <c r="C554" s="5">
        <v>44499.1707253766</v>
      </c>
      <c r="D554" s="4" t="s">
        <v>98</v>
      </c>
      <c r="E554" s="4" t="s">
        <v>571</v>
      </c>
      <c r="F554" s="4" t="s">
        <v>111</v>
      </c>
      <c r="G554" s="4">
        <f t="shared" ca="1" si="24"/>
        <v>40</v>
      </c>
      <c r="H554" s="4">
        <v>3</v>
      </c>
      <c r="I554">
        <f t="shared" ca="1" si="25"/>
        <v>120</v>
      </c>
      <c r="J554">
        <f t="shared" si="26"/>
        <v>10</v>
      </c>
      <c r="K554" t="str">
        <f>VLOOKUP(E554,地区表!$A$2:$C$255,3,FALSE)</f>
        <v>华东</v>
      </c>
      <c r="L554" s="23" t="str" cm="1">
        <f t="array" ref="L554:N554">_xlfn.TEXTSPLIT(A554,"-")</f>
        <v>CN</v>
      </c>
      <c r="M554" s="22" t="str">
        <v>3039</v>
      </c>
      <c r="N554" s="22" t="str">
        <v>1129627</v>
      </c>
    </row>
    <row r="555" spans="1:14" ht="15.6">
      <c r="A555" s="4" t="s">
        <v>263</v>
      </c>
      <c r="B555" s="5">
        <v>44452.788520697701</v>
      </c>
      <c r="C555" s="5">
        <v>44452.1032353177</v>
      </c>
      <c r="D555" s="4" t="s">
        <v>98</v>
      </c>
      <c r="E555" s="4" t="s">
        <v>264</v>
      </c>
      <c r="F555" s="4" t="s">
        <v>112</v>
      </c>
      <c r="G555" s="4">
        <f t="shared" ca="1" si="24"/>
        <v>60</v>
      </c>
      <c r="H555" s="4">
        <v>1</v>
      </c>
      <c r="I555">
        <f t="shared" ca="1" si="25"/>
        <v>60</v>
      </c>
      <c r="J555">
        <f t="shared" si="26"/>
        <v>9</v>
      </c>
      <c r="K555" t="str">
        <f>VLOOKUP(E555,地区表!$A$2:$C$255,3,FALSE)</f>
        <v>东北</v>
      </c>
      <c r="L555" s="23" t="str" cm="1">
        <f t="array" ref="L555:N555">_xlfn.TEXTSPLIT(A555,"-")</f>
        <v>CN</v>
      </c>
      <c r="M555" s="22" t="str">
        <v>2996</v>
      </c>
      <c r="N555" s="22" t="str">
        <v>3381572</v>
      </c>
    </row>
    <row r="556" spans="1:14" ht="15.6">
      <c r="A556" s="4" t="s">
        <v>263</v>
      </c>
      <c r="B556" s="5">
        <v>44452.807672380797</v>
      </c>
      <c r="C556" s="5">
        <v>44452.431917705297</v>
      </c>
      <c r="D556" s="4" t="s">
        <v>98</v>
      </c>
      <c r="E556" s="4" t="s">
        <v>264</v>
      </c>
      <c r="F556" s="4" t="s">
        <v>111</v>
      </c>
      <c r="G556" s="4">
        <f t="shared" ca="1" si="24"/>
        <v>17</v>
      </c>
      <c r="H556" s="4">
        <v>5</v>
      </c>
      <c r="I556">
        <f t="shared" ca="1" si="25"/>
        <v>85</v>
      </c>
      <c r="J556">
        <f t="shared" si="26"/>
        <v>9</v>
      </c>
      <c r="K556" t="str">
        <f>VLOOKUP(E556,地区表!$A$2:$C$255,3,FALSE)</f>
        <v>东北</v>
      </c>
      <c r="L556" s="23" t="str" cm="1">
        <f t="array" ref="L556:N556">_xlfn.TEXTSPLIT(A556,"-")</f>
        <v>CN</v>
      </c>
      <c r="M556" s="22" t="str">
        <v>2996</v>
      </c>
      <c r="N556" s="22" t="str">
        <v>3381572</v>
      </c>
    </row>
    <row r="557" spans="1:14" ht="15.6">
      <c r="A557" s="4" t="s">
        <v>263</v>
      </c>
      <c r="B557" s="5">
        <v>44452.445991938701</v>
      </c>
      <c r="C557" s="5">
        <v>44452.183763848203</v>
      </c>
      <c r="D557" s="4" t="s">
        <v>98</v>
      </c>
      <c r="E557" s="4" t="s">
        <v>264</v>
      </c>
      <c r="F557" s="4" t="s">
        <v>106</v>
      </c>
      <c r="G557" s="4">
        <f t="shared" ca="1" si="24"/>
        <v>20</v>
      </c>
      <c r="H557" s="4">
        <v>2</v>
      </c>
      <c r="I557">
        <f t="shared" ca="1" si="25"/>
        <v>40</v>
      </c>
      <c r="J557">
        <f t="shared" si="26"/>
        <v>9</v>
      </c>
      <c r="K557" t="str">
        <f>VLOOKUP(E557,地区表!$A$2:$C$255,3,FALSE)</f>
        <v>东北</v>
      </c>
      <c r="L557" s="23" t="str" cm="1">
        <f t="array" ref="L557:N557">_xlfn.TEXTSPLIT(A557,"-")</f>
        <v>CN</v>
      </c>
      <c r="M557" s="22" t="str">
        <v>2996</v>
      </c>
      <c r="N557" s="22" t="str">
        <v>3381572</v>
      </c>
    </row>
    <row r="558" spans="1:14" ht="15.6">
      <c r="A558" s="4" t="s">
        <v>263</v>
      </c>
      <c r="B558" s="5">
        <v>44452.139867576298</v>
      </c>
      <c r="C558" s="5">
        <v>44452.165113227398</v>
      </c>
      <c r="D558" s="4" t="s">
        <v>98</v>
      </c>
      <c r="E558" s="4" t="s">
        <v>264</v>
      </c>
      <c r="F558" s="4" t="s">
        <v>135</v>
      </c>
      <c r="G558" s="4">
        <f t="shared" ca="1" si="24"/>
        <v>78</v>
      </c>
      <c r="H558" s="4">
        <v>5</v>
      </c>
      <c r="I558">
        <f t="shared" ca="1" si="25"/>
        <v>390</v>
      </c>
      <c r="J558">
        <f t="shared" si="26"/>
        <v>9</v>
      </c>
      <c r="K558" t="str">
        <f>VLOOKUP(E558,地区表!$A$2:$C$255,3,FALSE)</f>
        <v>东北</v>
      </c>
      <c r="L558" s="23" t="str" cm="1">
        <f t="array" ref="L558:N558">_xlfn.TEXTSPLIT(A558,"-")</f>
        <v>CN</v>
      </c>
      <c r="M558" s="22" t="str">
        <v>2996</v>
      </c>
      <c r="N558" s="22" t="str">
        <v>3381572</v>
      </c>
    </row>
    <row r="559" spans="1:14" ht="15.6">
      <c r="A559" s="4" t="s">
        <v>263</v>
      </c>
      <c r="B559" s="5">
        <v>44452.6676378704</v>
      </c>
      <c r="C559" s="5">
        <v>44452.455720166399</v>
      </c>
      <c r="D559" s="4" t="s">
        <v>98</v>
      </c>
      <c r="E559" s="4" t="s">
        <v>264</v>
      </c>
      <c r="F559" s="4" t="s">
        <v>106</v>
      </c>
      <c r="G559" s="4">
        <f t="shared" ca="1" si="24"/>
        <v>37</v>
      </c>
      <c r="H559" s="4">
        <v>5</v>
      </c>
      <c r="I559">
        <f t="shared" ca="1" si="25"/>
        <v>185</v>
      </c>
      <c r="J559">
        <f t="shared" si="26"/>
        <v>9</v>
      </c>
      <c r="K559" t="str">
        <f>VLOOKUP(E559,地区表!$A$2:$C$255,3,FALSE)</f>
        <v>东北</v>
      </c>
      <c r="L559" s="23" t="str" cm="1">
        <f t="array" ref="L559:N559">_xlfn.TEXTSPLIT(A559,"-")</f>
        <v>CN</v>
      </c>
      <c r="M559" s="22" t="str">
        <v>2996</v>
      </c>
      <c r="N559" s="22" t="str">
        <v>3381572</v>
      </c>
    </row>
    <row r="560" spans="1:14" ht="15.6">
      <c r="A560" s="4" t="s">
        <v>263</v>
      </c>
      <c r="B560" s="5">
        <v>44452.198705791699</v>
      </c>
      <c r="C560" s="5">
        <v>44452.0512744609</v>
      </c>
      <c r="D560" s="4" t="s">
        <v>98</v>
      </c>
      <c r="E560" s="4" t="s">
        <v>264</v>
      </c>
      <c r="F560" s="4" t="s">
        <v>109</v>
      </c>
      <c r="G560" s="4">
        <f t="shared" ca="1" si="24"/>
        <v>35</v>
      </c>
      <c r="H560" s="4">
        <v>3</v>
      </c>
      <c r="I560">
        <f t="shared" ca="1" si="25"/>
        <v>105</v>
      </c>
      <c r="J560">
        <f t="shared" si="26"/>
        <v>9</v>
      </c>
      <c r="K560" t="str">
        <f>VLOOKUP(E560,地区表!$A$2:$C$255,3,FALSE)</f>
        <v>东北</v>
      </c>
      <c r="L560" s="23" t="str" cm="1">
        <f t="array" ref="L560:N560">_xlfn.TEXTSPLIT(A560,"-")</f>
        <v>CN</v>
      </c>
      <c r="M560" s="22" t="str">
        <v>2996</v>
      </c>
      <c r="N560" s="22" t="str">
        <v>3381572</v>
      </c>
    </row>
    <row r="561" spans="1:14" ht="15.6">
      <c r="A561" s="4" t="s">
        <v>263</v>
      </c>
      <c r="B561" s="5">
        <v>44452.540180803597</v>
      </c>
      <c r="C561" s="5">
        <v>44452.353692905301</v>
      </c>
      <c r="D561" s="4" t="s">
        <v>98</v>
      </c>
      <c r="E561" s="4" t="s">
        <v>264</v>
      </c>
      <c r="F561" s="4" t="s">
        <v>122</v>
      </c>
      <c r="G561" s="4">
        <f t="shared" ca="1" si="24"/>
        <v>13</v>
      </c>
      <c r="H561" s="4">
        <v>2</v>
      </c>
      <c r="I561">
        <f t="shared" ca="1" si="25"/>
        <v>26</v>
      </c>
      <c r="J561">
        <f t="shared" si="26"/>
        <v>9</v>
      </c>
      <c r="K561" t="str">
        <f>VLOOKUP(E561,地区表!$A$2:$C$255,3,FALSE)</f>
        <v>东北</v>
      </c>
      <c r="L561" s="23" t="str" cm="1">
        <f t="array" ref="L561:N561">_xlfn.TEXTSPLIT(A561,"-")</f>
        <v>CN</v>
      </c>
      <c r="M561" s="22" t="str">
        <v>2996</v>
      </c>
      <c r="N561" s="22" t="str">
        <v>3381572</v>
      </c>
    </row>
    <row r="562" spans="1:14" ht="15.6">
      <c r="A562" s="4" t="s">
        <v>263</v>
      </c>
      <c r="B562" s="5">
        <v>44452.811238555201</v>
      </c>
      <c r="C562" s="5">
        <v>44452.496288930197</v>
      </c>
      <c r="D562" s="4" t="s">
        <v>98</v>
      </c>
      <c r="E562" s="4" t="s">
        <v>264</v>
      </c>
      <c r="F562" s="4" t="s">
        <v>131</v>
      </c>
      <c r="G562" s="4">
        <f t="shared" ca="1" si="24"/>
        <v>68</v>
      </c>
      <c r="H562" s="4">
        <v>4</v>
      </c>
      <c r="I562">
        <f t="shared" ca="1" si="25"/>
        <v>272</v>
      </c>
      <c r="J562">
        <f t="shared" si="26"/>
        <v>9</v>
      </c>
      <c r="K562" t="str">
        <f>VLOOKUP(E562,地区表!$A$2:$C$255,3,FALSE)</f>
        <v>东北</v>
      </c>
      <c r="L562" s="23" t="str" cm="1">
        <f t="array" ref="L562:N562">_xlfn.TEXTSPLIT(A562,"-")</f>
        <v>CN</v>
      </c>
      <c r="M562" s="22" t="str">
        <v>2996</v>
      </c>
      <c r="N562" s="22" t="str">
        <v>3381572</v>
      </c>
    </row>
    <row r="563" spans="1:14" ht="15.6">
      <c r="A563" s="4" t="s">
        <v>263</v>
      </c>
      <c r="B563" s="5">
        <v>44452.739085909801</v>
      </c>
      <c r="C563" s="5">
        <v>44452.125284472197</v>
      </c>
      <c r="D563" s="4" t="s">
        <v>98</v>
      </c>
      <c r="E563" s="4" t="s">
        <v>264</v>
      </c>
      <c r="F563" s="4" t="s">
        <v>110</v>
      </c>
      <c r="G563" s="4">
        <f t="shared" ca="1" si="24"/>
        <v>11</v>
      </c>
      <c r="H563" s="4">
        <v>3</v>
      </c>
      <c r="I563">
        <f t="shared" ca="1" si="25"/>
        <v>33</v>
      </c>
      <c r="J563">
        <f t="shared" si="26"/>
        <v>9</v>
      </c>
      <c r="K563" t="str">
        <f>VLOOKUP(E563,地区表!$A$2:$C$255,3,FALSE)</f>
        <v>东北</v>
      </c>
      <c r="L563" s="23" t="str" cm="1">
        <f t="array" ref="L563:N563">_xlfn.TEXTSPLIT(A563,"-")</f>
        <v>CN</v>
      </c>
      <c r="M563" s="22" t="str">
        <v>2996</v>
      </c>
      <c r="N563" s="22" t="str">
        <v>3381572</v>
      </c>
    </row>
    <row r="564" spans="1:14" ht="15.6">
      <c r="A564" s="4" t="s">
        <v>263</v>
      </c>
      <c r="B564" s="5">
        <v>44452.170541165098</v>
      </c>
      <c r="C564" s="5">
        <v>44452.498773007101</v>
      </c>
      <c r="D564" s="4" t="s">
        <v>98</v>
      </c>
      <c r="E564" s="4" t="s">
        <v>264</v>
      </c>
      <c r="F564" s="4" t="s">
        <v>101</v>
      </c>
      <c r="G564" s="4">
        <f t="shared" ca="1" si="24"/>
        <v>70</v>
      </c>
      <c r="H564" s="4">
        <v>2</v>
      </c>
      <c r="I564">
        <f t="shared" ca="1" si="25"/>
        <v>140</v>
      </c>
      <c r="J564">
        <f t="shared" si="26"/>
        <v>9</v>
      </c>
      <c r="K564" t="str">
        <f>VLOOKUP(E564,地区表!$A$2:$C$255,3,FALSE)</f>
        <v>东北</v>
      </c>
      <c r="L564" s="23" t="str" cm="1">
        <f t="array" ref="L564:N564">_xlfn.TEXTSPLIT(A564,"-")</f>
        <v>CN</v>
      </c>
      <c r="M564" s="22" t="str">
        <v>2996</v>
      </c>
      <c r="N564" s="22" t="str">
        <v>3381572</v>
      </c>
    </row>
    <row r="565" spans="1:14" ht="15.6">
      <c r="A565" s="4" t="s">
        <v>395</v>
      </c>
      <c r="B565" s="5">
        <v>44320.885319733701</v>
      </c>
      <c r="C565" s="5">
        <v>44324.510005757402</v>
      </c>
      <c r="D565" s="4" t="s">
        <v>94</v>
      </c>
      <c r="E565" s="4" t="s">
        <v>264</v>
      </c>
      <c r="F565" s="4" t="s">
        <v>111</v>
      </c>
      <c r="G565" s="4">
        <f t="shared" ca="1" si="24"/>
        <v>77</v>
      </c>
      <c r="H565" s="4">
        <v>3</v>
      </c>
      <c r="I565">
        <f t="shared" ca="1" si="25"/>
        <v>231</v>
      </c>
      <c r="J565">
        <f t="shared" si="26"/>
        <v>5</v>
      </c>
      <c r="K565" t="str">
        <f>VLOOKUP(E565,地区表!$A$2:$C$255,3,FALSE)</f>
        <v>东北</v>
      </c>
      <c r="L565" s="23" t="str" cm="1">
        <f t="array" ref="L565:N565">_xlfn.TEXTSPLIT(A565,"-")</f>
        <v>CN</v>
      </c>
      <c r="M565" s="22" t="str">
        <v>2864</v>
      </c>
      <c r="N565" s="22" t="str">
        <v>3074981</v>
      </c>
    </row>
    <row r="566" spans="1:14" ht="15.6">
      <c r="A566" s="4" t="s">
        <v>395</v>
      </c>
      <c r="B566" s="5">
        <v>44320.3222300536</v>
      </c>
      <c r="C566" s="5">
        <v>44324.659323858301</v>
      </c>
      <c r="D566" s="4" t="s">
        <v>94</v>
      </c>
      <c r="E566" s="4" t="s">
        <v>264</v>
      </c>
      <c r="F566" s="4" t="s">
        <v>135</v>
      </c>
      <c r="G566" s="4">
        <f t="shared" ca="1" si="24"/>
        <v>74</v>
      </c>
      <c r="H566" s="4">
        <v>9</v>
      </c>
      <c r="I566">
        <f t="shared" ca="1" si="25"/>
        <v>666</v>
      </c>
      <c r="J566">
        <f t="shared" si="26"/>
        <v>5</v>
      </c>
      <c r="K566" t="str">
        <f>VLOOKUP(E566,地区表!$A$2:$C$255,3,FALSE)</f>
        <v>东北</v>
      </c>
      <c r="L566" s="23" t="str" cm="1">
        <f t="array" ref="L566:N566">_xlfn.TEXTSPLIT(A566,"-")</f>
        <v>CN</v>
      </c>
      <c r="M566" s="22" t="str">
        <v>2864</v>
      </c>
      <c r="N566" s="22" t="str">
        <v>3074981</v>
      </c>
    </row>
    <row r="567" spans="1:14" ht="15.6">
      <c r="A567" s="4" t="s">
        <v>395</v>
      </c>
      <c r="B567" s="5">
        <v>44320.707521321703</v>
      </c>
      <c r="C567" s="5">
        <v>44324.504608068703</v>
      </c>
      <c r="D567" s="4" t="s">
        <v>94</v>
      </c>
      <c r="E567" s="4" t="s">
        <v>264</v>
      </c>
      <c r="F567" s="4" t="s">
        <v>101</v>
      </c>
      <c r="G567" s="4">
        <f t="shared" ca="1" si="24"/>
        <v>35</v>
      </c>
      <c r="H567" s="4">
        <v>3</v>
      </c>
      <c r="I567">
        <f t="shared" ca="1" si="25"/>
        <v>105</v>
      </c>
      <c r="J567">
        <f t="shared" si="26"/>
        <v>5</v>
      </c>
      <c r="K567" t="str">
        <f>VLOOKUP(E567,地区表!$A$2:$C$255,3,FALSE)</f>
        <v>东北</v>
      </c>
      <c r="L567" s="23" t="str" cm="1">
        <f t="array" ref="L567:N567">_xlfn.TEXTSPLIT(A567,"-")</f>
        <v>CN</v>
      </c>
      <c r="M567" s="22" t="str">
        <v>2864</v>
      </c>
      <c r="N567" s="22" t="str">
        <v>3074981</v>
      </c>
    </row>
    <row r="568" spans="1:14" ht="15.6">
      <c r="A568" s="4" t="s">
        <v>395</v>
      </c>
      <c r="B568" s="5">
        <v>44320.831637102099</v>
      </c>
      <c r="C568" s="5">
        <v>44324.754024542803</v>
      </c>
      <c r="D568" s="4" t="s">
        <v>94</v>
      </c>
      <c r="E568" s="4" t="s">
        <v>264</v>
      </c>
      <c r="F568" s="4" t="s">
        <v>112</v>
      </c>
      <c r="G568" s="4">
        <f t="shared" ca="1" si="24"/>
        <v>33</v>
      </c>
      <c r="H568" s="4">
        <v>3</v>
      </c>
      <c r="I568">
        <f t="shared" ca="1" si="25"/>
        <v>99</v>
      </c>
      <c r="J568">
        <f t="shared" si="26"/>
        <v>5</v>
      </c>
      <c r="K568" t="str">
        <f>VLOOKUP(E568,地区表!$A$2:$C$255,3,FALSE)</f>
        <v>东北</v>
      </c>
      <c r="L568" s="23" t="str" cm="1">
        <f t="array" ref="L568:N568">_xlfn.TEXTSPLIT(A568,"-")</f>
        <v>CN</v>
      </c>
      <c r="M568" s="22" t="str">
        <v>2864</v>
      </c>
      <c r="N568" s="22" t="str">
        <v>3074981</v>
      </c>
    </row>
    <row r="569" spans="1:14" ht="15.6">
      <c r="A569" s="4" t="s">
        <v>395</v>
      </c>
      <c r="B569" s="5">
        <v>44320.128141408699</v>
      </c>
      <c r="C569" s="5">
        <v>44324.6155610844</v>
      </c>
      <c r="D569" s="4" t="s">
        <v>94</v>
      </c>
      <c r="E569" s="4" t="s">
        <v>264</v>
      </c>
      <c r="F569" s="4" t="s">
        <v>130</v>
      </c>
      <c r="G569" s="4">
        <f t="shared" ca="1" si="24"/>
        <v>17</v>
      </c>
      <c r="H569" s="4">
        <v>5</v>
      </c>
      <c r="I569">
        <f t="shared" ca="1" si="25"/>
        <v>85</v>
      </c>
      <c r="J569">
        <f t="shared" si="26"/>
        <v>5</v>
      </c>
      <c r="K569" t="str">
        <f>VLOOKUP(E569,地区表!$A$2:$C$255,3,FALSE)</f>
        <v>东北</v>
      </c>
      <c r="L569" s="23" t="str" cm="1">
        <f t="array" ref="L569:N569">_xlfn.TEXTSPLIT(A569,"-")</f>
        <v>CN</v>
      </c>
      <c r="M569" s="22" t="str">
        <v>2864</v>
      </c>
      <c r="N569" s="22" t="str">
        <v>3074981</v>
      </c>
    </row>
    <row r="570" spans="1:14" ht="15.6">
      <c r="A570" s="4" t="s">
        <v>644</v>
      </c>
      <c r="B570" s="5">
        <v>44370.491345443697</v>
      </c>
      <c r="C570" s="5">
        <v>44374.542581238398</v>
      </c>
      <c r="D570" s="4" t="s">
        <v>94</v>
      </c>
      <c r="E570" s="4" t="s">
        <v>645</v>
      </c>
      <c r="F570" s="4" t="s">
        <v>122</v>
      </c>
      <c r="G570" s="4">
        <f t="shared" ca="1" si="24"/>
        <v>86</v>
      </c>
      <c r="H570" s="4">
        <v>1</v>
      </c>
      <c r="I570">
        <f t="shared" ca="1" si="25"/>
        <v>86</v>
      </c>
      <c r="J570">
        <f t="shared" si="26"/>
        <v>6</v>
      </c>
      <c r="K570" t="str">
        <f>VLOOKUP(E570,地区表!$A$2:$C$255,3,FALSE)</f>
        <v>东北</v>
      </c>
      <c r="L570" s="23" t="str" cm="1">
        <f t="array" ref="L570:N570">_xlfn.TEXTSPLIT(A570,"-")</f>
        <v>CN</v>
      </c>
      <c r="M570" s="22" t="str">
        <v>2914</v>
      </c>
      <c r="N570" s="22" t="str">
        <v>3807036</v>
      </c>
    </row>
    <row r="571" spans="1:14" ht="15.6">
      <c r="A571" s="4" t="s">
        <v>644</v>
      </c>
      <c r="B571" s="5">
        <v>44370.397895370697</v>
      </c>
      <c r="C571" s="5">
        <v>44374.4456410485</v>
      </c>
      <c r="D571" s="4" t="s">
        <v>94</v>
      </c>
      <c r="E571" s="4" t="s">
        <v>645</v>
      </c>
      <c r="F571" s="4" t="s">
        <v>109</v>
      </c>
      <c r="G571" s="4">
        <f t="shared" ca="1" si="24"/>
        <v>14</v>
      </c>
      <c r="H571" s="4">
        <v>2</v>
      </c>
      <c r="I571">
        <f t="shared" ca="1" si="25"/>
        <v>28</v>
      </c>
      <c r="J571">
        <f t="shared" si="26"/>
        <v>6</v>
      </c>
      <c r="K571" t="str">
        <f>VLOOKUP(E571,地区表!$A$2:$C$255,3,FALSE)</f>
        <v>东北</v>
      </c>
      <c r="L571" s="23" t="str" cm="1">
        <f t="array" ref="L571:N571">_xlfn.TEXTSPLIT(A571,"-")</f>
        <v>CN</v>
      </c>
      <c r="M571" s="22" t="str">
        <v>2914</v>
      </c>
      <c r="N571" s="22" t="str">
        <v>3807036</v>
      </c>
    </row>
    <row r="572" spans="1:14" ht="15.6">
      <c r="A572" s="4" t="s">
        <v>644</v>
      </c>
      <c r="B572" s="5">
        <v>44370.571139570202</v>
      </c>
      <c r="C572" s="5">
        <v>44374.381880368201</v>
      </c>
      <c r="D572" s="4" t="s">
        <v>94</v>
      </c>
      <c r="E572" s="4" t="s">
        <v>645</v>
      </c>
      <c r="F572" s="4" t="s">
        <v>130</v>
      </c>
      <c r="G572" s="4">
        <f t="shared" ca="1" si="24"/>
        <v>19</v>
      </c>
      <c r="H572" s="4">
        <v>7</v>
      </c>
      <c r="I572">
        <f t="shared" ca="1" si="25"/>
        <v>133</v>
      </c>
      <c r="J572">
        <f t="shared" si="26"/>
        <v>6</v>
      </c>
      <c r="K572" t="str">
        <f>VLOOKUP(E572,地区表!$A$2:$C$255,3,FALSE)</f>
        <v>东北</v>
      </c>
      <c r="L572" s="23" t="str" cm="1">
        <f t="array" ref="L572:N572">_xlfn.TEXTSPLIT(A572,"-")</f>
        <v>CN</v>
      </c>
      <c r="M572" s="22" t="str">
        <v>2914</v>
      </c>
      <c r="N572" s="22" t="str">
        <v>3807036</v>
      </c>
    </row>
    <row r="573" spans="1:14" ht="15.6">
      <c r="A573" s="4" t="s">
        <v>212</v>
      </c>
      <c r="B573" s="5">
        <v>44576.378124831499</v>
      </c>
      <c r="C573" s="5">
        <v>44579.093791989901</v>
      </c>
      <c r="D573" s="4" t="s">
        <v>98</v>
      </c>
      <c r="E573" s="4" t="s">
        <v>213</v>
      </c>
      <c r="F573" s="4" t="s">
        <v>111</v>
      </c>
      <c r="G573" s="4">
        <f t="shared" ca="1" si="24"/>
        <v>24</v>
      </c>
      <c r="H573" s="4">
        <v>3</v>
      </c>
      <c r="I573">
        <f t="shared" ca="1" si="25"/>
        <v>72</v>
      </c>
      <c r="J573">
        <f t="shared" si="26"/>
        <v>1</v>
      </c>
      <c r="K573" t="str">
        <f>VLOOKUP(E573,地区表!$A$2:$C$255,3,FALSE)</f>
        <v>华东</v>
      </c>
      <c r="L573" s="23" t="str" cm="1">
        <f t="array" ref="L573:N573">_xlfn.TEXTSPLIT(A573,"-")</f>
        <v>CN</v>
      </c>
      <c r="M573" s="22" t="str">
        <v>3120</v>
      </c>
      <c r="N573" s="22" t="str">
        <v>2328434</v>
      </c>
    </row>
    <row r="574" spans="1:14" ht="15.6">
      <c r="A574" s="4" t="s">
        <v>346</v>
      </c>
      <c r="B574" s="5">
        <v>44405.937985374803</v>
      </c>
      <c r="C574" s="5">
        <v>44407.420830359399</v>
      </c>
      <c r="D574" s="4" t="s">
        <v>94</v>
      </c>
      <c r="E574" s="4" t="s">
        <v>213</v>
      </c>
      <c r="F574" s="4" t="s">
        <v>131</v>
      </c>
      <c r="G574" s="4">
        <f t="shared" ca="1" si="24"/>
        <v>97</v>
      </c>
      <c r="H574" s="4">
        <v>2</v>
      </c>
      <c r="I574">
        <f t="shared" ca="1" si="25"/>
        <v>194</v>
      </c>
      <c r="J574">
        <f t="shared" si="26"/>
        <v>7</v>
      </c>
      <c r="K574" t="str">
        <f>VLOOKUP(E574,地区表!$A$2:$C$255,3,FALSE)</f>
        <v>华东</v>
      </c>
      <c r="L574" s="23" t="str" cm="1">
        <f t="array" ref="L574:N574">_xlfn.TEXTSPLIT(A574,"-")</f>
        <v>US</v>
      </c>
      <c r="M574" s="22" t="str">
        <v>2949</v>
      </c>
      <c r="N574" s="22" t="str">
        <v>2998954</v>
      </c>
    </row>
    <row r="575" spans="1:14" ht="15.6">
      <c r="A575" s="4" t="s">
        <v>291</v>
      </c>
      <c r="B575" s="5">
        <v>45083.534160033101</v>
      </c>
      <c r="C575" s="5">
        <v>45087.982845367398</v>
      </c>
      <c r="D575" s="4" t="s">
        <v>98</v>
      </c>
      <c r="E575" s="4" t="s">
        <v>292</v>
      </c>
      <c r="F575" s="4" t="s">
        <v>110</v>
      </c>
      <c r="G575" s="4">
        <f t="shared" ca="1" si="24"/>
        <v>23</v>
      </c>
      <c r="H575" s="4">
        <v>2</v>
      </c>
      <c r="I575">
        <f t="shared" ca="1" si="25"/>
        <v>46</v>
      </c>
      <c r="J575">
        <f t="shared" si="26"/>
        <v>6</v>
      </c>
      <c r="K575" t="str">
        <f>VLOOKUP(E575,地区表!$A$2:$C$255,3,FALSE)</f>
        <v>西南</v>
      </c>
      <c r="L575" s="23" t="str" cm="1">
        <f t="array" ref="L575:N575">_xlfn.TEXTSPLIT(A575,"-")</f>
        <v>US</v>
      </c>
      <c r="M575" s="22" t="str">
        <v>1801</v>
      </c>
      <c r="N575" s="22" t="str">
        <v>3069391</v>
      </c>
    </row>
    <row r="576" spans="1:14" ht="15.6">
      <c r="A576" s="4" t="s">
        <v>291</v>
      </c>
      <c r="B576" s="5">
        <v>45083.308200591498</v>
      </c>
      <c r="C576" s="5">
        <v>45087.841936652403</v>
      </c>
      <c r="D576" s="4" t="s">
        <v>98</v>
      </c>
      <c r="E576" s="4" t="s">
        <v>292</v>
      </c>
      <c r="F576" s="4" t="s">
        <v>121</v>
      </c>
      <c r="G576" s="4">
        <f t="shared" ca="1" si="24"/>
        <v>77</v>
      </c>
      <c r="H576" s="4">
        <v>4</v>
      </c>
      <c r="I576">
        <f t="shared" ca="1" si="25"/>
        <v>308</v>
      </c>
      <c r="J576">
        <f t="shared" si="26"/>
        <v>6</v>
      </c>
      <c r="K576" t="str">
        <f>VLOOKUP(E576,地区表!$A$2:$C$255,3,FALSE)</f>
        <v>西南</v>
      </c>
      <c r="L576" s="23" t="str" cm="1">
        <f t="array" ref="L576:N576">_xlfn.TEXTSPLIT(A576,"-")</f>
        <v>US</v>
      </c>
      <c r="M576" s="22" t="str">
        <v>1801</v>
      </c>
      <c r="N576" s="22" t="str">
        <v>3069391</v>
      </c>
    </row>
    <row r="577" spans="1:14" ht="15.6">
      <c r="A577" s="4" t="s">
        <v>345</v>
      </c>
      <c r="B577" s="5">
        <v>45272.814992582302</v>
      </c>
      <c r="C577" s="5">
        <v>45274.6660895557</v>
      </c>
      <c r="D577" s="4" t="s">
        <v>94</v>
      </c>
      <c r="E577" s="4" t="s">
        <v>292</v>
      </c>
      <c r="F577" s="4" t="s">
        <v>122</v>
      </c>
      <c r="G577" s="4">
        <f t="shared" ca="1" si="24"/>
        <v>58</v>
      </c>
      <c r="H577" s="4">
        <v>2</v>
      </c>
      <c r="I577">
        <f t="shared" ca="1" si="25"/>
        <v>116</v>
      </c>
      <c r="J577">
        <f t="shared" si="26"/>
        <v>12</v>
      </c>
      <c r="K577" t="str">
        <f>VLOOKUP(E577,地区表!$A$2:$C$255,3,FALSE)</f>
        <v>西南</v>
      </c>
      <c r="L577" s="23" t="str" cm="1">
        <f t="array" ref="L577:N577">_xlfn.TEXTSPLIT(A577,"-")</f>
        <v>US</v>
      </c>
      <c r="M577" s="22" t="str">
        <v>1990</v>
      </c>
      <c r="N577" s="22" t="str">
        <v>4650370</v>
      </c>
    </row>
    <row r="578" spans="1:14" ht="15.6">
      <c r="A578" s="4" t="s">
        <v>459</v>
      </c>
      <c r="B578" s="5">
        <v>44601.774915567199</v>
      </c>
      <c r="C578" s="5">
        <v>44606.3056822781</v>
      </c>
      <c r="D578" s="4" t="s">
        <v>114</v>
      </c>
      <c r="E578" s="4" t="s">
        <v>292</v>
      </c>
      <c r="F578" s="4" t="s">
        <v>122</v>
      </c>
      <c r="G578" s="4">
        <f t="shared" ref="G578:G641" ca="1" si="27">RANDBETWEEN(10,100)</f>
        <v>98</v>
      </c>
      <c r="H578" s="4">
        <v>6</v>
      </c>
      <c r="I578">
        <f t="shared" ca="1" si="25"/>
        <v>588</v>
      </c>
      <c r="J578">
        <f t="shared" si="26"/>
        <v>2</v>
      </c>
      <c r="K578" t="str">
        <f>VLOOKUP(E578,地区表!$A$2:$C$255,3,FALSE)</f>
        <v>西南</v>
      </c>
      <c r="L578" s="23" t="str" cm="1">
        <f t="array" ref="L578:N578">_xlfn.TEXTSPLIT(A578,"-")</f>
        <v>US</v>
      </c>
      <c r="M578" s="22" t="str">
        <v>3145</v>
      </c>
      <c r="N578" s="22" t="str">
        <v>1184235</v>
      </c>
    </row>
    <row r="579" spans="1:14" ht="15.6">
      <c r="A579" s="4" t="s">
        <v>554</v>
      </c>
      <c r="B579" s="5">
        <v>44636.560562851002</v>
      </c>
      <c r="C579" s="5">
        <v>44638.100234623002</v>
      </c>
      <c r="D579" s="4" t="s">
        <v>94</v>
      </c>
      <c r="E579" s="4" t="s">
        <v>292</v>
      </c>
      <c r="F579" s="4" t="s">
        <v>111</v>
      </c>
      <c r="G579" s="4">
        <f t="shared" ca="1" si="27"/>
        <v>82</v>
      </c>
      <c r="H579" s="4">
        <v>5</v>
      </c>
      <c r="I579">
        <f t="shared" ref="I579:I642" ca="1" si="28">G579*H579</f>
        <v>410</v>
      </c>
      <c r="J579">
        <f t="shared" ref="J579:J642" si="29">MONTH(B579)</f>
        <v>3</v>
      </c>
      <c r="K579" t="str">
        <f>VLOOKUP(E579,地区表!$A$2:$C$255,3,FALSE)</f>
        <v>西南</v>
      </c>
      <c r="L579" s="23" t="str" cm="1">
        <f t="array" ref="L579:N579">_xlfn.TEXTSPLIT(A579,"-")</f>
        <v>CN</v>
      </c>
      <c r="M579" s="22" t="str">
        <v>3180</v>
      </c>
      <c r="N579" s="22" t="str">
        <v>3904829</v>
      </c>
    </row>
    <row r="580" spans="1:14" ht="15.6">
      <c r="A580" s="4" t="s">
        <v>768</v>
      </c>
      <c r="B580" s="5">
        <v>45233.264972457902</v>
      </c>
      <c r="C580" s="5">
        <v>45235.313141290702</v>
      </c>
      <c r="D580" s="4" t="s">
        <v>94</v>
      </c>
      <c r="E580" s="4" t="s">
        <v>292</v>
      </c>
      <c r="F580" s="4" t="s">
        <v>141</v>
      </c>
      <c r="G580" s="4">
        <f t="shared" ca="1" si="27"/>
        <v>21</v>
      </c>
      <c r="H580" s="4">
        <v>2</v>
      </c>
      <c r="I580">
        <f t="shared" ca="1" si="28"/>
        <v>42</v>
      </c>
      <c r="J580">
        <f t="shared" si="29"/>
        <v>11</v>
      </c>
      <c r="K580" t="str">
        <f>VLOOKUP(E580,地区表!$A$2:$C$255,3,FALSE)</f>
        <v>西南</v>
      </c>
      <c r="L580" s="23" t="str" cm="1">
        <f t="array" ref="L580:N580">_xlfn.TEXTSPLIT(A580,"-")</f>
        <v>US</v>
      </c>
      <c r="M580" s="22" t="str">
        <v>2682</v>
      </c>
      <c r="N580" s="22" t="str">
        <v>2257547</v>
      </c>
    </row>
    <row r="581" spans="1:14" ht="15.6">
      <c r="A581" s="4" t="s">
        <v>800</v>
      </c>
      <c r="B581" s="5">
        <v>44578.009618969299</v>
      </c>
      <c r="C581" s="5">
        <v>44583.387736728298</v>
      </c>
      <c r="D581" s="4" t="s">
        <v>114</v>
      </c>
      <c r="E581" s="4" t="s">
        <v>292</v>
      </c>
      <c r="F581" s="4" t="s">
        <v>101</v>
      </c>
      <c r="G581" s="4">
        <f t="shared" ca="1" si="27"/>
        <v>11</v>
      </c>
      <c r="H581" s="4">
        <v>3</v>
      </c>
      <c r="I581">
        <f t="shared" ca="1" si="28"/>
        <v>33</v>
      </c>
      <c r="J581">
        <f t="shared" si="29"/>
        <v>1</v>
      </c>
      <c r="K581" t="str">
        <f>VLOOKUP(E581,地区表!$A$2:$C$255,3,FALSE)</f>
        <v>西南</v>
      </c>
      <c r="L581" s="23" t="str" cm="1">
        <f t="array" ref="L581:N581">_xlfn.TEXTSPLIT(A581,"-")</f>
        <v>CN</v>
      </c>
      <c r="M581" s="22" t="str">
        <v>3122</v>
      </c>
      <c r="N581" s="22" t="str">
        <v>2548759</v>
      </c>
    </row>
    <row r="582" spans="1:14" ht="15.6">
      <c r="A582" s="4" t="s">
        <v>636</v>
      </c>
      <c r="B582" s="5">
        <v>44670.072091301998</v>
      </c>
      <c r="C582" s="5">
        <v>44674.937461415502</v>
      </c>
      <c r="D582" s="4" t="s">
        <v>98</v>
      </c>
      <c r="E582" s="4" t="s">
        <v>637</v>
      </c>
      <c r="F582" s="4" t="s">
        <v>125</v>
      </c>
      <c r="G582" s="4">
        <f t="shared" ca="1" si="27"/>
        <v>30</v>
      </c>
      <c r="H582" s="4">
        <v>5</v>
      </c>
      <c r="I582">
        <f t="shared" ca="1" si="28"/>
        <v>150</v>
      </c>
      <c r="J582">
        <f t="shared" si="29"/>
        <v>4</v>
      </c>
      <c r="K582" t="str">
        <f>VLOOKUP(E582,地区表!$A$2:$C$255,3,FALSE)</f>
        <v>中南</v>
      </c>
      <c r="L582" s="23" t="str" cm="1">
        <f t="array" ref="L582:N582">_xlfn.TEXTSPLIT(A582,"-")</f>
        <v>US</v>
      </c>
      <c r="M582" s="22" t="str">
        <v>3214</v>
      </c>
      <c r="N582" s="22" t="str">
        <v>1184235</v>
      </c>
    </row>
    <row r="583" spans="1:14" ht="15.6">
      <c r="A583" s="4" t="s">
        <v>640</v>
      </c>
      <c r="B583" s="5">
        <v>45281.738939763098</v>
      </c>
      <c r="C583" s="5">
        <v>45283.859219210797</v>
      </c>
      <c r="D583" s="4" t="s">
        <v>94</v>
      </c>
      <c r="E583" s="4" t="s">
        <v>641</v>
      </c>
      <c r="F583" s="4" t="s">
        <v>101</v>
      </c>
      <c r="G583" s="4">
        <f t="shared" ca="1" si="27"/>
        <v>94</v>
      </c>
      <c r="H583" s="4">
        <v>2</v>
      </c>
      <c r="I583">
        <f t="shared" ca="1" si="28"/>
        <v>188</v>
      </c>
      <c r="J583">
        <f t="shared" si="29"/>
        <v>12</v>
      </c>
      <c r="K583" t="str">
        <f>VLOOKUP(E583,地区表!$A$2:$C$255,3,FALSE)</f>
        <v>中南</v>
      </c>
      <c r="L583" s="23" t="str" cm="1">
        <f t="array" ref="L583:N583">_xlfn.TEXTSPLIT(A583,"-")</f>
        <v>CN</v>
      </c>
      <c r="M583" s="22" t="str">
        <v>2730</v>
      </c>
      <c r="N583" s="22" t="str">
        <v>5645996</v>
      </c>
    </row>
    <row r="584" spans="1:14" ht="15.6">
      <c r="A584" s="4" t="s">
        <v>457</v>
      </c>
      <c r="B584" s="5">
        <v>44285.116474749797</v>
      </c>
      <c r="C584" s="5">
        <v>44288.368040843103</v>
      </c>
      <c r="D584" s="4" t="s">
        <v>98</v>
      </c>
      <c r="E584" s="4" t="s">
        <v>458</v>
      </c>
      <c r="F584" s="4" t="s">
        <v>110</v>
      </c>
      <c r="G584" s="4">
        <f t="shared" ca="1" si="27"/>
        <v>90</v>
      </c>
      <c r="H584" s="4">
        <v>4</v>
      </c>
      <c r="I584">
        <f t="shared" ca="1" si="28"/>
        <v>360</v>
      </c>
      <c r="J584">
        <f t="shared" si="29"/>
        <v>3</v>
      </c>
      <c r="K584" t="str">
        <f>VLOOKUP(E584,地区表!$A$2:$C$255,3,FALSE)</f>
        <v>东北</v>
      </c>
      <c r="L584" s="23" t="str" cm="1">
        <f t="array" ref="L584:N584">_xlfn.TEXTSPLIT(A584,"-")</f>
        <v>CN</v>
      </c>
      <c r="M584" s="22" t="str">
        <v>2829</v>
      </c>
      <c r="N584" s="22" t="str">
        <v>3010037</v>
      </c>
    </row>
    <row r="585" spans="1:14" ht="15.6">
      <c r="A585" s="4" t="s">
        <v>457</v>
      </c>
      <c r="B585" s="5">
        <v>44285.753196841702</v>
      </c>
      <c r="C585" s="5">
        <v>44288.596286192202</v>
      </c>
      <c r="D585" s="4" t="s">
        <v>98</v>
      </c>
      <c r="E585" s="4" t="s">
        <v>458</v>
      </c>
      <c r="F585" s="4" t="s">
        <v>111</v>
      </c>
      <c r="G585" s="4">
        <f t="shared" ca="1" si="27"/>
        <v>19</v>
      </c>
      <c r="H585" s="4">
        <v>2</v>
      </c>
      <c r="I585">
        <f t="shared" ca="1" si="28"/>
        <v>38</v>
      </c>
      <c r="J585">
        <f t="shared" si="29"/>
        <v>3</v>
      </c>
      <c r="K585" t="str">
        <f>VLOOKUP(E585,地区表!$A$2:$C$255,3,FALSE)</f>
        <v>东北</v>
      </c>
      <c r="L585" s="23" t="str" cm="1">
        <f t="array" ref="L585:N585">_xlfn.TEXTSPLIT(A585,"-")</f>
        <v>CN</v>
      </c>
      <c r="M585" s="22" t="str">
        <v>2829</v>
      </c>
      <c r="N585" s="22" t="str">
        <v>3010037</v>
      </c>
    </row>
    <row r="586" spans="1:14" ht="15.6">
      <c r="A586" s="4" t="s">
        <v>457</v>
      </c>
      <c r="B586" s="5">
        <v>44285.7076221077</v>
      </c>
      <c r="C586" s="5">
        <v>44288.944317191999</v>
      </c>
      <c r="D586" s="4" t="s">
        <v>98</v>
      </c>
      <c r="E586" s="4" t="s">
        <v>458</v>
      </c>
      <c r="F586" s="4" t="s">
        <v>112</v>
      </c>
      <c r="G586" s="4">
        <f t="shared" ca="1" si="27"/>
        <v>47</v>
      </c>
      <c r="H586" s="4">
        <v>2</v>
      </c>
      <c r="I586">
        <f t="shared" ca="1" si="28"/>
        <v>94</v>
      </c>
      <c r="J586">
        <f t="shared" si="29"/>
        <v>3</v>
      </c>
      <c r="K586" t="str">
        <f>VLOOKUP(E586,地区表!$A$2:$C$255,3,FALSE)</f>
        <v>东北</v>
      </c>
      <c r="L586" s="23" t="str" cm="1">
        <f t="array" ref="L586:N586">_xlfn.TEXTSPLIT(A586,"-")</f>
        <v>CN</v>
      </c>
      <c r="M586" s="22" t="str">
        <v>2829</v>
      </c>
      <c r="N586" s="22" t="str">
        <v>3010037</v>
      </c>
    </row>
    <row r="587" spans="1:14" ht="15.6">
      <c r="A587" s="4" t="s">
        <v>457</v>
      </c>
      <c r="B587" s="5">
        <v>44285.2668000216</v>
      </c>
      <c r="C587" s="5">
        <v>44288.335746673001</v>
      </c>
      <c r="D587" s="4" t="s">
        <v>98</v>
      </c>
      <c r="E587" s="4" t="s">
        <v>458</v>
      </c>
      <c r="F587" s="4" t="s">
        <v>130</v>
      </c>
      <c r="G587" s="4">
        <f t="shared" ca="1" si="27"/>
        <v>52</v>
      </c>
      <c r="H587" s="4">
        <v>2</v>
      </c>
      <c r="I587">
        <f t="shared" ca="1" si="28"/>
        <v>104</v>
      </c>
      <c r="J587">
        <f t="shared" si="29"/>
        <v>3</v>
      </c>
      <c r="K587" t="str">
        <f>VLOOKUP(E587,地区表!$A$2:$C$255,3,FALSE)</f>
        <v>东北</v>
      </c>
      <c r="L587" s="23" t="str" cm="1">
        <f t="array" ref="L587:N587">_xlfn.TEXTSPLIT(A587,"-")</f>
        <v>CN</v>
      </c>
      <c r="M587" s="22" t="str">
        <v>2829</v>
      </c>
      <c r="N587" s="22" t="str">
        <v>3010037</v>
      </c>
    </row>
    <row r="588" spans="1:14" ht="15.6">
      <c r="A588" s="4" t="s">
        <v>457</v>
      </c>
      <c r="B588" s="5">
        <v>44285.278716736197</v>
      </c>
      <c r="C588" s="5">
        <v>44288.124044984303</v>
      </c>
      <c r="D588" s="4" t="s">
        <v>98</v>
      </c>
      <c r="E588" s="4" t="s">
        <v>458</v>
      </c>
      <c r="F588" s="4" t="s">
        <v>118</v>
      </c>
      <c r="G588" s="4">
        <f t="shared" ca="1" si="27"/>
        <v>73</v>
      </c>
      <c r="H588" s="4">
        <v>6</v>
      </c>
      <c r="I588">
        <f t="shared" ca="1" si="28"/>
        <v>438</v>
      </c>
      <c r="J588">
        <f t="shared" si="29"/>
        <v>3</v>
      </c>
      <c r="K588" t="str">
        <f>VLOOKUP(E588,地区表!$A$2:$C$255,3,FALSE)</f>
        <v>东北</v>
      </c>
      <c r="L588" s="23" t="str" cm="1">
        <f t="array" ref="L588:N588">_xlfn.TEXTSPLIT(A588,"-")</f>
        <v>CN</v>
      </c>
      <c r="M588" s="22" t="str">
        <v>2829</v>
      </c>
      <c r="N588" s="22" t="str">
        <v>3010037</v>
      </c>
    </row>
    <row r="589" spans="1:14" ht="15.6">
      <c r="A589" s="4" t="s">
        <v>457</v>
      </c>
      <c r="B589" s="5">
        <v>44285.5163280099</v>
      </c>
      <c r="C589" s="5">
        <v>44288.525696849101</v>
      </c>
      <c r="D589" s="4" t="s">
        <v>98</v>
      </c>
      <c r="E589" s="4" t="s">
        <v>458</v>
      </c>
      <c r="F589" s="4" t="s">
        <v>111</v>
      </c>
      <c r="G589" s="4">
        <f t="shared" ca="1" si="27"/>
        <v>66</v>
      </c>
      <c r="H589" s="4">
        <v>5</v>
      </c>
      <c r="I589">
        <f t="shared" ca="1" si="28"/>
        <v>330</v>
      </c>
      <c r="J589">
        <f t="shared" si="29"/>
        <v>3</v>
      </c>
      <c r="K589" t="str">
        <f>VLOOKUP(E589,地区表!$A$2:$C$255,3,FALSE)</f>
        <v>东北</v>
      </c>
      <c r="L589" s="23" t="str" cm="1">
        <f t="array" ref="L589:N589">_xlfn.TEXTSPLIT(A589,"-")</f>
        <v>CN</v>
      </c>
      <c r="M589" s="22" t="str">
        <v>2829</v>
      </c>
      <c r="N589" s="22" t="str">
        <v>3010037</v>
      </c>
    </row>
    <row r="590" spans="1:14" ht="15.6">
      <c r="A590" s="4" t="s">
        <v>457</v>
      </c>
      <c r="B590" s="5">
        <v>44285.149266813001</v>
      </c>
      <c r="C590" s="5">
        <v>44288.443881085499</v>
      </c>
      <c r="D590" s="4" t="s">
        <v>98</v>
      </c>
      <c r="E590" s="4" t="s">
        <v>458</v>
      </c>
      <c r="F590" s="4" t="s">
        <v>106</v>
      </c>
      <c r="G590" s="4">
        <f t="shared" ca="1" si="27"/>
        <v>82</v>
      </c>
      <c r="H590" s="4">
        <v>2</v>
      </c>
      <c r="I590">
        <f t="shared" ca="1" si="28"/>
        <v>164</v>
      </c>
      <c r="J590">
        <f t="shared" si="29"/>
        <v>3</v>
      </c>
      <c r="K590" t="str">
        <f>VLOOKUP(E590,地区表!$A$2:$C$255,3,FALSE)</f>
        <v>东北</v>
      </c>
      <c r="L590" s="23" t="str" cm="1">
        <f t="array" ref="L590:N590">_xlfn.TEXTSPLIT(A590,"-")</f>
        <v>CN</v>
      </c>
      <c r="M590" s="22" t="str">
        <v>2829</v>
      </c>
      <c r="N590" s="22" t="str">
        <v>3010037</v>
      </c>
    </row>
    <row r="591" spans="1:14" ht="15.6">
      <c r="A591" s="4" t="s">
        <v>367</v>
      </c>
      <c r="B591" s="5">
        <v>45136.451990485599</v>
      </c>
      <c r="C591" s="5">
        <v>45140.957043098897</v>
      </c>
      <c r="D591" s="4" t="s">
        <v>98</v>
      </c>
      <c r="E591" s="4" t="s">
        <v>368</v>
      </c>
      <c r="F591" s="4" t="s">
        <v>110</v>
      </c>
      <c r="G591" s="4">
        <f t="shared" ca="1" si="27"/>
        <v>61</v>
      </c>
      <c r="H591" s="4">
        <v>6</v>
      </c>
      <c r="I591">
        <f t="shared" ca="1" si="28"/>
        <v>366</v>
      </c>
      <c r="J591">
        <f t="shared" si="29"/>
        <v>7</v>
      </c>
      <c r="K591" t="str">
        <f>VLOOKUP(E591,地区表!$A$2:$C$255,3,FALSE)</f>
        <v>中南</v>
      </c>
      <c r="L591" s="23" t="str" cm="1">
        <f t="array" ref="L591:N591">_xlfn.TEXTSPLIT(A591,"-")</f>
        <v>CN</v>
      </c>
      <c r="M591" s="22" t="str">
        <v>2585</v>
      </c>
      <c r="N591" s="22" t="str">
        <v>1391849</v>
      </c>
    </row>
    <row r="592" spans="1:14" ht="15.6">
      <c r="A592" s="4" t="s">
        <v>367</v>
      </c>
      <c r="B592" s="5">
        <v>45136.597618032298</v>
      </c>
      <c r="C592" s="5">
        <v>45140.883893964798</v>
      </c>
      <c r="D592" s="4" t="s">
        <v>98</v>
      </c>
      <c r="E592" s="4" t="s">
        <v>368</v>
      </c>
      <c r="F592" s="4" t="s">
        <v>135</v>
      </c>
      <c r="G592" s="4">
        <f t="shared" ca="1" si="27"/>
        <v>41</v>
      </c>
      <c r="H592" s="4">
        <v>3</v>
      </c>
      <c r="I592">
        <f t="shared" ca="1" si="28"/>
        <v>123</v>
      </c>
      <c r="J592">
        <f t="shared" si="29"/>
        <v>7</v>
      </c>
      <c r="K592" t="str">
        <f>VLOOKUP(E592,地区表!$A$2:$C$255,3,FALSE)</f>
        <v>中南</v>
      </c>
      <c r="L592" s="23" t="str" cm="1">
        <f t="array" ref="L592:N592">_xlfn.TEXTSPLIT(A592,"-")</f>
        <v>CN</v>
      </c>
      <c r="M592" s="22" t="str">
        <v>2585</v>
      </c>
      <c r="N592" s="22" t="str">
        <v>1391849</v>
      </c>
    </row>
    <row r="593" spans="1:14" ht="15.6">
      <c r="A593" s="4" t="s">
        <v>736</v>
      </c>
      <c r="B593" s="5">
        <v>44616.203471859801</v>
      </c>
      <c r="C593" s="5">
        <v>44620.632047049199</v>
      </c>
      <c r="D593" s="4" t="s">
        <v>98</v>
      </c>
      <c r="E593" s="4" t="s">
        <v>737</v>
      </c>
      <c r="F593" s="4" t="s">
        <v>125</v>
      </c>
      <c r="G593" s="4">
        <f t="shared" ca="1" si="27"/>
        <v>30</v>
      </c>
      <c r="H593" s="4">
        <v>3</v>
      </c>
      <c r="I593">
        <f t="shared" ca="1" si="28"/>
        <v>90</v>
      </c>
      <c r="J593">
        <f t="shared" si="29"/>
        <v>2</v>
      </c>
      <c r="K593" t="str">
        <f>VLOOKUP(E593,地区表!$A$2:$C$255,3,FALSE)</f>
        <v>华北</v>
      </c>
      <c r="L593" s="23" t="str" cm="1">
        <f t="array" ref="L593:N593">_xlfn.TEXTSPLIT(A593,"-")</f>
        <v>CN</v>
      </c>
      <c r="M593" s="22" t="str">
        <v>3160</v>
      </c>
      <c r="N593" s="22" t="str">
        <v>4230867</v>
      </c>
    </row>
    <row r="594" spans="1:14" ht="15.6">
      <c r="A594" s="4" t="s">
        <v>268</v>
      </c>
      <c r="B594" s="5">
        <v>44362.555344815599</v>
      </c>
      <c r="C594" s="5">
        <v>44367.362306669798</v>
      </c>
      <c r="D594" s="4" t="s">
        <v>94</v>
      </c>
      <c r="E594" s="4" t="s">
        <v>269</v>
      </c>
      <c r="F594" s="4" t="s">
        <v>125</v>
      </c>
      <c r="G594" s="4">
        <f t="shared" ca="1" si="27"/>
        <v>94</v>
      </c>
      <c r="H594" s="4">
        <v>1</v>
      </c>
      <c r="I594">
        <f t="shared" ca="1" si="28"/>
        <v>94</v>
      </c>
      <c r="J594">
        <f t="shared" si="29"/>
        <v>6</v>
      </c>
      <c r="K594" t="str">
        <f>VLOOKUP(E594,地区表!$A$2:$C$255,3,FALSE)</f>
        <v>西南</v>
      </c>
      <c r="L594" s="23" t="str" cm="1">
        <f t="array" ref="L594:N594">_xlfn.TEXTSPLIT(A594,"-")</f>
        <v>CN</v>
      </c>
      <c r="M594" s="22" t="str">
        <v>2906</v>
      </c>
      <c r="N594" s="22" t="str">
        <v>5816959</v>
      </c>
    </row>
    <row r="595" spans="1:14" ht="15.6">
      <c r="A595" s="4" t="s">
        <v>268</v>
      </c>
      <c r="B595" s="5">
        <v>44362.687140225898</v>
      </c>
      <c r="C595" s="5">
        <v>44367.665462695601</v>
      </c>
      <c r="D595" s="4" t="s">
        <v>94</v>
      </c>
      <c r="E595" s="4" t="s">
        <v>269</v>
      </c>
      <c r="F595" s="4" t="s">
        <v>100</v>
      </c>
      <c r="G595" s="4">
        <f t="shared" ca="1" si="27"/>
        <v>32</v>
      </c>
      <c r="H595" s="4">
        <v>3</v>
      </c>
      <c r="I595">
        <f t="shared" ca="1" si="28"/>
        <v>96</v>
      </c>
      <c r="J595">
        <f t="shared" si="29"/>
        <v>6</v>
      </c>
      <c r="K595" t="str">
        <f>VLOOKUP(E595,地区表!$A$2:$C$255,3,FALSE)</f>
        <v>西南</v>
      </c>
      <c r="L595" s="23" t="str" cm="1">
        <f t="array" ref="L595:N595">_xlfn.TEXTSPLIT(A595,"-")</f>
        <v>CN</v>
      </c>
      <c r="M595" s="22" t="str">
        <v>2906</v>
      </c>
      <c r="N595" s="22" t="str">
        <v>5816959</v>
      </c>
    </row>
    <row r="596" spans="1:14" ht="15.6">
      <c r="A596" s="4" t="s">
        <v>268</v>
      </c>
      <c r="B596" s="5">
        <v>44362.823699604698</v>
      </c>
      <c r="C596" s="5">
        <v>44367.538933248201</v>
      </c>
      <c r="D596" s="4" t="s">
        <v>94</v>
      </c>
      <c r="E596" s="4" t="s">
        <v>269</v>
      </c>
      <c r="F596" s="4" t="s">
        <v>101</v>
      </c>
      <c r="G596" s="4">
        <f t="shared" ca="1" si="27"/>
        <v>82</v>
      </c>
      <c r="H596" s="4">
        <v>8</v>
      </c>
      <c r="I596">
        <f t="shared" ca="1" si="28"/>
        <v>656</v>
      </c>
      <c r="J596">
        <f t="shared" si="29"/>
        <v>6</v>
      </c>
      <c r="K596" t="str">
        <f>VLOOKUP(E596,地区表!$A$2:$C$255,3,FALSE)</f>
        <v>西南</v>
      </c>
      <c r="L596" s="23" t="str" cm="1">
        <f t="array" ref="L596:N596">_xlfn.TEXTSPLIT(A596,"-")</f>
        <v>CN</v>
      </c>
      <c r="M596" s="22" t="str">
        <v>2906</v>
      </c>
      <c r="N596" s="22" t="str">
        <v>5816959</v>
      </c>
    </row>
    <row r="597" spans="1:14" ht="15.6">
      <c r="A597" s="4" t="s">
        <v>123</v>
      </c>
      <c r="B597" s="5">
        <v>44281.9297261842</v>
      </c>
      <c r="C597" s="5">
        <v>44284.944303505901</v>
      </c>
      <c r="D597" s="4" t="s">
        <v>94</v>
      </c>
      <c r="E597" s="4" t="s">
        <v>124</v>
      </c>
      <c r="F597" s="4" t="s">
        <v>106</v>
      </c>
      <c r="G597" s="4">
        <f t="shared" ca="1" si="27"/>
        <v>94</v>
      </c>
      <c r="H597" s="4">
        <v>7</v>
      </c>
      <c r="I597">
        <f t="shared" ca="1" si="28"/>
        <v>658</v>
      </c>
      <c r="J597">
        <f t="shared" si="29"/>
        <v>3</v>
      </c>
      <c r="K597" t="str">
        <f>VLOOKUP(E597,地区表!$A$2:$C$255,3,FALSE)</f>
        <v>华东</v>
      </c>
      <c r="L597" s="23" t="str" cm="1">
        <f t="array" ref="L597:N597">_xlfn.TEXTSPLIT(A597,"-")</f>
        <v>US</v>
      </c>
      <c r="M597" s="22" t="str">
        <v>2825</v>
      </c>
      <c r="N597" s="22" t="str">
        <v>2511714</v>
      </c>
    </row>
    <row r="598" spans="1:14" ht="15.6">
      <c r="A598" s="4" t="s">
        <v>123</v>
      </c>
      <c r="B598" s="5">
        <v>44281.663682666302</v>
      </c>
      <c r="C598" s="5">
        <v>44284.015140838601</v>
      </c>
      <c r="D598" s="4" t="s">
        <v>94</v>
      </c>
      <c r="E598" s="4" t="s">
        <v>124</v>
      </c>
      <c r="F598" s="4" t="s">
        <v>125</v>
      </c>
      <c r="G598" s="4">
        <f t="shared" ca="1" si="27"/>
        <v>29</v>
      </c>
      <c r="H598" s="4">
        <v>3</v>
      </c>
      <c r="I598">
        <f t="shared" ca="1" si="28"/>
        <v>87</v>
      </c>
      <c r="J598">
        <f t="shared" si="29"/>
        <v>3</v>
      </c>
      <c r="K598" t="str">
        <f>VLOOKUP(E598,地区表!$A$2:$C$255,3,FALSE)</f>
        <v>华东</v>
      </c>
      <c r="L598" s="23" t="str" cm="1">
        <f t="array" ref="L598:N598">_xlfn.TEXTSPLIT(A598,"-")</f>
        <v>US</v>
      </c>
      <c r="M598" s="22" t="str">
        <v>2825</v>
      </c>
      <c r="N598" s="22" t="str">
        <v>2511714</v>
      </c>
    </row>
    <row r="599" spans="1:14" ht="15.6">
      <c r="A599" s="4" t="s">
        <v>211</v>
      </c>
      <c r="B599" s="5">
        <v>44245.969085901197</v>
      </c>
      <c r="C599" s="5">
        <v>44246.8750400512</v>
      </c>
      <c r="D599" s="4" t="s">
        <v>94</v>
      </c>
      <c r="E599" s="4" t="s">
        <v>124</v>
      </c>
      <c r="F599" s="4" t="s">
        <v>96</v>
      </c>
      <c r="G599" s="4">
        <f t="shared" ca="1" si="27"/>
        <v>45</v>
      </c>
      <c r="H599" s="4">
        <v>5</v>
      </c>
      <c r="I599">
        <f t="shared" ca="1" si="28"/>
        <v>225</v>
      </c>
      <c r="J599">
        <f t="shared" si="29"/>
        <v>2</v>
      </c>
      <c r="K599" t="str">
        <f>VLOOKUP(E599,地区表!$A$2:$C$255,3,FALSE)</f>
        <v>华东</v>
      </c>
      <c r="L599" s="23" t="str" cm="1">
        <f t="array" ref="L599:N599">_xlfn.TEXTSPLIT(A599,"-")</f>
        <v>CN</v>
      </c>
      <c r="M599" s="22" t="str">
        <v>2789</v>
      </c>
      <c r="N599" s="22" t="str">
        <v>2045726</v>
      </c>
    </row>
    <row r="600" spans="1:14" ht="15.6">
      <c r="A600" s="4" t="s">
        <v>211</v>
      </c>
      <c r="B600" s="5">
        <v>44245.897348792598</v>
      </c>
      <c r="C600" s="5">
        <v>44246.7749511453</v>
      </c>
      <c r="D600" s="4" t="s">
        <v>94</v>
      </c>
      <c r="E600" s="4" t="s">
        <v>124</v>
      </c>
      <c r="F600" s="4" t="s">
        <v>118</v>
      </c>
      <c r="G600" s="4">
        <f t="shared" ca="1" si="27"/>
        <v>97</v>
      </c>
      <c r="H600" s="4">
        <v>6</v>
      </c>
      <c r="I600">
        <f t="shared" ca="1" si="28"/>
        <v>582</v>
      </c>
      <c r="J600">
        <f t="shared" si="29"/>
        <v>2</v>
      </c>
      <c r="K600" t="str">
        <f>VLOOKUP(E600,地区表!$A$2:$C$255,3,FALSE)</f>
        <v>华东</v>
      </c>
      <c r="L600" s="23" t="str" cm="1">
        <f t="array" ref="L600:N600">_xlfn.TEXTSPLIT(A600,"-")</f>
        <v>CN</v>
      </c>
      <c r="M600" s="22" t="str">
        <v>2789</v>
      </c>
      <c r="N600" s="22" t="str">
        <v>2045726</v>
      </c>
    </row>
    <row r="601" spans="1:14" ht="15.6">
      <c r="A601" s="4" t="s">
        <v>326</v>
      </c>
      <c r="B601" s="5">
        <v>44298.188924465299</v>
      </c>
      <c r="C601" s="5">
        <v>44304.716469308201</v>
      </c>
      <c r="D601" s="4" t="s">
        <v>114</v>
      </c>
      <c r="E601" s="4" t="s">
        <v>124</v>
      </c>
      <c r="F601" s="4" t="s">
        <v>122</v>
      </c>
      <c r="G601" s="4">
        <f t="shared" ca="1" si="27"/>
        <v>44</v>
      </c>
      <c r="H601" s="4">
        <v>3</v>
      </c>
      <c r="I601">
        <f t="shared" ca="1" si="28"/>
        <v>132</v>
      </c>
      <c r="J601">
        <f t="shared" si="29"/>
        <v>4</v>
      </c>
      <c r="K601" t="str">
        <f>VLOOKUP(E601,地区表!$A$2:$C$255,3,FALSE)</f>
        <v>华东</v>
      </c>
      <c r="L601" s="23" t="str" cm="1">
        <f t="array" ref="L601:N601">_xlfn.TEXTSPLIT(A601,"-")</f>
        <v>CN</v>
      </c>
      <c r="M601" s="22" t="str">
        <v>2842</v>
      </c>
      <c r="N601" s="22" t="str">
        <v>4347413</v>
      </c>
    </row>
    <row r="602" spans="1:14" ht="15.6">
      <c r="A602" s="4" t="s">
        <v>450</v>
      </c>
      <c r="B602" s="5">
        <v>45204.197031697302</v>
      </c>
      <c r="C602" s="5">
        <v>45208.137202584701</v>
      </c>
      <c r="D602" s="4" t="s">
        <v>98</v>
      </c>
      <c r="E602" s="4" t="s">
        <v>124</v>
      </c>
      <c r="F602" s="4" t="s">
        <v>106</v>
      </c>
      <c r="G602" s="4">
        <f t="shared" ca="1" si="27"/>
        <v>53</v>
      </c>
      <c r="H602" s="4">
        <v>4</v>
      </c>
      <c r="I602">
        <f t="shared" ca="1" si="28"/>
        <v>212</v>
      </c>
      <c r="J602">
        <f t="shared" si="29"/>
        <v>10</v>
      </c>
      <c r="K602" t="str">
        <f>VLOOKUP(E602,地区表!$A$2:$C$255,3,FALSE)</f>
        <v>华东</v>
      </c>
      <c r="L602" s="23" t="str" cm="1">
        <f t="array" ref="L602:N602">_xlfn.TEXTSPLIT(A602,"-")</f>
        <v>US</v>
      </c>
      <c r="M602" s="22" t="str">
        <v>2653</v>
      </c>
      <c r="N602" s="22" t="str">
        <v>3694355</v>
      </c>
    </row>
    <row r="603" spans="1:14" ht="15.6">
      <c r="A603" s="4" t="s">
        <v>658</v>
      </c>
      <c r="B603" s="5">
        <v>45278.317711079799</v>
      </c>
      <c r="C603" s="5">
        <v>45282.722678271799</v>
      </c>
      <c r="D603" s="4" t="s">
        <v>94</v>
      </c>
      <c r="E603" s="4" t="s">
        <v>659</v>
      </c>
      <c r="F603" s="4" t="s">
        <v>100</v>
      </c>
      <c r="G603" s="4">
        <f t="shared" ca="1" si="27"/>
        <v>53</v>
      </c>
      <c r="H603" s="4">
        <v>2</v>
      </c>
      <c r="I603">
        <f t="shared" ca="1" si="28"/>
        <v>106</v>
      </c>
      <c r="J603">
        <f t="shared" si="29"/>
        <v>12</v>
      </c>
      <c r="K603" t="str">
        <f>VLOOKUP(E603,地区表!$A$2:$C$255,3,FALSE)</f>
        <v>西南</v>
      </c>
      <c r="L603" s="23" t="str" cm="1">
        <f t="array" ref="L603:N603">_xlfn.TEXTSPLIT(A603,"-")</f>
        <v>CN</v>
      </c>
      <c r="M603" s="22" t="str">
        <v>2727</v>
      </c>
      <c r="N603" s="22" t="str">
        <v>3188485</v>
      </c>
    </row>
    <row r="604" spans="1:14" ht="15.6">
      <c r="A604" s="4" t="s">
        <v>782</v>
      </c>
      <c r="B604" s="5">
        <v>44661.298611359598</v>
      </c>
      <c r="C604" s="5">
        <v>44664.998694040798</v>
      </c>
      <c r="D604" s="4" t="s">
        <v>94</v>
      </c>
      <c r="E604" s="4" t="s">
        <v>783</v>
      </c>
      <c r="F604" s="4" t="s">
        <v>96</v>
      </c>
      <c r="G604" s="4">
        <f t="shared" ca="1" si="27"/>
        <v>59</v>
      </c>
      <c r="H604" s="4">
        <v>5</v>
      </c>
      <c r="I604">
        <f t="shared" ca="1" si="28"/>
        <v>295</v>
      </c>
      <c r="J604">
        <f t="shared" si="29"/>
        <v>4</v>
      </c>
      <c r="K604" t="str">
        <f>VLOOKUP(E604,地区表!$A$2:$C$255,3,FALSE)</f>
        <v>西北</v>
      </c>
      <c r="L604" s="23" t="str" cm="1">
        <f t="array" ref="L604:N604">_xlfn.TEXTSPLIT(A604,"-")</f>
        <v>US</v>
      </c>
      <c r="M604" s="22" t="str">
        <v>2110</v>
      </c>
      <c r="N604" s="22" t="str">
        <v>3767771</v>
      </c>
    </row>
    <row r="605" spans="1:14" ht="15.6">
      <c r="A605" s="4" t="s">
        <v>236</v>
      </c>
      <c r="B605" s="5">
        <v>44731.255734590799</v>
      </c>
      <c r="C605" s="5">
        <v>44737.812943434903</v>
      </c>
      <c r="D605" s="4" t="s">
        <v>114</v>
      </c>
      <c r="E605" s="4" t="s">
        <v>237</v>
      </c>
      <c r="F605" s="4" t="s">
        <v>112</v>
      </c>
      <c r="G605" s="4">
        <f t="shared" ca="1" si="27"/>
        <v>54</v>
      </c>
      <c r="H605" s="4">
        <v>2</v>
      </c>
      <c r="I605">
        <f t="shared" ca="1" si="28"/>
        <v>108</v>
      </c>
      <c r="J605">
        <f t="shared" si="29"/>
        <v>6</v>
      </c>
      <c r="K605" t="str">
        <f>VLOOKUP(E605,地区表!$A$2:$C$255,3,FALSE)</f>
        <v>华东</v>
      </c>
      <c r="L605" s="23" t="str" cm="1">
        <f t="array" ref="L605:N605">_xlfn.TEXTSPLIT(A605,"-")</f>
        <v>US</v>
      </c>
      <c r="M605" s="22" t="str">
        <v>2180</v>
      </c>
      <c r="N605" s="22" t="str">
        <v>1904299</v>
      </c>
    </row>
    <row r="606" spans="1:14" ht="15.6">
      <c r="A606" s="4" t="s">
        <v>595</v>
      </c>
      <c r="B606" s="5">
        <v>44406.047383919598</v>
      </c>
      <c r="C606" s="5">
        <v>44406.519096404001</v>
      </c>
      <c r="D606" s="4" t="s">
        <v>94</v>
      </c>
      <c r="E606" s="4" t="s">
        <v>237</v>
      </c>
      <c r="F606" s="4" t="s">
        <v>101</v>
      </c>
      <c r="G606" s="4">
        <f t="shared" ca="1" si="27"/>
        <v>47</v>
      </c>
      <c r="H606" s="4">
        <v>9</v>
      </c>
      <c r="I606">
        <f t="shared" ca="1" si="28"/>
        <v>423</v>
      </c>
      <c r="J606">
        <f t="shared" si="29"/>
        <v>7</v>
      </c>
      <c r="K606" t="str">
        <f>VLOOKUP(E606,地区表!$A$2:$C$255,3,FALSE)</f>
        <v>华东</v>
      </c>
      <c r="L606" s="23" t="str" cm="1">
        <f t="array" ref="L606:N606">_xlfn.TEXTSPLIT(A606,"-")</f>
        <v>US</v>
      </c>
      <c r="M606" s="22" t="str">
        <v>2950</v>
      </c>
      <c r="N606" s="22" t="str">
        <v>1070056</v>
      </c>
    </row>
    <row r="607" spans="1:14" ht="15.6">
      <c r="A607" s="4" t="s">
        <v>595</v>
      </c>
      <c r="B607" s="5">
        <v>44406.326823229399</v>
      </c>
      <c r="C607" s="5">
        <v>44406.012079411899</v>
      </c>
      <c r="D607" s="4" t="s">
        <v>94</v>
      </c>
      <c r="E607" s="4" t="s">
        <v>237</v>
      </c>
      <c r="F607" s="4" t="s">
        <v>110</v>
      </c>
      <c r="G607" s="4">
        <f t="shared" ca="1" si="27"/>
        <v>43</v>
      </c>
      <c r="H607" s="4">
        <v>5</v>
      </c>
      <c r="I607">
        <f t="shared" ca="1" si="28"/>
        <v>215</v>
      </c>
      <c r="J607">
        <f t="shared" si="29"/>
        <v>7</v>
      </c>
      <c r="K607" t="str">
        <f>VLOOKUP(E607,地区表!$A$2:$C$255,3,FALSE)</f>
        <v>华东</v>
      </c>
      <c r="L607" s="23" t="str" cm="1">
        <f t="array" ref="L607:N607">_xlfn.TEXTSPLIT(A607,"-")</f>
        <v>US</v>
      </c>
      <c r="M607" s="22" t="str">
        <v>2950</v>
      </c>
      <c r="N607" s="22" t="str">
        <v>1070056</v>
      </c>
    </row>
    <row r="608" spans="1:14" ht="15.6">
      <c r="A608" s="4" t="s">
        <v>595</v>
      </c>
      <c r="B608" s="5">
        <v>44406.655064184</v>
      </c>
      <c r="C608" s="5">
        <v>44406.245819771299</v>
      </c>
      <c r="D608" s="4" t="s">
        <v>94</v>
      </c>
      <c r="E608" s="4" t="s">
        <v>237</v>
      </c>
      <c r="F608" s="4" t="s">
        <v>96</v>
      </c>
      <c r="G608" s="4">
        <f t="shared" ca="1" si="27"/>
        <v>11</v>
      </c>
      <c r="H608" s="4">
        <v>5</v>
      </c>
      <c r="I608">
        <f t="shared" ca="1" si="28"/>
        <v>55</v>
      </c>
      <c r="J608">
        <f t="shared" si="29"/>
        <v>7</v>
      </c>
      <c r="K608" t="str">
        <f>VLOOKUP(E608,地区表!$A$2:$C$255,3,FALSE)</f>
        <v>华东</v>
      </c>
      <c r="L608" s="23" t="str" cm="1">
        <f t="array" ref="L608:N608">_xlfn.TEXTSPLIT(A608,"-")</f>
        <v>US</v>
      </c>
      <c r="M608" s="22" t="str">
        <v>2950</v>
      </c>
      <c r="N608" s="22" t="str">
        <v>1070056</v>
      </c>
    </row>
    <row r="609" spans="1:14" ht="15.6">
      <c r="A609" s="4" t="s">
        <v>634</v>
      </c>
      <c r="B609" s="5">
        <v>45082.5141986409</v>
      </c>
      <c r="C609" s="5">
        <v>45089.189794074002</v>
      </c>
      <c r="D609" s="4" t="s">
        <v>94</v>
      </c>
      <c r="E609" s="4" t="s">
        <v>635</v>
      </c>
      <c r="F609" s="4" t="s">
        <v>100</v>
      </c>
      <c r="G609" s="4">
        <f t="shared" ca="1" si="27"/>
        <v>36</v>
      </c>
      <c r="H609" s="4">
        <v>2</v>
      </c>
      <c r="I609">
        <f t="shared" ca="1" si="28"/>
        <v>72</v>
      </c>
      <c r="J609">
        <f t="shared" si="29"/>
        <v>6</v>
      </c>
      <c r="K609" t="str">
        <f>VLOOKUP(E609,地区表!$A$2:$C$255,3,FALSE)</f>
        <v>华北</v>
      </c>
      <c r="L609" s="23" t="str" cm="1">
        <f t="array" ref="L609:N609">_xlfn.TEXTSPLIT(A609,"-")</f>
        <v>CN</v>
      </c>
      <c r="M609" s="22" t="str">
        <v>2531</v>
      </c>
      <c r="N609" s="22" t="str">
        <v>3636322</v>
      </c>
    </row>
    <row r="610" spans="1:14" ht="15.6">
      <c r="A610" s="4" t="s">
        <v>678</v>
      </c>
      <c r="B610" s="5">
        <v>44452.693616853299</v>
      </c>
      <c r="C610" s="5">
        <v>44457.546317264001</v>
      </c>
      <c r="D610" s="4" t="s">
        <v>114</v>
      </c>
      <c r="E610" s="4" t="s">
        <v>635</v>
      </c>
      <c r="F610" s="4" t="s">
        <v>141</v>
      </c>
      <c r="G610" s="4">
        <f t="shared" ca="1" si="27"/>
        <v>100</v>
      </c>
      <c r="H610" s="4">
        <v>3</v>
      </c>
      <c r="I610">
        <f t="shared" ca="1" si="28"/>
        <v>300</v>
      </c>
      <c r="J610">
        <f t="shared" si="29"/>
        <v>9</v>
      </c>
      <c r="K610" t="str">
        <f>VLOOKUP(E610,地区表!$A$2:$C$255,3,FALSE)</f>
        <v>华北</v>
      </c>
      <c r="L610" s="23" t="str" cm="1">
        <f t="array" ref="L610:N610">_xlfn.TEXTSPLIT(A610,"-")</f>
        <v>CN</v>
      </c>
      <c r="M610" s="22" t="str">
        <v>2996</v>
      </c>
      <c r="N610" s="22" t="str">
        <v>1820925</v>
      </c>
    </row>
    <row r="611" spans="1:14" ht="15.6">
      <c r="A611" s="4" t="s">
        <v>678</v>
      </c>
      <c r="B611" s="5">
        <v>44452.129282784299</v>
      </c>
      <c r="C611" s="5">
        <v>44457.172181091999</v>
      </c>
      <c r="D611" s="4" t="s">
        <v>114</v>
      </c>
      <c r="E611" s="4" t="s">
        <v>635</v>
      </c>
      <c r="F611" s="4" t="s">
        <v>125</v>
      </c>
      <c r="G611" s="4">
        <f t="shared" ca="1" si="27"/>
        <v>46</v>
      </c>
      <c r="H611" s="4">
        <v>4</v>
      </c>
      <c r="I611">
        <f t="shared" ca="1" si="28"/>
        <v>184</v>
      </c>
      <c r="J611">
        <f t="shared" si="29"/>
        <v>9</v>
      </c>
      <c r="K611" t="str">
        <f>VLOOKUP(E611,地区表!$A$2:$C$255,3,FALSE)</f>
        <v>华北</v>
      </c>
      <c r="L611" s="23" t="str" cm="1">
        <f t="array" ref="L611:N611">_xlfn.TEXTSPLIT(A611,"-")</f>
        <v>CN</v>
      </c>
      <c r="M611" s="22" t="str">
        <v>2996</v>
      </c>
      <c r="N611" s="22" t="str">
        <v>1820925</v>
      </c>
    </row>
    <row r="612" spans="1:14" ht="15.6">
      <c r="A612" s="4" t="s">
        <v>699</v>
      </c>
      <c r="B612" s="5">
        <v>44662.409432869303</v>
      </c>
      <c r="C612" s="5">
        <v>44667.071453610399</v>
      </c>
      <c r="D612" s="4" t="s">
        <v>114</v>
      </c>
      <c r="E612" s="4" t="s">
        <v>635</v>
      </c>
      <c r="F612" s="4" t="s">
        <v>135</v>
      </c>
      <c r="G612" s="4">
        <f t="shared" ca="1" si="27"/>
        <v>70</v>
      </c>
      <c r="H612" s="4">
        <v>5</v>
      </c>
      <c r="I612">
        <f t="shared" ca="1" si="28"/>
        <v>350</v>
      </c>
      <c r="J612">
        <f t="shared" si="29"/>
        <v>4</v>
      </c>
      <c r="K612" t="str">
        <f>VLOOKUP(E612,地区表!$A$2:$C$255,3,FALSE)</f>
        <v>华北</v>
      </c>
      <c r="L612" s="23" t="str" cm="1">
        <f t="array" ref="L612:N612">_xlfn.TEXTSPLIT(A612,"-")</f>
        <v>CN</v>
      </c>
      <c r="M612" s="22" t="str">
        <v>3206</v>
      </c>
      <c r="N612" s="22" t="str">
        <v>3064620</v>
      </c>
    </row>
    <row r="613" spans="1:14" ht="15.6">
      <c r="A613" s="4" t="s">
        <v>402</v>
      </c>
      <c r="B613" s="5">
        <v>44197.148533271698</v>
      </c>
      <c r="C613" s="5">
        <v>44201.2821460458</v>
      </c>
      <c r="D613" s="4" t="s">
        <v>94</v>
      </c>
      <c r="E613" s="4" t="s">
        <v>403</v>
      </c>
      <c r="F613" s="4" t="s">
        <v>130</v>
      </c>
      <c r="G613" s="4">
        <f t="shared" ca="1" si="27"/>
        <v>100</v>
      </c>
      <c r="H613" s="4">
        <v>6</v>
      </c>
      <c r="I613">
        <f t="shared" ca="1" si="28"/>
        <v>600</v>
      </c>
      <c r="J613">
        <f t="shared" si="29"/>
        <v>1</v>
      </c>
      <c r="K613" t="str">
        <f>VLOOKUP(E613,地区表!$A$2:$C$255,3,FALSE)</f>
        <v>西南</v>
      </c>
      <c r="L613" s="23" t="str" cm="1">
        <f t="array" ref="L613:N613">_xlfn.TEXTSPLIT(A613,"-")</f>
        <v>CN</v>
      </c>
      <c r="M613" s="22" t="str">
        <v>2741</v>
      </c>
      <c r="N613" s="22" t="str">
        <v>3476099</v>
      </c>
    </row>
    <row r="614" spans="1:14" ht="15.6">
      <c r="A614" s="4" t="s">
        <v>402</v>
      </c>
      <c r="B614" s="5">
        <v>44197.998451218999</v>
      </c>
      <c r="C614" s="5">
        <v>44201.531760691803</v>
      </c>
      <c r="D614" s="4" t="s">
        <v>94</v>
      </c>
      <c r="E614" s="4" t="s">
        <v>403</v>
      </c>
      <c r="F614" s="4" t="s">
        <v>112</v>
      </c>
      <c r="G614" s="4">
        <f t="shared" ca="1" si="27"/>
        <v>71</v>
      </c>
      <c r="H614" s="4">
        <v>2</v>
      </c>
      <c r="I614">
        <f t="shared" ca="1" si="28"/>
        <v>142</v>
      </c>
      <c r="J614">
        <f t="shared" si="29"/>
        <v>1</v>
      </c>
      <c r="K614" t="str">
        <f>VLOOKUP(E614,地区表!$A$2:$C$255,3,FALSE)</f>
        <v>西南</v>
      </c>
      <c r="L614" s="23" t="str" cm="1">
        <f t="array" ref="L614:N614">_xlfn.TEXTSPLIT(A614,"-")</f>
        <v>CN</v>
      </c>
      <c r="M614" s="22" t="str">
        <v>2741</v>
      </c>
      <c r="N614" s="22" t="str">
        <v>3476099</v>
      </c>
    </row>
    <row r="615" spans="1:14" ht="15.6">
      <c r="A615" s="4" t="s">
        <v>402</v>
      </c>
      <c r="B615" s="5">
        <v>44197.915030033801</v>
      </c>
      <c r="C615" s="5">
        <v>44201.576982022802</v>
      </c>
      <c r="D615" s="4" t="s">
        <v>94</v>
      </c>
      <c r="E615" s="4" t="s">
        <v>403</v>
      </c>
      <c r="F615" s="4" t="s">
        <v>96</v>
      </c>
      <c r="G615" s="4">
        <f t="shared" ca="1" si="27"/>
        <v>100</v>
      </c>
      <c r="H615" s="4">
        <v>3</v>
      </c>
      <c r="I615">
        <f t="shared" ca="1" si="28"/>
        <v>300</v>
      </c>
      <c r="J615">
        <f t="shared" si="29"/>
        <v>1</v>
      </c>
      <c r="K615" t="str">
        <f>VLOOKUP(E615,地区表!$A$2:$C$255,3,FALSE)</f>
        <v>西南</v>
      </c>
      <c r="L615" s="23" t="str" cm="1">
        <f t="array" ref="L615:N615">_xlfn.TEXTSPLIT(A615,"-")</f>
        <v>CN</v>
      </c>
      <c r="M615" s="22" t="str">
        <v>2741</v>
      </c>
      <c r="N615" s="22" t="str">
        <v>3476099</v>
      </c>
    </row>
    <row r="616" spans="1:14" ht="15.6">
      <c r="A616" s="4" t="s">
        <v>780</v>
      </c>
      <c r="B616" s="5">
        <v>45169.906237955998</v>
      </c>
      <c r="C616" s="5">
        <v>45173.399144118397</v>
      </c>
      <c r="D616" s="4" t="s">
        <v>114</v>
      </c>
      <c r="E616" s="4" t="s">
        <v>781</v>
      </c>
      <c r="F616" s="4" t="s">
        <v>106</v>
      </c>
      <c r="G616" s="4">
        <f t="shared" ca="1" si="27"/>
        <v>94</v>
      </c>
      <c r="H616" s="4">
        <v>1</v>
      </c>
      <c r="I616">
        <f t="shared" ca="1" si="28"/>
        <v>94</v>
      </c>
      <c r="J616">
        <f t="shared" si="29"/>
        <v>8</v>
      </c>
      <c r="K616" t="str">
        <f>VLOOKUP(E616,地区表!$A$2:$C$255,3,FALSE)</f>
        <v>中南</v>
      </c>
      <c r="L616" s="23" t="str" cm="1">
        <f t="array" ref="L616:N616">_xlfn.TEXTSPLIT(A616,"-")</f>
        <v>CN</v>
      </c>
      <c r="M616" s="22" t="str">
        <v>2618</v>
      </c>
      <c r="N616" s="22" t="str">
        <v>2577941</v>
      </c>
    </row>
    <row r="617" spans="1:14" ht="15.6">
      <c r="A617" s="4" t="s">
        <v>329</v>
      </c>
      <c r="B617" s="5">
        <v>44596.804243316503</v>
      </c>
      <c r="C617" s="5">
        <v>44600.906260212403</v>
      </c>
      <c r="D617" s="4" t="s">
        <v>98</v>
      </c>
      <c r="E617" s="4" t="s">
        <v>330</v>
      </c>
      <c r="F617" s="4" t="s">
        <v>111</v>
      </c>
      <c r="G617" s="4">
        <f t="shared" ca="1" si="27"/>
        <v>33</v>
      </c>
      <c r="H617" s="4">
        <v>3</v>
      </c>
      <c r="I617">
        <f t="shared" ca="1" si="28"/>
        <v>99</v>
      </c>
      <c r="J617">
        <f t="shared" si="29"/>
        <v>2</v>
      </c>
      <c r="K617" t="str">
        <f>VLOOKUP(E617,地区表!$A$2:$C$255,3,FALSE)</f>
        <v>东北</v>
      </c>
      <c r="L617" s="23" t="str" cm="1">
        <f t="array" ref="L617:N617">_xlfn.TEXTSPLIT(A617,"-")</f>
        <v>CN</v>
      </c>
      <c r="M617" s="22" t="str">
        <v>2044</v>
      </c>
      <c r="N617" s="22" t="str">
        <v>4590873</v>
      </c>
    </row>
    <row r="618" spans="1:14" ht="15.6">
      <c r="A618" s="4" t="s">
        <v>329</v>
      </c>
      <c r="B618" s="5">
        <v>44596.267255507199</v>
      </c>
      <c r="C618" s="5">
        <v>44600.0053716654</v>
      </c>
      <c r="D618" s="4" t="s">
        <v>98</v>
      </c>
      <c r="E618" s="4" t="s">
        <v>330</v>
      </c>
      <c r="F618" s="4" t="s">
        <v>135</v>
      </c>
      <c r="G618" s="4">
        <f t="shared" ca="1" si="27"/>
        <v>91</v>
      </c>
      <c r="H618" s="4">
        <v>2</v>
      </c>
      <c r="I618">
        <f t="shared" ca="1" si="28"/>
        <v>182</v>
      </c>
      <c r="J618">
        <f t="shared" si="29"/>
        <v>2</v>
      </c>
      <c r="K618" t="str">
        <f>VLOOKUP(E618,地区表!$A$2:$C$255,3,FALSE)</f>
        <v>东北</v>
      </c>
      <c r="L618" s="23" t="str" cm="1">
        <f t="array" ref="L618:N618">_xlfn.TEXTSPLIT(A618,"-")</f>
        <v>CN</v>
      </c>
      <c r="M618" s="22" t="str">
        <v>2044</v>
      </c>
      <c r="N618" s="22" t="str">
        <v>4590873</v>
      </c>
    </row>
    <row r="619" spans="1:14" ht="15.6">
      <c r="A619" s="4" t="s">
        <v>359</v>
      </c>
      <c r="B619" s="5">
        <v>45072.062702793002</v>
      </c>
      <c r="C619" s="5">
        <v>45076.798681521097</v>
      </c>
      <c r="D619" s="4" t="s">
        <v>94</v>
      </c>
      <c r="E619" s="4" t="s">
        <v>330</v>
      </c>
      <c r="F619" s="4" t="s">
        <v>135</v>
      </c>
      <c r="G619" s="4">
        <f t="shared" ca="1" si="27"/>
        <v>10</v>
      </c>
      <c r="H619" s="4">
        <v>1</v>
      </c>
      <c r="I619">
        <f t="shared" ca="1" si="28"/>
        <v>10</v>
      </c>
      <c r="J619">
        <f t="shared" si="29"/>
        <v>5</v>
      </c>
      <c r="K619" t="str">
        <f>VLOOKUP(E619,地区表!$A$2:$C$255,3,FALSE)</f>
        <v>东北</v>
      </c>
      <c r="L619" s="23" t="str" cm="1">
        <f t="array" ref="L619:N619">_xlfn.TEXTSPLIT(A619,"-")</f>
        <v>CN</v>
      </c>
      <c r="M619" s="22" t="str">
        <v>2521</v>
      </c>
      <c r="N619" s="22" t="str">
        <v>2505404</v>
      </c>
    </row>
    <row r="620" spans="1:14" ht="15.6">
      <c r="A620" s="4" t="s">
        <v>428</v>
      </c>
      <c r="B620" s="5">
        <v>44956.057088647503</v>
      </c>
      <c r="C620" s="5">
        <v>44960.532819197899</v>
      </c>
      <c r="D620" s="4" t="s">
        <v>98</v>
      </c>
      <c r="E620" s="4" t="s">
        <v>429</v>
      </c>
      <c r="F620" s="4" t="s">
        <v>106</v>
      </c>
      <c r="G620" s="4">
        <f t="shared" ca="1" si="27"/>
        <v>20</v>
      </c>
      <c r="H620" s="4">
        <v>4</v>
      </c>
      <c r="I620">
        <f t="shared" ca="1" si="28"/>
        <v>80</v>
      </c>
      <c r="J620">
        <f t="shared" si="29"/>
        <v>1</v>
      </c>
      <c r="K620" t="str">
        <f>VLOOKUP(E620,地区表!$A$2:$C$255,3,FALSE)</f>
        <v>西南</v>
      </c>
      <c r="L620" s="23" t="str" cm="1">
        <f t="array" ref="L620:N620">_xlfn.TEXTSPLIT(A620,"-")</f>
        <v>CN</v>
      </c>
      <c r="M620" s="22" t="str">
        <v>2405</v>
      </c>
      <c r="N620" s="22" t="str">
        <v>3381572</v>
      </c>
    </row>
    <row r="621" spans="1:14" ht="15.6">
      <c r="A621" s="4" t="s">
        <v>428</v>
      </c>
      <c r="B621" s="5">
        <v>44956.919711691997</v>
      </c>
      <c r="C621" s="5">
        <v>44960.088271951303</v>
      </c>
      <c r="D621" s="4" t="s">
        <v>98</v>
      </c>
      <c r="E621" s="4" t="s">
        <v>429</v>
      </c>
      <c r="F621" s="4" t="s">
        <v>130</v>
      </c>
      <c r="G621" s="4">
        <f t="shared" ca="1" si="27"/>
        <v>81</v>
      </c>
      <c r="H621" s="4">
        <v>2</v>
      </c>
      <c r="I621">
        <f t="shared" ca="1" si="28"/>
        <v>162</v>
      </c>
      <c r="J621">
        <f t="shared" si="29"/>
        <v>1</v>
      </c>
      <c r="K621" t="str">
        <f>VLOOKUP(E621,地区表!$A$2:$C$255,3,FALSE)</f>
        <v>西南</v>
      </c>
      <c r="L621" s="23" t="str" cm="1">
        <f t="array" ref="L621:N621">_xlfn.TEXTSPLIT(A621,"-")</f>
        <v>CN</v>
      </c>
      <c r="M621" s="22" t="str">
        <v>2405</v>
      </c>
      <c r="N621" s="22" t="str">
        <v>3381572</v>
      </c>
    </row>
    <row r="622" spans="1:14" ht="15.6">
      <c r="A622" s="4" t="s">
        <v>700</v>
      </c>
      <c r="B622" s="5">
        <v>44667.668515334102</v>
      </c>
      <c r="C622" s="5">
        <v>44669.5088236878</v>
      </c>
      <c r="D622" s="4" t="s">
        <v>94</v>
      </c>
      <c r="E622" s="4" t="s">
        <v>429</v>
      </c>
      <c r="F622" s="4" t="s">
        <v>100</v>
      </c>
      <c r="G622" s="4">
        <f t="shared" ca="1" si="27"/>
        <v>40</v>
      </c>
      <c r="H622" s="4">
        <v>8</v>
      </c>
      <c r="I622">
        <f t="shared" ca="1" si="28"/>
        <v>320</v>
      </c>
      <c r="J622">
        <f t="shared" si="29"/>
        <v>4</v>
      </c>
      <c r="K622" t="str">
        <f>VLOOKUP(E622,地区表!$A$2:$C$255,3,FALSE)</f>
        <v>西南</v>
      </c>
      <c r="L622" s="23" t="str" cm="1">
        <f t="array" ref="L622:N622">_xlfn.TEXTSPLIT(A622,"-")</f>
        <v>CN</v>
      </c>
      <c r="M622" s="22" t="str">
        <v>2116</v>
      </c>
      <c r="N622" s="22" t="str">
        <v>3122639</v>
      </c>
    </row>
    <row r="623" spans="1:14" ht="15.6">
      <c r="A623" s="4" t="s">
        <v>700</v>
      </c>
      <c r="B623" s="5">
        <v>44667.495004208497</v>
      </c>
      <c r="C623" s="5">
        <v>44669.527215280097</v>
      </c>
      <c r="D623" s="4" t="s">
        <v>94</v>
      </c>
      <c r="E623" s="4" t="s">
        <v>429</v>
      </c>
      <c r="F623" s="4" t="s">
        <v>141</v>
      </c>
      <c r="G623" s="4">
        <f t="shared" ca="1" si="27"/>
        <v>46</v>
      </c>
      <c r="H623" s="4">
        <v>4</v>
      </c>
      <c r="I623">
        <f t="shared" ca="1" si="28"/>
        <v>184</v>
      </c>
      <c r="J623">
        <f t="shared" si="29"/>
        <v>4</v>
      </c>
      <c r="K623" t="str">
        <f>VLOOKUP(E623,地区表!$A$2:$C$255,3,FALSE)</f>
        <v>西南</v>
      </c>
      <c r="L623" s="23" t="str" cm="1">
        <f t="array" ref="L623:N623">_xlfn.TEXTSPLIT(A623,"-")</f>
        <v>CN</v>
      </c>
      <c r="M623" s="22" t="str">
        <v>2116</v>
      </c>
      <c r="N623" s="22" t="str">
        <v>3122639</v>
      </c>
    </row>
    <row r="624" spans="1:14" ht="15.6">
      <c r="A624" s="4" t="s">
        <v>700</v>
      </c>
      <c r="B624" s="5">
        <v>44667.002861021501</v>
      </c>
      <c r="C624" s="5">
        <v>44669.465265495201</v>
      </c>
      <c r="D624" s="4" t="s">
        <v>94</v>
      </c>
      <c r="E624" s="4" t="s">
        <v>429</v>
      </c>
      <c r="F624" s="4" t="s">
        <v>106</v>
      </c>
      <c r="G624" s="4">
        <f t="shared" ca="1" si="27"/>
        <v>34</v>
      </c>
      <c r="H624" s="4">
        <v>2</v>
      </c>
      <c r="I624">
        <f t="shared" ca="1" si="28"/>
        <v>68</v>
      </c>
      <c r="J624">
        <f t="shared" si="29"/>
        <v>4</v>
      </c>
      <c r="K624" t="str">
        <f>VLOOKUP(E624,地区表!$A$2:$C$255,3,FALSE)</f>
        <v>西南</v>
      </c>
      <c r="L624" s="23" t="str" cm="1">
        <f t="array" ref="L624:N624">_xlfn.TEXTSPLIT(A624,"-")</f>
        <v>CN</v>
      </c>
      <c r="M624" s="22" t="str">
        <v>2116</v>
      </c>
      <c r="N624" s="22" t="str">
        <v>3122639</v>
      </c>
    </row>
    <row r="625" spans="1:14" ht="15.6">
      <c r="A625" s="4" t="s">
        <v>293</v>
      </c>
      <c r="B625" s="5">
        <v>44687.7925114319</v>
      </c>
      <c r="C625" s="5">
        <v>44692.849201343102</v>
      </c>
      <c r="D625" s="4" t="s">
        <v>98</v>
      </c>
      <c r="E625" s="4" t="s">
        <v>294</v>
      </c>
      <c r="F625" s="4" t="s">
        <v>125</v>
      </c>
      <c r="G625" s="4">
        <f t="shared" ca="1" si="27"/>
        <v>15</v>
      </c>
      <c r="H625" s="4">
        <v>4</v>
      </c>
      <c r="I625">
        <f t="shared" ca="1" si="28"/>
        <v>60</v>
      </c>
      <c r="J625">
        <f t="shared" si="29"/>
        <v>5</v>
      </c>
      <c r="K625" t="str">
        <f>VLOOKUP(E625,地区表!$A$2:$C$255,3,FALSE)</f>
        <v>华北</v>
      </c>
      <c r="L625" s="23" t="str" cm="1">
        <f t="array" ref="L625:N625">_xlfn.TEXTSPLIT(A625,"-")</f>
        <v>CN</v>
      </c>
      <c r="M625" s="22" t="str">
        <v>2136</v>
      </c>
      <c r="N625" s="22" t="str">
        <v>3065733</v>
      </c>
    </row>
    <row r="626" spans="1:14" ht="15.6">
      <c r="A626" s="4" t="s">
        <v>769</v>
      </c>
      <c r="B626" s="5">
        <v>44967.561409115799</v>
      </c>
      <c r="C626" s="5">
        <v>44971.737963223801</v>
      </c>
      <c r="D626" s="4" t="s">
        <v>98</v>
      </c>
      <c r="E626" s="4" t="s">
        <v>294</v>
      </c>
      <c r="F626" s="4" t="s">
        <v>130</v>
      </c>
      <c r="G626" s="4">
        <f t="shared" ca="1" si="27"/>
        <v>53</v>
      </c>
      <c r="H626" s="4">
        <v>5</v>
      </c>
      <c r="I626">
        <f t="shared" ca="1" si="28"/>
        <v>265</v>
      </c>
      <c r="J626">
        <f t="shared" si="29"/>
        <v>2</v>
      </c>
      <c r="K626" t="str">
        <f>VLOOKUP(E626,地区表!$A$2:$C$255,3,FALSE)</f>
        <v>华北</v>
      </c>
      <c r="L626" s="23" t="str" cm="1">
        <f t="array" ref="L626:N626">_xlfn.TEXTSPLIT(A626,"-")</f>
        <v>CN</v>
      </c>
      <c r="M626" s="22" t="str">
        <v>2416</v>
      </c>
      <c r="N626" s="22" t="str">
        <v>3904829</v>
      </c>
    </row>
    <row r="627" spans="1:14" ht="15.6">
      <c r="A627" s="4" t="s">
        <v>769</v>
      </c>
      <c r="B627" s="5">
        <v>44967.939474383697</v>
      </c>
      <c r="C627" s="5">
        <v>44971.9418168431</v>
      </c>
      <c r="D627" s="4" t="s">
        <v>98</v>
      </c>
      <c r="E627" s="4" t="s">
        <v>294</v>
      </c>
      <c r="F627" s="4" t="s">
        <v>100</v>
      </c>
      <c r="G627" s="4">
        <f t="shared" ca="1" si="27"/>
        <v>99</v>
      </c>
      <c r="H627" s="4">
        <v>2</v>
      </c>
      <c r="I627">
        <f t="shared" ca="1" si="28"/>
        <v>198</v>
      </c>
      <c r="J627">
        <f t="shared" si="29"/>
        <v>2</v>
      </c>
      <c r="K627" t="str">
        <f>VLOOKUP(E627,地区表!$A$2:$C$255,3,FALSE)</f>
        <v>华北</v>
      </c>
      <c r="L627" s="23" t="str" cm="1">
        <f t="array" ref="L627:N627">_xlfn.TEXTSPLIT(A627,"-")</f>
        <v>CN</v>
      </c>
      <c r="M627" s="22" t="str">
        <v>2416</v>
      </c>
      <c r="N627" s="22" t="str">
        <v>3904829</v>
      </c>
    </row>
    <row r="628" spans="1:14" ht="15.6">
      <c r="A628" s="4" t="s">
        <v>769</v>
      </c>
      <c r="B628" s="5">
        <v>44967.442789629102</v>
      </c>
      <c r="C628" s="5">
        <v>44971.168098267197</v>
      </c>
      <c r="D628" s="4" t="s">
        <v>98</v>
      </c>
      <c r="E628" s="4" t="s">
        <v>294</v>
      </c>
      <c r="F628" s="4" t="s">
        <v>121</v>
      </c>
      <c r="G628" s="4">
        <f t="shared" ca="1" si="27"/>
        <v>21</v>
      </c>
      <c r="H628" s="4">
        <v>2</v>
      </c>
      <c r="I628">
        <f t="shared" ca="1" si="28"/>
        <v>42</v>
      </c>
      <c r="J628">
        <f t="shared" si="29"/>
        <v>2</v>
      </c>
      <c r="K628" t="str">
        <f>VLOOKUP(E628,地区表!$A$2:$C$255,3,FALSE)</f>
        <v>华北</v>
      </c>
      <c r="L628" s="23" t="str" cm="1">
        <f t="array" ref="L628:N628">_xlfn.TEXTSPLIT(A628,"-")</f>
        <v>CN</v>
      </c>
      <c r="M628" s="22" t="str">
        <v>2416</v>
      </c>
      <c r="N628" s="22" t="str">
        <v>3904829</v>
      </c>
    </row>
    <row r="629" spans="1:14" ht="15.6">
      <c r="A629" s="4" t="s">
        <v>281</v>
      </c>
      <c r="B629" s="5">
        <v>44630.376762947999</v>
      </c>
      <c r="C629" s="5">
        <v>44635.961572875298</v>
      </c>
      <c r="D629" s="4" t="s">
        <v>98</v>
      </c>
      <c r="E629" s="4" t="s">
        <v>282</v>
      </c>
      <c r="F629" s="4" t="s">
        <v>118</v>
      </c>
      <c r="G629" s="4">
        <f t="shared" ca="1" si="27"/>
        <v>83</v>
      </c>
      <c r="H629" s="4">
        <v>6</v>
      </c>
      <c r="I629">
        <f t="shared" ca="1" si="28"/>
        <v>498</v>
      </c>
      <c r="J629">
        <f t="shared" si="29"/>
        <v>3</v>
      </c>
      <c r="K629" t="str">
        <f>VLOOKUP(E629,地区表!$A$2:$C$255,3,FALSE)</f>
        <v>中南</v>
      </c>
      <c r="L629" s="23" t="str" cm="1">
        <f t="array" ref="L629:N629">_xlfn.TEXTSPLIT(A629,"-")</f>
        <v>CN</v>
      </c>
      <c r="M629" s="22" t="str">
        <v>2079</v>
      </c>
      <c r="N629" s="22" t="str">
        <v>2648094</v>
      </c>
    </row>
    <row r="630" spans="1:14" ht="15.6">
      <c r="A630" s="4" t="s">
        <v>281</v>
      </c>
      <c r="B630" s="5">
        <v>44630.8878014031</v>
      </c>
      <c r="C630" s="5">
        <v>44635.905423554403</v>
      </c>
      <c r="D630" s="4" t="s">
        <v>98</v>
      </c>
      <c r="E630" s="4" t="s">
        <v>282</v>
      </c>
      <c r="F630" s="4" t="s">
        <v>122</v>
      </c>
      <c r="G630" s="4">
        <f t="shared" ca="1" si="27"/>
        <v>76</v>
      </c>
      <c r="H630" s="4">
        <v>4</v>
      </c>
      <c r="I630">
        <f t="shared" ca="1" si="28"/>
        <v>304</v>
      </c>
      <c r="J630">
        <f t="shared" si="29"/>
        <v>3</v>
      </c>
      <c r="K630" t="str">
        <f>VLOOKUP(E630,地区表!$A$2:$C$255,3,FALSE)</f>
        <v>中南</v>
      </c>
      <c r="L630" s="23" t="str" cm="1">
        <f t="array" ref="L630:N630">_xlfn.TEXTSPLIT(A630,"-")</f>
        <v>CN</v>
      </c>
      <c r="M630" s="22" t="str">
        <v>2079</v>
      </c>
      <c r="N630" s="22" t="str">
        <v>2648094</v>
      </c>
    </row>
    <row r="631" spans="1:14" ht="15.6">
      <c r="A631" s="4" t="s">
        <v>438</v>
      </c>
      <c r="B631" s="5">
        <v>44245.686612351899</v>
      </c>
      <c r="C631" s="5">
        <v>44249.031341440001</v>
      </c>
      <c r="D631" s="4" t="s">
        <v>98</v>
      </c>
      <c r="E631" s="4" t="s">
        <v>439</v>
      </c>
      <c r="F631" s="4" t="s">
        <v>118</v>
      </c>
      <c r="G631" s="4">
        <f t="shared" ca="1" si="27"/>
        <v>94</v>
      </c>
      <c r="H631" s="4">
        <v>3</v>
      </c>
      <c r="I631">
        <f t="shared" ca="1" si="28"/>
        <v>282</v>
      </c>
      <c r="J631">
        <f t="shared" si="29"/>
        <v>2</v>
      </c>
      <c r="K631" t="str">
        <f>VLOOKUP(E631,地区表!$A$2:$C$255,3,FALSE)</f>
        <v>东北</v>
      </c>
      <c r="L631" s="23" t="str" cm="1">
        <f t="array" ref="L631:N631">_xlfn.TEXTSPLIT(A631,"-")</f>
        <v>US</v>
      </c>
      <c r="M631" s="22" t="str">
        <v>2789</v>
      </c>
      <c r="N631" s="22" t="str">
        <v>1399108</v>
      </c>
    </row>
    <row r="632" spans="1:14" ht="15.6">
      <c r="A632" s="4" t="s">
        <v>438</v>
      </c>
      <c r="B632" s="5">
        <v>44245.257877950397</v>
      </c>
      <c r="C632" s="5">
        <v>44249.219872445603</v>
      </c>
      <c r="D632" s="4" t="s">
        <v>98</v>
      </c>
      <c r="E632" s="4" t="s">
        <v>439</v>
      </c>
      <c r="F632" s="4" t="s">
        <v>121</v>
      </c>
      <c r="G632" s="4">
        <f t="shared" ca="1" si="27"/>
        <v>98</v>
      </c>
      <c r="H632" s="4">
        <v>2</v>
      </c>
      <c r="I632">
        <f t="shared" ca="1" si="28"/>
        <v>196</v>
      </c>
      <c r="J632">
        <f t="shared" si="29"/>
        <v>2</v>
      </c>
      <c r="K632" t="str">
        <f>VLOOKUP(E632,地区表!$A$2:$C$255,3,FALSE)</f>
        <v>东北</v>
      </c>
      <c r="L632" s="23" t="str" cm="1">
        <f t="array" ref="L632:N632">_xlfn.TEXTSPLIT(A632,"-")</f>
        <v>US</v>
      </c>
      <c r="M632" s="22" t="str">
        <v>2789</v>
      </c>
      <c r="N632" s="22" t="str">
        <v>1399108</v>
      </c>
    </row>
    <row r="633" spans="1:14" ht="15.6">
      <c r="A633" s="4" t="s">
        <v>438</v>
      </c>
      <c r="B633" s="5">
        <v>44245.560701269198</v>
      </c>
      <c r="C633" s="5">
        <v>44249.699094060401</v>
      </c>
      <c r="D633" s="4" t="s">
        <v>98</v>
      </c>
      <c r="E633" s="4" t="s">
        <v>439</v>
      </c>
      <c r="F633" s="4" t="s">
        <v>101</v>
      </c>
      <c r="G633" s="4">
        <f t="shared" ca="1" si="27"/>
        <v>57</v>
      </c>
      <c r="H633" s="4">
        <v>5</v>
      </c>
      <c r="I633">
        <f t="shared" ca="1" si="28"/>
        <v>285</v>
      </c>
      <c r="J633">
        <f t="shared" si="29"/>
        <v>2</v>
      </c>
      <c r="K633" t="str">
        <f>VLOOKUP(E633,地区表!$A$2:$C$255,3,FALSE)</f>
        <v>东北</v>
      </c>
      <c r="L633" s="23" t="str" cm="1">
        <f t="array" ref="L633:N633">_xlfn.TEXTSPLIT(A633,"-")</f>
        <v>US</v>
      </c>
      <c r="M633" s="22" t="str">
        <v>2789</v>
      </c>
      <c r="N633" s="22" t="str">
        <v>1399108</v>
      </c>
    </row>
    <row r="634" spans="1:14" ht="15.6">
      <c r="A634" s="4" t="s">
        <v>438</v>
      </c>
      <c r="B634" s="5">
        <v>44245.010062403897</v>
      </c>
      <c r="C634" s="5">
        <v>44249.047672582499</v>
      </c>
      <c r="D634" s="4" t="s">
        <v>98</v>
      </c>
      <c r="E634" s="4" t="s">
        <v>439</v>
      </c>
      <c r="F634" s="4" t="s">
        <v>96</v>
      </c>
      <c r="G634" s="4">
        <f t="shared" ca="1" si="27"/>
        <v>65</v>
      </c>
      <c r="H634" s="4">
        <v>4</v>
      </c>
      <c r="I634">
        <f t="shared" ca="1" si="28"/>
        <v>260</v>
      </c>
      <c r="J634">
        <f t="shared" si="29"/>
        <v>2</v>
      </c>
      <c r="K634" t="str">
        <f>VLOOKUP(E634,地区表!$A$2:$C$255,3,FALSE)</f>
        <v>东北</v>
      </c>
      <c r="L634" s="23" t="str" cm="1">
        <f t="array" ref="L634:N634">_xlfn.TEXTSPLIT(A634,"-")</f>
        <v>US</v>
      </c>
      <c r="M634" s="22" t="str">
        <v>2789</v>
      </c>
      <c r="N634" s="22" t="str">
        <v>1399108</v>
      </c>
    </row>
    <row r="635" spans="1:14" ht="15.6">
      <c r="A635" s="4" t="s">
        <v>438</v>
      </c>
      <c r="B635" s="5">
        <v>44245.145088096499</v>
      </c>
      <c r="C635" s="5">
        <v>44249.988929855303</v>
      </c>
      <c r="D635" s="4" t="s">
        <v>98</v>
      </c>
      <c r="E635" s="4" t="s">
        <v>439</v>
      </c>
      <c r="F635" s="4" t="s">
        <v>131</v>
      </c>
      <c r="G635" s="4">
        <f t="shared" ca="1" si="27"/>
        <v>61</v>
      </c>
      <c r="H635" s="4">
        <v>4</v>
      </c>
      <c r="I635">
        <f t="shared" ca="1" si="28"/>
        <v>244</v>
      </c>
      <c r="J635">
        <f t="shared" si="29"/>
        <v>2</v>
      </c>
      <c r="K635" t="str">
        <f>VLOOKUP(E635,地区表!$A$2:$C$255,3,FALSE)</f>
        <v>东北</v>
      </c>
      <c r="L635" s="23" t="str" cm="1">
        <f t="array" ref="L635:N635">_xlfn.TEXTSPLIT(A635,"-")</f>
        <v>US</v>
      </c>
      <c r="M635" s="22" t="str">
        <v>2789</v>
      </c>
      <c r="N635" s="22" t="str">
        <v>1399108</v>
      </c>
    </row>
    <row r="636" spans="1:14" ht="15.6">
      <c r="A636" s="4" t="s">
        <v>438</v>
      </c>
      <c r="B636" s="5">
        <v>44245.380786232898</v>
      </c>
      <c r="C636" s="5">
        <v>44249.4268453724</v>
      </c>
      <c r="D636" s="4" t="s">
        <v>98</v>
      </c>
      <c r="E636" s="4" t="s">
        <v>439</v>
      </c>
      <c r="F636" s="4" t="s">
        <v>141</v>
      </c>
      <c r="G636" s="4">
        <f t="shared" ca="1" si="27"/>
        <v>53</v>
      </c>
      <c r="H636" s="4">
        <v>1</v>
      </c>
      <c r="I636">
        <f t="shared" ca="1" si="28"/>
        <v>53</v>
      </c>
      <c r="J636">
        <f t="shared" si="29"/>
        <v>2</v>
      </c>
      <c r="K636" t="str">
        <f>VLOOKUP(E636,地区表!$A$2:$C$255,3,FALSE)</f>
        <v>东北</v>
      </c>
      <c r="L636" s="23" t="str" cm="1">
        <f t="array" ref="L636:N636">_xlfn.TEXTSPLIT(A636,"-")</f>
        <v>US</v>
      </c>
      <c r="M636" s="22" t="str">
        <v>2789</v>
      </c>
      <c r="N636" s="22" t="str">
        <v>1399108</v>
      </c>
    </row>
    <row r="637" spans="1:14" ht="15.6">
      <c r="A637" s="4" t="s">
        <v>426</v>
      </c>
      <c r="B637" s="5">
        <v>45201.993667452298</v>
      </c>
      <c r="C637" s="5">
        <v>45206.588055923698</v>
      </c>
      <c r="D637" s="4" t="s">
        <v>98</v>
      </c>
      <c r="E637" s="4" t="s">
        <v>427</v>
      </c>
      <c r="F637" s="4" t="s">
        <v>125</v>
      </c>
      <c r="G637" s="4">
        <f t="shared" ca="1" si="27"/>
        <v>17</v>
      </c>
      <c r="H637" s="4">
        <v>5</v>
      </c>
      <c r="I637">
        <f t="shared" ca="1" si="28"/>
        <v>85</v>
      </c>
      <c r="J637">
        <f t="shared" si="29"/>
        <v>10</v>
      </c>
      <c r="K637" t="str">
        <f>VLOOKUP(E637,地区表!$A$2:$C$255,3,FALSE)</f>
        <v>中南</v>
      </c>
      <c r="L637" s="23" t="str" cm="1">
        <f t="array" ref="L637:N637">_xlfn.TEXTSPLIT(A637,"-")</f>
        <v>CN</v>
      </c>
      <c r="M637" s="22" t="str">
        <v>1919</v>
      </c>
      <c r="N637" s="22" t="str">
        <v>5929986</v>
      </c>
    </row>
    <row r="638" spans="1:14" ht="15.6">
      <c r="A638" s="4" t="s">
        <v>557</v>
      </c>
      <c r="B638" s="5">
        <v>44252.1298232669</v>
      </c>
      <c r="C638" s="5">
        <v>44257.616419134501</v>
      </c>
      <c r="D638" s="4" t="s">
        <v>94</v>
      </c>
      <c r="E638" s="4" t="s">
        <v>427</v>
      </c>
      <c r="F638" s="4" t="s">
        <v>130</v>
      </c>
      <c r="G638" s="4">
        <f t="shared" ca="1" si="27"/>
        <v>36</v>
      </c>
      <c r="H638" s="4">
        <v>3</v>
      </c>
      <c r="I638">
        <f t="shared" ca="1" si="28"/>
        <v>108</v>
      </c>
      <c r="J638">
        <f t="shared" si="29"/>
        <v>2</v>
      </c>
      <c r="K638" t="str">
        <f>VLOOKUP(E638,地区表!$A$2:$C$255,3,FALSE)</f>
        <v>中南</v>
      </c>
      <c r="L638" s="23" t="str" cm="1">
        <f t="array" ref="L638:N638">_xlfn.TEXTSPLIT(A638,"-")</f>
        <v>CN</v>
      </c>
      <c r="M638" s="22" t="str">
        <v>2796</v>
      </c>
      <c r="N638" s="22" t="str">
        <v>3360134</v>
      </c>
    </row>
    <row r="639" spans="1:14" ht="15.6">
      <c r="A639" s="4" t="s">
        <v>557</v>
      </c>
      <c r="B639" s="5">
        <v>44252.5512774409</v>
      </c>
      <c r="C639" s="5">
        <v>44257.194459159</v>
      </c>
      <c r="D639" s="4" t="s">
        <v>94</v>
      </c>
      <c r="E639" s="4" t="s">
        <v>427</v>
      </c>
      <c r="F639" s="4" t="s">
        <v>96</v>
      </c>
      <c r="G639" s="4">
        <f t="shared" ca="1" si="27"/>
        <v>52</v>
      </c>
      <c r="H639" s="4">
        <v>2</v>
      </c>
      <c r="I639">
        <f t="shared" ca="1" si="28"/>
        <v>104</v>
      </c>
      <c r="J639">
        <f t="shared" si="29"/>
        <v>2</v>
      </c>
      <c r="K639" t="str">
        <f>VLOOKUP(E639,地区表!$A$2:$C$255,3,FALSE)</f>
        <v>中南</v>
      </c>
      <c r="L639" s="23" t="str" cm="1">
        <f t="array" ref="L639:N639">_xlfn.TEXTSPLIT(A639,"-")</f>
        <v>CN</v>
      </c>
      <c r="M639" s="22" t="str">
        <v>2796</v>
      </c>
      <c r="N639" s="22" t="str">
        <v>3360134</v>
      </c>
    </row>
    <row r="640" spans="1:14" ht="15.6">
      <c r="A640" s="4" t="s">
        <v>766</v>
      </c>
      <c r="B640" s="5">
        <v>44364.855290600703</v>
      </c>
      <c r="C640" s="5">
        <v>44370.7231842697</v>
      </c>
      <c r="D640" s="4" t="s">
        <v>98</v>
      </c>
      <c r="E640" s="4" t="s">
        <v>427</v>
      </c>
      <c r="F640" s="4" t="s">
        <v>111</v>
      </c>
      <c r="G640" s="4">
        <f t="shared" ca="1" si="27"/>
        <v>10</v>
      </c>
      <c r="H640" s="4">
        <v>6</v>
      </c>
      <c r="I640">
        <f t="shared" ca="1" si="28"/>
        <v>60</v>
      </c>
      <c r="J640">
        <f t="shared" si="29"/>
        <v>6</v>
      </c>
      <c r="K640" t="str">
        <f>VLOOKUP(E640,地区表!$A$2:$C$255,3,FALSE)</f>
        <v>中南</v>
      </c>
      <c r="L640" s="23" t="str" cm="1">
        <f t="array" ref="L640:N640">_xlfn.TEXTSPLIT(A640,"-")</f>
        <v>CN</v>
      </c>
      <c r="M640" s="22" t="str">
        <v>2908</v>
      </c>
      <c r="N640" s="22" t="str">
        <v>2274876</v>
      </c>
    </row>
    <row r="641" spans="1:14" ht="15.6">
      <c r="A641" s="4" t="s">
        <v>308</v>
      </c>
      <c r="B641" s="5">
        <v>44268.272211413401</v>
      </c>
      <c r="C641" s="5">
        <v>44272.157161466799</v>
      </c>
      <c r="D641" s="4" t="s">
        <v>114</v>
      </c>
      <c r="E641" s="4" t="s">
        <v>309</v>
      </c>
      <c r="F641" s="4" t="s">
        <v>109</v>
      </c>
      <c r="G641" s="4">
        <f t="shared" ca="1" si="27"/>
        <v>72</v>
      </c>
      <c r="H641" s="4">
        <v>3</v>
      </c>
      <c r="I641">
        <f t="shared" ca="1" si="28"/>
        <v>216</v>
      </c>
      <c r="J641">
        <f t="shared" si="29"/>
        <v>3</v>
      </c>
      <c r="K641" t="str">
        <f>VLOOKUP(E641,地区表!$A$2:$C$255,3,FALSE)</f>
        <v>中南</v>
      </c>
      <c r="L641" s="23" t="str" cm="1">
        <f t="array" ref="L641:N641">_xlfn.TEXTSPLIT(A641,"-")</f>
        <v>CN</v>
      </c>
      <c r="M641" s="22" t="str">
        <v>2812</v>
      </c>
      <c r="N641" s="22" t="str">
        <v>3253076</v>
      </c>
    </row>
    <row r="642" spans="1:14" ht="15.6">
      <c r="A642" s="4" t="s">
        <v>308</v>
      </c>
      <c r="B642" s="5">
        <v>44268.490107864003</v>
      </c>
      <c r="C642" s="5">
        <v>44272.336646857097</v>
      </c>
      <c r="D642" s="4" t="s">
        <v>114</v>
      </c>
      <c r="E642" s="4" t="s">
        <v>309</v>
      </c>
      <c r="F642" s="4" t="s">
        <v>122</v>
      </c>
      <c r="G642" s="4">
        <f t="shared" ref="G642:G705" ca="1" si="30">RANDBETWEEN(10,100)</f>
        <v>54</v>
      </c>
      <c r="H642" s="4">
        <v>11</v>
      </c>
      <c r="I642">
        <f t="shared" ca="1" si="28"/>
        <v>594</v>
      </c>
      <c r="J642">
        <f t="shared" si="29"/>
        <v>3</v>
      </c>
      <c r="K642" t="str">
        <f>VLOOKUP(E642,地区表!$A$2:$C$255,3,FALSE)</f>
        <v>中南</v>
      </c>
      <c r="L642" s="23" t="str" cm="1">
        <f t="array" ref="L642:N642">_xlfn.TEXTSPLIT(A642,"-")</f>
        <v>CN</v>
      </c>
      <c r="M642" s="22" t="str">
        <v>2812</v>
      </c>
      <c r="N642" s="22" t="str">
        <v>3253076</v>
      </c>
    </row>
    <row r="643" spans="1:14" ht="15.6">
      <c r="A643" s="4" t="s">
        <v>629</v>
      </c>
      <c r="B643" s="5">
        <v>44940.224782739002</v>
      </c>
      <c r="C643" s="5">
        <v>44944.1289011544</v>
      </c>
      <c r="D643" s="4" t="s">
        <v>98</v>
      </c>
      <c r="E643" s="4" t="s">
        <v>309</v>
      </c>
      <c r="F643" s="4" t="s">
        <v>111</v>
      </c>
      <c r="G643" s="4">
        <f t="shared" ca="1" si="30"/>
        <v>30</v>
      </c>
      <c r="H643" s="4">
        <v>2</v>
      </c>
      <c r="I643">
        <f t="shared" ref="I643:I706" ca="1" si="31">G643*H643</f>
        <v>60</v>
      </c>
      <c r="J643">
        <f t="shared" ref="J643:J706" si="32">MONTH(B643)</f>
        <v>1</v>
      </c>
      <c r="K643" t="str">
        <f>VLOOKUP(E643,地区表!$A$2:$C$255,3,FALSE)</f>
        <v>中南</v>
      </c>
      <c r="L643" s="23" t="str" cm="1">
        <f t="array" ref="L643:N643">_xlfn.TEXTSPLIT(A643,"-")</f>
        <v>CN</v>
      </c>
      <c r="M643" s="22" t="str">
        <v>2389</v>
      </c>
      <c r="N643" s="22" t="str">
        <v>4302272</v>
      </c>
    </row>
    <row r="644" spans="1:14" ht="15.6">
      <c r="A644" s="4" t="s">
        <v>767</v>
      </c>
      <c r="B644" s="5">
        <v>45002.0275844438</v>
      </c>
      <c r="C644" s="5">
        <v>45002.989285874297</v>
      </c>
      <c r="D644" s="4" t="s">
        <v>94</v>
      </c>
      <c r="E644" s="4" t="s">
        <v>309</v>
      </c>
      <c r="F644" s="4" t="s">
        <v>122</v>
      </c>
      <c r="G644" s="4">
        <f t="shared" ca="1" si="30"/>
        <v>79</v>
      </c>
      <c r="H644" s="4">
        <v>2</v>
      </c>
      <c r="I644">
        <f t="shared" ca="1" si="31"/>
        <v>158</v>
      </c>
      <c r="J644">
        <f t="shared" si="32"/>
        <v>3</v>
      </c>
      <c r="K644" t="str">
        <f>VLOOKUP(E644,地区表!$A$2:$C$255,3,FALSE)</f>
        <v>中南</v>
      </c>
      <c r="L644" s="23" t="str" cm="1">
        <f t="array" ref="L644:N644">_xlfn.TEXTSPLIT(A644,"-")</f>
        <v>CN</v>
      </c>
      <c r="M644" s="22" t="str">
        <v>2451</v>
      </c>
      <c r="N644" s="22" t="str">
        <v>3954075</v>
      </c>
    </row>
    <row r="645" spans="1:14" ht="15.6">
      <c r="A645" s="4" t="s">
        <v>567</v>
      </c>
      <c r="B645" s="5">
        <v>45067.258004383497</v>
      </c>
      <c r="C645" s="5">
        <v>45070.168559049504</v>
      </c>
      <c r="D645" s="4" t="s">
        <v>98</v>
      </c>
      <c r="E645" s="4" t="s">
        <v>568</v>
      </c>
      <c r="F645" s="4" t="s">
        <v>121</v>
      </c>
      <c r="G645" s="4">
        <f t="shared" ca="1" si="30"/>
        <v>40</v>
      </c>
      <c r="H645" s="4">
        <v>5</v>
      </c>
      <c r="I645">
        <f t="shared" ca="1" si="31"/>
        <v>200</v>
      </c>
      <c r="J645">
        <f t="shared" si="32"/>
        <v>5</v>
      </c>
      <c r="K645" t="str">
        <f>VLOOKUP(E645,地区表!$A$2:$C$255,3,FALSE)</f>
        <v>华东</v>
      </c>
      <c r="L645" s="23" t="str" cm="1">
        <f t="array" ref="L645:N645">_xlfn.TEXTSPLIT(A645,"-")</f>
        <v>CN</v>
      </c>
      <c r="M645" s="22" t="str">
        <v>2516</v>
      </c>
      <c r="N645" s="22" t="str">
        <v>2171205</v>
      </c>
    </row>
    <row r="646" spans="1:14" ht="15.6">
      <c r="A646" s="4" t="s">
        <v>567</v>
      </c>
      <c r="B646" s="5">
        <v>45067.193517932203</v>
      </c>
      <c r="C646" s="5">
        <v>45070.314994515997</v>
      </c>
      <c r="D646" s="4" t="s">
        <v>98</v>
      </c>
      <c r="E646" s="4" t="s">
        <v>568</v>
      </c>
      <c r="F646" s="4" t="s">
        <v>131</v>
      </c>
      <c r="G646" s="4">
        <f t="shared" ca="1" si="30"/>
        <v>14</v>
      </c>
      <c r="H646" s="4">
        <v>3</v>
      </c>
      <c r="I646">
        <f t="shared" ca="1" si="31"/>
        <v>42</v>
      </c>
      <c r="J646">
        <f t="shared" si="32"/>
        <v>5</v>
      </c>
      <c r="K646" t="str">
        <f>VLOOKUP(E646,地区表!$A$2:$C$255,3,FALSE)</f>
        <v>华东</v>
      </c>
      <c r="L646" s="23" t="str" cm="1">
        <f t="array" ref="L646:N646">_xlfn.TEXTSPLIT(A646,"-")</f>
        <v>CN</v>
      </c>
      <c r="M646" s="22" t="str">
        <v>2516</v>
      </c>
      <c r="N646" s="22" t="str">
        <v>2171205</v>
      </c>
    </row>
    <row r="647" spans="1:14" ht="15.6">
      <c r="A647" s="4" t="s">
        <v>668</v>
      </c>
      <c r="B647" s="5">
        <v>44487.094284762403</v>
      </c>
      <c r="C647" s="5">
        <v>44489.327242935004</v>
      </c>
      <c r="D647" s="4" t="s">
        <v>94</v>
      </c>
      <c r="E647" s="4" t="s">
        <v>669</v>
      </c>
      <c r="F647" s="4" t="s">
        <v>100</v>
      </c>
      <c r="G647" s="4">
        <f t="shared" ca="1" si="30"/>
        <v>12</v>
      </c>
      <c r="H647" s="4">
        <v>7</v>
      </c>
      <c r="I647">
        <f t="shared" ca="1" si="31"/>
        <v>84</v>
      </c>
      <c r="J647">
        <f t="shared" si="32"/>
        <v>10</v>
      </c>
      <c r="K647" t="str">
        <f>VLOOKUP(E647,地区表!$A$2:$C$255,3,FALSE)</f>
        <v>中南</v>
      </c>
      <c r="L647" s="23" t="str" cm="1">
        <f t="array" ref="L647:N647">_xlfn.TEXTSPLIT(A647,"-")</f>
        <v>CN</v>
      </c>
      <c r="M647" s="22" t="str">
        <v>3031</v>
      </c>
      <c r="N647" s="22" t="str">
        <v>4839636</v>
      </c>
    </row>
    <row r="648" spans="1:14" ht="15.6">
      <c r="A648" s="4" t="s">
        <v>668</v>
      </c>
      <c r="B648" s="5">
        <v>44487.025953793702</v>
      </c>
      <c r="C648" s="5">
        <v>44489.035567990497</v>
      </c>
      <c r="D648" s="4" t="s">
        <v>94</v>
      </c>
      <c r="E648" s="4" t="s">
        <v>669</v>
      </c>
      <c r="F648" s="4" t="s">
        <v>118</v>
      </c>
      <c r="G648" s="4">
        <f t="shared" ca="1" si="30"/>
        <v>75</v>
      </c>
      <c r="H648" s="4">
        <v>2</v>
      </c>
      <c r="I648">
        <f t="shared" ca="1" si="31"/>
        <v>150</v>
      </c>
      <c r="J648">
        <f t="shared" si="32"/>
        <v>10</v>
      </c>
      <c r="K648" t="str">
        <f>VLOOKUP(E648,地区表!$A$2:$C$255,3,FALSE)</f>
        <v>中南</v>
      </c>
      <c r="L648" s="23" t="str" cm="1">
        <f t="array" ref="L648:N648">_xlfn.TEXTSPLIT(A648,"-")</f>
        <v>CN</v>
      </c>
      <c r="M648" s="22" t="str">
        <v>3031</v>
      </c>
      <c r="N648" s="22" t="str">
        <v>4839636</v>
      </c>
    </row>
    <row r="649" spans="1:14" ht="15.6">
      <c r="A649" s="4" t="s">
        <v>668</v>
      </c>
      <c r="B649" s="5">
        <v>44487.756963137101</v>
      </c>
      <c r="C649" s="5">
        <v>44489.900792676897</v>
      </c>
      <c r="D649" s="4" t="s">
        <v>94</v>
      </c>
      <c r="E649" s="4" t="s">
        <v>669</v>
      </c>
      <c r="F649" s="4" t="s">
        <v>130</v>
      </c>
      <c r="G649" s="4">
        <f t="shared" ca="1" si="30"/>
        <v>98</v>
      </c>
      <c r="H649" s="4">
        <v>8</v>
      </c>
      <c r="I649">
        <f t="shared" ca="1" si="31"/>
        <v>784</v>
      </c>
      <c r="J649">
        <f t="shared" si="32"/>
        <v>10</v>
      </c>
      <c r="K649" t="str">
        <f>VLOOKUP(E649,地区表!$A$2:$C$255,3,FALSE)</f>
        <v>中南</v>
      </c>
      <c r="L649" s="23" t="str" cm="1">
        <f t="array" ref="L649:N649">_xlfn.TEXTSPLIT(A649,"-")</f>
        <v>CN</v>
      </c>
      <c r="M649" s="22" t="str">
        <v>3031</v>
      </c>
      <c r="N649" s="22" t="str">
        <v>4839636</v>
      </c>
    </row>
    <row r="650" spans="1:14" ht="15.6">
      <c r="A650" s="4" t="s">
        <v>668</v>
      </c>
      <c r="B650" s="5">
        <v>44487.1421901824</v>
      </c>
      <c r="C650" s="5">
        <v>44489.314970562402</v>
      </c>
      <c r="D650" s="4" t="s">
        <v>94</v>
      </c>
      <c r="E650" s="4" t="s">
        <v>669</v>
      </c>
      <c r="F650" s="4" t="s">
        <v>130</v>
      </c>
      <c r="G650" s="4">
        <f t="shared" ca="1" si="30"/>
        <v>74</v>
      </c>
      <c r="H650" s="4">
        <v>4</v>
      </c>
      <c r="I650">
        <f t="shared" ca="1" si="31"/>
        <v>296</v>
      </c>
      <c r="J650">
        <f t="shared" si="32"/>
        <v>10</v>
      </c>
      <c r="K650" t="str">
        <f>VLOOKUP(E650,地区表!$A$2:$C$255,3,FALSE)</f>
        <v>中南</v>
      </c>
      <c r="L650" s="23" t="str" cm="1">
        <f t="array" ref="L650:N650">_xlfn.TEXTSPLIT(A650,"-")</f>
        <v>CN</v>
      </c>
      <c r="M650" s="22" t="str">
        <v>3031</v>
      </c>
      <c r="N650" s="22" t="str">
        <v>4839636</v>
      </c>
    </row>
    <row r="651" spans="1:14" ht="15.6">
      <c r="A651" s="4" t="s">
        <v>668</v>
      </c>
      <c r="B651" s="5">
        <v>44487.019584080103</v>
      </c>
      <c r="C651" s="5">
        <v>44489.380117872999</v>
      </c>
      <c r="D651" s="4" t="s">
        <v>94</v>
      </c>
      <c r="E651" s="4" t="s">
        <v>669</v>
      </c>
      <c r="F651" s="4" t="s">
        <v>112</v>
      </c>
      <c r="G651" s="4">
        <f t="shared" ca="1" si="30"/>
        <v>95</v>
      </c>
      <c r="H651" s="4">
        <v>7</v>
      </c>
      <c r="I651">
        <f t="shared" ca="1" si="31"/>
        <v>665</v>
      </c>
      <c r="J651">
        <f t="shared" si="32"/>
        <v>10</v>
      </c>
      <c r="K651" t="str">
        <f>VLOOKUP(E651,地区表!$A$2:$C$255,3,FALSE)</f>
        <v>中南</v>
      </c>
      <c r="L651" s="23" t="str" cm="1">
        <f t="array" ref="L651:N651">_xlfn.TEXTSPLIT(A651,"-")</f>
        <v>CN</v>
      </c>
      <c r="M651" s="22" t="str">
        <v>3031</v>
      </c>
      <c r="N651" s="22" t="str">
        <v>4839636</v>
      </c>
    </row>
    <row r="652" spans="1:14" ht="15.6">
      <c r="A652" s="4" t="s">
        <v>668</v>
      </c>
      <c r="B652" s="5">
        <v>44487.9147789333</v>
      </c>
      <c r="C652" s="5">
        <v>44489.484757596103</v>
      </c>
      <c r="D652" s="4" t="s">
        <v>94</v>
      </c>
      <c r="E652" s="4" t="s">
        <v>669</v>
      </c>
      <c r="F652" s="4" t="s">
        <v>141</v>
      </c>
      <c r="G652" s="4">
        <f t="shared" ca="1" si="30"/>
        <v>66</v>
      </c>
      <c r="H652" s="4">
        <v>3</v>
      </c>
      <c r="I652">
        <f t="shared" ca="1" si="31"/>
        <v>198</v>
      </c>
      <c r="J652">
        <f t="shared" si="32"/>
        <v>10</v>
      </c>
      <c r="K652" t="str">
        <f>VLOOKUP(E652,地区表!$A$2:$C$255,3,FALSE)</f>
        <v>中南</v>
      </c>
      <c r="L652" s="23" t="str" cm="1">
        <f t="array" ref="L652:N652">_xlfn.TEXTSPLIT(A652,"-")</f>
        <v>CN</v>
      </c>
      <c r="M652" s="22" t="str">
        <v>3031</v>
      </c>
      <c r="N652" s="22" t="str">
        <v>4839636</v>
      </c>
    </row>
    <row r="653" spans="1:14" ht="15.6">
      <c r="A653" s="4" t="s">
        <v>668</v>
      </c>
      <c r="B653" s="5">
        <v>44487.396133722599</v>
      </c>
      <c r="C653" s="5">
        <v>44489.2191141566</v>
      </c>
      <c r="D653" s="4" t="s">
        <v>94</v>
      </c>
      <c r="E653" s="4" t="s">
        <v>669</v>
      </c>
      <c r="F653" s="4" t="s">
        <v>109</v>
      </c>
      <c r="G653" s="4">
        <f t="shared" ca="1" si="30"/>
        <v>15</v>
      </c>
      <c r="H653" s="4">
        <v>4</v>
      </c>
      <c r="I653">
        <f t="shared" ca="1" si="31"/>
        <v>60</v>
      </c>
      <c r="J653">
        <f t="shared" si="32"/>
        <v>10</v>
      </c>
      <c r="K653" t="str">
        <f>VLOOKUP(E653,地区表!$A$2:$C$255,3,FALSE)</f>
        <v>中南</v>
      </c>
      <c r="L653" s="23" t="str" cm="1">
        <f t="array" ref="L653:N653">_xlfn.TEXTSPLIT(A653,"-")</f>
        <v>CN</v>
      </c>
      <c r="M653" s="22" t="str">
        <v>3031</v>
      </c>
      <c r="N653" s="22" t="str">
        <v>4839636</v>
      </c>
    </row>
    <row r="654" spans="1:14" ht="15.6">
      <c r="A654" s="4" t="s">
        <v>234</v>
      </c>
      <c r="B654" s="5">
        <v>44963.907533986297</v>
      </c>
      <c r="C654" s="5">
        <v>44969.638079053198</v>
      </c>
      <c r="D654" s="4" t="s">
        <v>98</v>
      </c>
      <c r="E654" s="4" t="s">
        <v>235</v>
      </c>
      <c r="F654" s="4" t="s">
        <v>110</v>
      </c>
      <c r="G654" s="4">
        <f t="shared" ca="1" si="30"/>
        <v>49</v>
      </c>
      <c r="H654" s="4">
        <v>5</v>
      </c>
      <c r="I654">
        <f t="shared" ca="1" si="31"/>
        <v>245</v>
      </c>
      <c r="J654">
        <f t="shared" si="32"/>
        <v>2</v>
      </c>
      <c r="K654" t="str">
        <f>VLOOKUP(E654,地区表!$A$2:$C$255,3,FALSE)</f>
        <v>华东</v>
      </c>
      <c r="L654" s="23" t="str" cm="1">
        <f t="array" ref="L654:N654">_xlfn.TEXTSPLIT(A654,"-")</f>
        <v>CN</v>
      </c>
      <c r="M654" s="22" t="str">
        <v>2412</v>
      </c>
      <c r="N654" s="22" t="str">
        <v>2084652</v>
      </c>
    </row>
    <row r="655" spans="1:14" ht="15.6">
      <c r="A655" s="4" t="s">
        <v>234</v>
      </c>
      <c r="B655" s="5">
        <v>44963.124412825498</v>
      </c>
      <c r="C655" s="5">
        <v>44969.3353167983</v>
      </c>
      <c r="D655" s="4" t="s">
        <v>98</v>
      </c>
      <c r="E655" s="4" t="s">
        <v>235</v>
      </c>
      <c r="F655" s="4" t="s">
        <v>131</v>
      </c>
      <c r="G655" s="4">
        <f t="shared" ca="1" si="30"/>
        <v>50</v>
      </c>
      <c r="H655" s="4">
        <v>3</v>
      </c>
      <c r="I655">
        <f t="shared" ca="1" si="31"/>
        <v>150</v>
      </c>
      <c r="J655">
        <f t="shared" si="32"/>
        <v>2</v>
      </c>
      <c r="K655" t="str">
        <f>VLOOKUP(E655,地区表!$A$2:$C$255,3,FALSE)</f>
        <v>华东</v>
      </c>
      <c r="L655" s="23" t="str" cm="1">
        <f t="array" ref="L655:N655">_xlfn.TEXTSPLIT(A655,"-")</f>
        <v>CN</v>
      </c>
      <c r="M655" s="22" t="str">
        <v>2412</v>
      </c>
      <c r="N655" s="22" t="str">
        <v>2084652</v>
      </c>
    </row>
    <row r="656" spans="1:14" ht="15.6">
      <c r="A656" s="4" t="s">
        <v>234</v>
      </c>
      <c r="B656" s="5">
        <v>44963.112231364903</v>
      </c>
      <c r="C656" s="5">
        <v>44969.206886966502</v>
      </c>
      <c r="D656" s="4" t="s">
        <v>98</v>
      </c>
      <c r="E656" s="4" t="s">
        <v>235</v>
      </c>
      <c r="F656" s="4" t="s">
        <v>125</v>
      </c>
      <c r="G656" s="4">
        <f t="shared" ca="1" si="30"/>
        <v>78</v>
      </c>
      <c r="H656" s="4">
        <v>2</v>
      </c>
      <c r="I656">
        <f t="shared" ca="1" si="31"/>
        <v>156</v>
      </c>
      <c r="J656">
        <f t="shared" si="32"/>
        <v>2</v>
      </c>
      <c r="K656" t="str">
        <f>VLOOKUP(E656,地区表!$A$2:$C$255,3,FALSE)</f>
        <v>华东</v>
      </c>
      <c r="L656" s="23" t="str" cm="1">
        <f t="array" ref="L656:N656">_xlfn.TEXTSPLIT(A656,"-")</f>
        <v>CN</v>
      </c>
      <c r="M656" s="22" t="str">
        <v>2412</v>
      </c>
      <c r="N656" s="22" t="str">
        <v>2084652</v>
      </c>
    </row>
    <row r="657" spans="1:14" ht="15.6">
      <c r="A657" s="4" t="s">
        <v>572</v>
      </c>
      <c r="B657" s="5">
        <v>44571.8271667382</v>
      </c>
      <c r="C657" s="5">
        <v>44571.289729561599</v>
      </c>
      <c r="D657" s="4" t="s">
        <v>98</v>
      </c>
      <c r="E657" s="4" t="s">
        <v>573</v>
      </c>
      <c r="F657" s="4" t="s">
        <v>101</v>
      </c>
      <c r="G657" s="4">
        <f t="shared" ca="1" si="30"/>
        <v>73</v>
      </c>
      <c r="H657" s="4">
        <v>2</v>
      </c>
      <c r="I657">
        <f t="shared" ca="1" si="31"/>
        <v>146</v>
      </c>
      <c r="J657">
        <f t="shared" si="32"/>
        <v>1</v>
      </c>
      <c r="K657" t="str">
        <f>VLOOKUP(E657,地区表!$A$2:$C$255,3,FALSE)</f>
        <v>中南</v>
      </c>
      <c r="L657" s="23" t="str" cm="1">
        <f t="array" ref="L657:N657">_xlfn.TEXTSPLIT(A657,"-")</f>
        <v>CN</v>
      </c>
      <c r="M657" s="22" t="str">
        <v>2019</v>
      </c>
      <c r="N657" s="22" t="str">
        <v>2252147</v>
      </c>
    </row>
    <row r="658" spans="1:14" ht="15.6">
      <c r="A658" s="4" t="s">
        <v>572</v>
      </c>
      <c r="B658" s="5">
        <v>44571.7942332975</v>
      </c>
      <c r="C658" s="5">
        <v>44571.931941874398</v>
      </c>
      <c r="D658" s="4" t="s">
        <v>98</v>
      </c>
      <c r="E658" s="4" t="s">
        <v>573</v>
      </c>
      <c r="F658" s="4" t="s">
        <v>101</v>
      </c>
      <c r="G658" s="4">
        <f t="shared" ca="1" si="30"/>
        <v>69</v>
      </c>
      <c r="H658" s="4">
        <v>4</v>
      </c>
      <c r="I658">
        <f t="shared" ca="1" si="31"/>
        <v>276</v>
      </c>
      <c r="J658">
        <f t="shared" si="32"/>
        <v>1</v>
      </c>
      <c r="K658" t="str">
        <f>VLOOKUP(E658,地区表!$A$2:$C$255,3,FALSE)</f>
        <v>中南</v>
      </c>
      <c r="L658" s="23" t="str" cm="1">
        <f t="array" ref="L658:N658">_xlfn.TEXTSPLIT(A658,"-")</f>
        <v>CN</v>
      </c>
      <c r="M658" s="22" t="str">
        <v>2019</v>
      </c>
      <c r="N658" s="22" t="str">
        <v>2252147</v>
      </c>
    </row>
    <row r="659" spans="1:14" ht="15.6">
      <c r="A659" s="4" t="s">
        <v>572</v>
      </c>
      <c r="B659" s="5">
        <v>44571.160587863298</v>
      </c>
      <c r="C659" s="5">
        <v>44571.951786160003</v>
      </c>
      <c r="D659" s="4" t="s">
        <v>98</v>
      </c>
      <c r="E659" s="4" t="s">
        <v>573</v>
      </c>
      <c r="F659" s="4" t="s">
        <v>112</v>
      </c>
      <c r="G659" s="4">
        <f t="shared" ca="1" si="30"/>
        <v>82</v>
      </c>
      <c r="H659" s="4">
        <v>4</v>
      </c>
      <c r="I659">
        <f t="shared" ca="1" si="31"/>
        <v>328</v>
      </c>
      <c r="J659">
        <f t="shared" si="32"/>
        <v>1</v>
      </c>
      <c r="K659" t="str">
        <f>VLOOKUP(E659,地区表!$A$2:$C$255,3,FALSE)</f>
        <v>中南</v>
      </c>
      <c r="L659" s="23" t="str" cm="1">
        <f t="array" ref="L659:N659">_xlfn.TEXTSPLIT(A659,"-")</f>
        <v>CN</v>
      </c>
      <c r="M659" s="22" t="str">
        <v>2019</v>
      </c>
      <c r="N659" s="22" t="str">
        <v>2252147</v>
      </c>
    </row>
    <row r="660" spans="1:14" ht="15.6">
      <c r="A660" s="4" t="s">
        <v>572</v>
      </c>
      <c r="B660" s="5">
        <v>44571.1524391727</v>
      </c>
      <c r="C660" s="5">
        <v>44571.849772119102</v>
      </c>
      <c r="D660" s="4" t="s">
        <v>98</v>
      </c>
      <c r="E660" s="4" t="s">
        <v>573</v>
      </c>
      <c r="F660" s="4" t="s">
        <v>106</v>
      </c>
      <c r="G660" s="4">
        <f t="shared" ca="1" si="30"/>
        <v>90</v>
      </c>
      <c r="H660" s="4">
        <v>4</v>
      </c>
      <c r="I660">
        <f t="shared" ca="1" si="31"/>
        <v>360</v>
      </c>
      <c r="J660">
        <f t="shared" si="32"/>
        <v>1</v>
      </c>
      <c r="K660" t="str">
        <f>VLOOKUP(E660,地区表!$A$2:$C$255,3,FALSE)</f>
        <v>中南</v>
      </c>
      <c r="L660" s="23" t="str" cm="1">
        <f t="array" ref="L660:N660">_xlfn.TEXTSPLIT(A660,"-")</f>
        <v>CN</v>
      </c>
      <c r="M660" s="22" t="str">
        <v>2019</v>
      </c>
      <c r="N660" s="22" t="str">
        <v>2252147</v>
      </c>
    </row>
    <row r="661" spans="1:14" ht="15.6">
      <c r="A661" s="4" t="s">
        <v>741</v>
      </c>
      <c r="B661" s="5">
        <v>44217.838084614101</v>
      </c>
      <c r="C661" s="5">
        <v>44222.017941225698</v>
      </c>
      <c r="D661" s="4" t="s">
        <v>114</v>
      </c>
      <c r="E661" s="4" t="s">
        <v>573</v>
      </c>
      <c r="F661" s="4" t="s">
        <v>110</v>
      </c>
      <c r="G661" s="4">
        <f t="shared" ca="1" si="30"/>
        <v>86</v>
      </c>
      <c r="H661" s="4">
        <v>3</v>
      </c>
      <c r="I661">
        <f t="shared" ca="1" si="31"/>
        <v>258</v>
      </c>
      <c r="J661">
        <f t="shared" si="32"/>
        <v>1</v>
      </c>
      <c r="K661" t="str">
        <f>VLOOKUP(E661,地区表!$A$2:$C$255,3,FALSE)</f>
        <v>中南</v>
      </c>
      <c r="L661" s="23" t="str" cm="1">
        <f t="array" ref="L661:N661">_xlfn.TEXTSPLIT(A661,"-")</f>
        <v>CN</v>
      </c>
      <c r="M661" s="22" t="str">
        <v>2761</v>
      </c>
      <c r="N661" s="22" t="str">
        <v>2661656</v>
      </c>
    </row>
    <row r="662" spans="1:14" ht="15.6">
      <c r="A662" s="4" t="s">
        <v>785</v>
      </c>
      <c r="B662" s="5">
        <v>44540.706234878497</v>
      </c>
      <c r="C662" s="5">
        <v>44545.109444271999</v>
      </c>
      <c r="D662" s="4" t="s">
        <v>94</v>
      </c>
      <c r="E662" s="4" t="s">
        <v>573</v>
      </c>
      <c r="F662" s="4" t="s">
        <v>96</v>
      </c>
      <c r="G662" s="4">
        <f t="shared" ca="1" si="30"/>
        <v>74</v>
      </c>
      <c r="H662" s="4">
        <v>3</v>
      </c>
      <c r="I662">
        <f t="shared" ca="1" si="31"/>
        <v>222</v>
      </c>
      <c r="J662">
        <f t="shared" si="32"/>
        <v>12</v>
      </c>
      <c r="K662" t="str">
        <f>VLOOKUP(E662,地区表!$A$2:$C$255,3,FALSE)</f>
        <v>中南</v>
      </c>
      <c r="L662" s="23" t="str" cm="1">
        <f t="array" ref="L662:N662">_xlfn.TEXTSPLIT(A662,"-")</f>
        <v>CN</v>
      </c>
      <c r="M662" s="22" t="str">
        <v>3084</v>
      </c>
      <c r="N662" s="22" t="str">
        <v>5687295</v>
      </c>
    </row>
    <row r="663" spans="1:14" ht="15.6">
      <c r="A663" s="4" t="s">
        <v>785</v>
      </c>
      <c r="B663" s="5">
        <v>44540.492379891803</v>
      </c>
      <c r="C663" s="5">
        <v>44545.955118227001</v>
      </c>
      <c r="D663" s="4" t="s">
        <v>94</v>
      </c>
      <c r="E663" s="4" t="s">
        <v>573</v>
      </c>
      <c r="F663" s="4" t="s">
        <v>112</v>
      </c>
      <c r="G663" s="4">
        <f t="shared" ca="1" si="30"/>
        <v>93</v>
      </c>
      <c r="H663" s="4">
        <v>7</v>
      </c>
      <c r="I663">
        <f t="shared" ca="1" si="31"/>
        <v>651</v>
      </c>
      <c r="J663">
        <f t="shared" si="32"/>
        <v>12</v>
      </c>
      <c r="K663" t="str">
        <f>VLOOKUP(E663,地区表!$A$2:$C$255,3,FALSE)</f>
        <v>中南</v>
      </c>
      <c r="L663" s="23" t="str" cm="1">
        <f t="array" ref="L663:N663">_xlfn.TEXTSPLIT(A663,"-")</f>
        <v>CN</v>
      </c>
      <c r="M663" s="22" t="str">
        <v>3084</v>
      </c>
      <c r="N663" s="22" t="str">
        <v>5687295</v>
      </c>
    </row>
    <row r="664" spans="1:14" ht="15.6">
      <c r="A664" s="4" t="s">
        <v>813</v>
      </c>
      <c r="B664" s="5">
        <v>44564.2542786419</v>
      </c>
      <c r="C664" s="5">
        <v>44569.127089399197</v>
      </c>
      <c r="D664" s="4" t="s">
        <v>114</v>
      </c>
      <c r="E664" s="4" t="s">
        <v>814</v>
      </c>
      <c r="F664" s="4" t="s">
        <v>121</v>
      </c>
      <c r="G664" s="4">
        <f t="shared" ca="1" si="30"/>
        <v>56</v>
      </c>
      <c r="H664" s="4">
        <v>4</v>
      </c>
      <c r="I664">
        <f t="shared" ca="1" si="31"/>
        <v>224</v>
      </c>
      <c r="J664">
        <f t="shared" si="32"/>
        <v>1</v>
      </c>
      <c r="K664" t="str">
        <f>VLOOKUP(E664,地区表!$A$2:$C$255,3,FALSE)</f>
        <v>西南</v>
      </c>
      <c r="L664" s="23" t="str" cm="1">
        <f t="array" ref="L664:N664">_xlfn.TEXTSPLIT(A664,"-")</f>
        <v>CN</v>
      </c>
      <c r="M664" s="22" t="str">
        <v>3108</v>
      </c>
      <c r="N664" s="22" t="str">
        <v>5592498</v>
      </c>
    </row>
    <row r="665" spans="1:14" ht="15.6">
      <c r="A665" s="4" t="s">
        <v>833</v>
      </c>
      <c r="B665" s="5">
        <v>44509.723722772796</v>
      </c>
      <c r="C665" s="5">
        <v>44513.711531458699</v>
      </c>
      <c r="D665" s="4" t="s">
        <v>94</v>
      </c>
      <c r="E665" s="4" t="s">
        <v>834</v>
      </c>
      <c r="F665" s="4" t="s">
        <v>106</v>
      </c>
      <c r="G665" s="4">
        <f t="shared" ca="1" si="30"/>
        <v>20</v>
      </c>
      <c r="H665" s="4">
        <v>2</v>
      </c>
      <c r="I665">
        <f t="shared" ca="1" si="31"/>
        <v>40</v>
      </c>
      <c r="J665">
        <f t="shared" si="32"/>
        <v>11</v>
      </c>
      <c r="K665" t="str">
        <f>VLOOKUP(E665,地区表!$A$2:$C$255,3,FALSE)</f>
        <v>华东</v>
      </c>
      <c r="L665" s="23" t="str" cm="1">
        <f t="array" ref="L665:N665">_xlfn.TEXTSPLIT(A665,"-")</f>
        <v>CN</v>
      </c>
      <c r="M665" s="22" t="str">
        <v>3053</v>
      </c>
      <c r="N665" s="22" t="str">
        <v>3231478</v>
      </c>
    </row>
    <row r="666" spans="1:14" ht="15.6">
      <c r="A666" s="4" t="s">
        <v>415</v>
      </c>
      <c r="B666" s="5">
        <v>44298.631990569003</v>
      </c>
      <c r="C666" s="5">
        <v>44300.892265217801</v>
      </c>
      <c r="D666" s="4" t="s">
        <v>98</v>
      </c>
      <c r="E666" s="4" t="s">
        <v>416</v>
      </c>
      <c r="F666" s="4" t="s">
        <v>110</v>
      </c>
      <c r="G666" s="4">
        <f t="shared" ca="1" si="30"/>
        <v>23</v>
      </c>
      <c r="H666" s="4">
        <v>3</v>
      </c>
      <c r="I666">
        <f t="shared" ca="1" si="31"/>
        <v>69</v>
      </c>
      <c r="J666">
        <f t="shared" si="32"/>
        <v>4</v>
      </c>
      <c r="K666" t="str">
        <f>VLOOKUP(E666,地区表!$A$2:$C$255,3,FALSE)</f>
        <v>华东</v>
      </c>
      <c r="L666" s="23" t="str" cm="1">
        <f t="array" ref="L666:N666">_xlfn.TEXTSPLIT(A666,"-")</f>
        <v>US</v>
      </c>
      <c r="M666" s="22" t="str">
        <v>2842</v>
      </c>
      <c r="N666" s="22" t="str">
        <v>3777715</v>
      </c>
    </row>
    <row r="667" spans="1:14" ht="15.6">
      <c r="A667" s="4" t="s">
        <v>415</v>
      </c>
      <c r="B667" s="5">
        <v>44298.504095475197</v>
      </c>
      <c r="C667" s="5">
        <v>44300.741552968902</v>
      </c>
      <c r="D667" s="4" t="s">
        <v>98</v>
      </c>
      <c r="E667" s="4" t="s">
        <v>416</v>
      </c>
      <c r="F667" s="4" t="s">
        <v>101</v>
      </c>
      <c r="G667" s="4">
        <f t="shared" ca="1" si="30"/>
        <v>48</v>
      </c>
      <c r="H667" s="4">
        <v>3</v>
      </c>
      <c r="I667">
        <f t="shared" ca="1" si="31"/>
        <v>144</v>
      </c>
      <c r="J667">
        <f t="shared" si="32"/>
        <v>4</v>
      </c>
      <c r="K667" t="str">
        <f>VLOOKUP(E667,地区表!$A$2:$C$255,3,FALSE)</f>
        <v>华东</v>
      </c>
      <c r="L667" s="23" t="str" cm="1">
        <f t="array" ref="L667:N667">_xlfn.TEXTSPLIT(A667,"-")</f>
        <v>US</v>
      </c>
      <c r="M667" s="22" t="str">
        <v>2842</v>
      </c>
      <c r="N667" s="22" t="str">
        <v>3777715</v>
      </c>
    </row>
    <row r="668" spans="1:14" ht="15.6">
      <c r="A668" s="4" t="s">
        <v>415</v>
      </c>
      <c r="B668" s="5">
        <v>44298.750811755199</v>
      </c>
      <c r="C668" s="5">
        <v>44300.2978958737</v>
      </c>
      <c r="D668" s="4" t="s">
        <v>98</v>
      </c>
      <c r="E668" s="4" t="s">
        <v>416</v>
      </c>
      <c r="F668" s="4" t="s">
        <v>135</v>
      </c>
      <c r="G668" s="4">
        <f t="shared" ca="1" si="30"/>
        <v>28</v>
      </c>
      <c r="H668" s="4">
        <v>3</v>
      </c>
      <c r="I668">
        <f t="shared" ca="1" si="31"/>
        <v>84</v>
      </c>
      <c r="J668">
        <f t="shared" si="32"/>
        <v>4</v>
      </c>
      <c r="K668" t="str">
        <f>VLOOKUP(E668,地区表!$A$2:$C$255,3,FALSE)</f>
        <v>华东</v>
      </c>
      <c r="L668" s="23" t="str" cm="1">
        <f t="array" ref="L668:N668">_xlfn.TEXTSPLIT(A668,"-")</f>
        <v>US</v>
      </c>
      <c r="M668" s="22" t="str">
        <v>2842</v>
      </c>
      <c r="N668" s="22" t="str">
        <v>3777715</v>
      </c>
    </row>
    <row r="669" spans="1:14" ht="15.6">
      <c r="A669" s="4" t="s">
        <v>665</v>
      </c>
      <c r="B669" s="5">
        <v>44713.3375451877</v>
      </c>
      <c r="C669" s="5">
        <v>44714.090858221498</v>
      </c>
      <c r="D669" s="4" t="s">
        <v>114</v>
      </c>
      <c r="E669" s="4" t="s">
        <v>416</v>
      </c>
      <c r="F669" s="4" t="s">
        <v>125</v>
      </c>
      <c r="G669" s="4">
        <f t="shared" ca="1" si="30"/>
        <v>56</v>
      </c>
      <c r="H669" s="4">
        <v>14</v>
      </c>
      <c r="I669">
        <f t="shared" ca="1" si="31"/>
        <v>784</v>
      </c>
      <c r="J669">
        <f t="shared" si="32"/>
        <v>6</v>
      </c>
      <c r="K669" t="str">
        <f>VLOOKUP(E669,地区表!$A$2:$C$255,3,FALSE)</f>
        <v>华东</v>
      </c>
      <c r="L669" s="23" t="str" cm="1">
        <f t="array" ref="L669:N669">_xlfn.TEXTSPLIT(A669,"-")</f>
        <v>CN</v>
      </c>
      <c r="M669" s="22" t="str">
        <v>2162</v>
      </c>
      <c r="N669" s="22" t="str">
        <v>1392177</v>
      </c>
    </row>
    <row r="670" spans="1:14" ht="15.6">
      <c r="A670" s="4" t="s">
        <v>823</v>
      </c>
      <c r="B670" s="5">
        <v>44997.466653371201</v>
      </c>
      <c r="C670" s="5">
        <v>45002.523685364104</v>
      </c>
      <c r="D670" s="4" t="s">
        <v>114</v>
      </c>
      <c r="E670" s="4" t="s">
        <v>824</v>
      </c>
      <c r="F670" s="4" t="s">
        <v>106</v>
      </c>
      <c r="G670" s="4">
        <f t="shared" ca="1" si="30"/>
        <v>13</v>
      </c>
      <c r="H670" s="4">
        <v>7</v>
      </c>
      <c r="I670">
        <f t="shared" ca="1" si="31"/>
        <v>91</v>
      </c>
      <c r="J670">
        <f t="shared" si="32"/>
        <v>3</v>
      </c>
      <c r="K670" t="str">
        <f>VLOOKUP(E670,地区表!$A$2:$C$255,3,FALSE)</f>
        <v>东北</v>
      </c>
      <c r="L670" s="23" t="str" cm="1">
        <f t="array" ref="L670:N670">_xlfn.TEXTSPLIT(A670,"-")</f>
        <v>CN</v>
      </c>
      <c r="M670" s="22" t="str">
        <v>2446</v>
      </c>
      <c r="N670" s="22" t="str">
        <v>4986506</v>
      </c>
    </row>
    <row r="671" spans="1:14" ht="15.6">
      <c r="A671" s="4" t="s">
        <v>242</v>
      </c>
      <c r="B671" s="5">
        <v>44659.780884658401</v>
      </c>
      <c r="C671" s="5">
        <v>44659.715618370901</v>
      </c>
      <c r="D671" s="4" t="s">
        <v>98</v>
      </c>
      <c r="E671" s="4" t="s">
        <v>243</v>
      </c>
      <c r="F671" s="4" t="s">
        <v>110</v>
      </c>
      <c r="G671" s="4">
        <f t="shared" ca="1" si="30"/>
        <v>92</v>
      </c>
      <c r="H671" s="4">
        <v>2</v>
      </c>
      <c r="I671">
        <f t="shared" ca="1" si="31"/>
        <v>184</v>
      </c>
      <c r="J671">
        <f t="shared" si="32"/>
        <v>4</v>
      </c>
      <c r="K671" t="str">
        <f>VLOOKUP(E671,地区表!$A$2:$C$255,3,FALSE)</f>
        <v>东北</v>
      </c>
      <c r="L671" s="23" t="str" cm="1">
        <f t="array" ref="L671:N671">_xlfn.TEXTSPLIT(A671,"-")</f>
        <v>CN</v>
      </c>
      <c r="M671" s="22" t="str">
        <v>3203</v>
      </c>
      <c r="N671" s="22" t="str">
        <v>3232413</v>
      </c>
    </row>
    <row r="672" spans="1:14" ht="15.6">
      <c r="A672" s="4" t="s">
        <v>242</v>
      </c>
      <c r="B672" s="5">
        <v>44659.930945082902</v>
      </c>
      <c r="C672" s="5">
        <v>44659.661642604297</v>
      </c>
      <c r="D672" s="4" t="s">
        <v>98</v>
      </c>
      <c r="E672" s="4" t="s">
        <v>243</v>
      </c>
      <c r="F672" s="4" t="s">
        <v>135</v>
      </c>
      <c r="G672" s="4">
        <f t="shared" ca="1" si="30"/>
        <v>54</v>
      </c>
      <c r="H672" s="4">
        <v>3</v>
      </c>
      <c r="I672">
        <f t="shared" ca="1" si="31"/>
        <v>162</v>
      </c>
      <c r="J672">
        <f t="shared" si="32"/>
        <v>4</v>
      </c>
      <c r="K672" t="str">
        <f>VLOOKUP(E672,地区表!$A$2:$C$255,3,FALSE)</f>
        <v>东北</v>
      </c>
      <c r="L672" s="23" t="str" cm="1">
        <f t="array" ref="L672:N672">_xlfn.TEXTSPLIT(A672,"-")</f>
        <v>CN</v>
      </c>
      <c r="M672" s="22" t="str">
        <v>3203</v>
      </c>
      <c r="N672" s="22" t="str">
        <v>3232413</v>
      </c>
    </row>
    <row r="673" spans="1:14" ht="15.6">
      <c r="A673" s="4" t="s">
        <v>242</v>
      </c>
      <c r="B673" s="5">
        <v>44659.293965624398</v>
      </c>
      <c r="C673" s="5">
        <v>44659.297948741303</v>
      </c>
      <c r="D673" s="4" t="s">
        <v>98</v>
      </c>
      <c r="E673" s="4" t="s">
        <v>243</v>
      </c>
      <c r="F673" s="4" t="s">
        <v>111</v>
      </c>
      <c r="G673" s="4">
        <f t="shared" ca="1" si="30"/>
        <v>27</v>
      </c>
      <c r="H673" s="4">
        <v>3</v>
      </c>
      <c r="I673">
        <f t="shared" ca="1" si="31"/>
        <v>81</v>
      </c>
      <c r="J673">
        <f t="shared" si="32"/>
        <v>4</v>
      </c>
      <c r="K673" t="str">
        <f>VLOOKUP(E673,地区表!$A$2:$C$255,3,FALSE)</f>
        <v>东北</v>
      </c>
      <c r="L673" s="23" t="str" cm="1">
        <f t="array" ref="L673:N673">_xlfn.TEXTSPLIT(A673,"-")</f>
        <v>CN</v>
      </c>
      <c r="M673" s="22" t="str">
        <v>3203</v>
      </c>
      <c r="N673" s="22" t="str">
        <v>3232413</v>
      </c>
    </row>
    <row r="674" spans="1:14" ht="15.6">
      <c r="A674" s="4" t="s">
        <v>142</v>
      </c>
      <c r="B674" s="5">
        <v>44215.388539134699</v>
      </c>
      <c r="C674" s="5">
        <v>44219.380142060501</v>
      </c>
      <c r="D674" s="4" t="s">
        <v>98</v>
      </c>
      <c r="E674" s="4" t="s">
        <v>143</v>
      </c>
      <c r="F674" s="4" t="s">
        <v>111</v>
      </c>
      <c r="G674" s="4">
        <f t="shared" ca="1" si="30"/>
        <v>15</v>
      </c>
      <c r="H674" s="4">
        <v>6</v>
      </c>
      <c r="I674">
        <f t="shared" ca="1" si="31"/>
        <v>90</v>
      </c>
      <c r="J674">
        <f t="shared" si="32"/>
        <v>1</v>
      </c>
      <c r="K674" t="str">
        <f>VLOOKUP(E674,地区表!$A$2:$C$255,3,FALSE)</f>
        <v>华东</v>
      </c>
      <c r="L674" s="23" t="str" cm="1">
        <f t="array" ref="L674:N674">_xlfn.TEXTSPLIT(A674,"-")</f>
        <v>CN</v>
      </c>
      <c r="M674" s="22" t="str">
        <v>2759</v>
      </c>
      <c r="N674" s="22" t="str">
        <v>4690757</v>
      </c>
    </row>
    <row r="675" spans="1:14" ht="15.6">
      <c r="A675" s="4" t="s">
        <v>142</v>
      </c>
      <c r="B675" s="5">
        <v>44215.150850726102</v>
      </c>
      <c r="C675" s="5">
        <v>44219.3582450049</v>
      </c>
      <c r="D675" s="4" t="s">
        <v>98</v>
      </c>
      <c r="E675" s="4" t="s">
        <v>143</v>
      </c>
      <c r="F675" s="4" t="s">
        <v>135</v>
      </c>
      <c r="G675" s="4">
        <f t="shared" ca="1" si="30"/>
        <v>88</v>
      </c>
      <c r="H675" s="4">
        <v>1</v>
      </c>
      <c r="I675">
        <f t="shared" ca="1" si="31"/>
        <v>88</v>
      </c>
      <c r="J675">
        <f t="shared" si="32"/>
        <v>1</v>
      </c>
      <c r="K675" t="str">
        <f>VLOOKUP(E675,地区表!$A$2:$C$255,3,FALSE)</f>
        <v>华东</v>
      </c>
      <c r="L675" s="23" t="str" cm="1">
        <f t="array" ref="L675:N675">_xlfn.TEXTSPLIT(A675,"-")</f>
        <v>CN</v>
      </c>
      <c r="M675" s="22" t="str">
        <v>2759</v>
      </c>
      <c r="N675" s="22" t="str">
        <v>4690757</v>
      </c>
    </row>
    <row r="676" spans="1:14" ht="15.6">
      <c r="A676" s="4" t="s">
        <v>142</v>
      </c>
      <c r="B676" s="5">
        <v>44215.335276264501</v>
      </c>
      <c r="C676" s="5">
        <v>44219.492069735097</v>
      </c>
      <c r="D676" s="4" t="s">
        <v>98</v>
      </c>
      <c r="E676" s="4" t="s">
        <v>143</v>
      </c>
      <c r="F676" s="4" t="s">
        <v>144</v>
      </c>
      <c r="G676" s="4">
        <f t="shared" ca="1" si="30"/>
        <v>39</v>
      </c>
      <c r="H676" s="4">
        <v>1</v>
      </c>
      <c r="I676">
        <f t="shared" ca="1" si="31"/>
        <v>39</v>
      </c>
      <c r="J676">
        <f t="shared" si="32"/>
        <v>1</v>
      </c>
      <c r="K676" t="str">
        <f>VLOOKUP(E676,地区表!$A$2:$C$255,3,FALSE)</f>
        <v>华东</v>
      </c>
      <c r="L676" s="23" t="str" cm="1">
        <f t="array" ref="L676:N676">_xlfn.TEXTSPLIT(A676,"-")</f>
        <v>CN</v>
      </c>
      <c r="M676" s="22" t="str">
        <v>2759</v>
      </c>
      <c r="N676" s="22" t="str">
        <v>4690757</v>
      </c>
    </row>
    <row r="677" spans="1:14" ht="15.6">
      <c r="A677" s="4" t="s">
        <v>511</v>
      </c>
      <c r="B677" s="5">
        <v>44705.915869447497</v>
      </c>
      <c r="C677" s="5">
        <v>44710.439560612802</v>
      </c>
      <c r="D677" s="4" t="s">
        <v>98</v>
      </c>
      <c r="E677" s="4" t="s">
        <v>143</v>
      </c>
      <c r="F677" s="4" t="s">
        <v>141</v>
      </c>
      <c r="G677" s="4">
        <f t="shared" ca="1" si="30"/>
        <v>65</v>
      </c>
      <c r="H677" s="4">
        <v>2</v>
      </c>
      <c r="I677">
        <f t="shared" ca="1" si="31"/>
        <v>130</v>
      </c>
      <c r="J677">
        <f t="shared" si="32"/>
        <v>5</v>
      </c>
      <c r="K677" t="str">
        <f>VLOOKUP(E677,地区表!$A$2:$C$255,3,FALSE)</f>
        <v>华东</v>
      </c>
      <c r="L677" s="23" t="str" cm="1">
        <f t="array" ref="L677:N677">_xlfn.TEXTSPLIT(A677,"-")</f>
        <v>CN</v>
      </c>
      <c r="M677" s="22" t="str">
        <v>2154</v>
      </c>
      <c r="N677" s="22" t="str">
        <v>3589017</v>
      </c>
    </row>
    <row r="678" spans="1:14" ht="15.6">
      <c r="A678" s="4" t="s">
        <v>760</v>
      </c>
      <c r="B678" s="5">
        <v>44473.460904056097</v>
      </c>
      <c r="C678" s="5">
        <v>44476.100748032797</v>
      </c>
      <c r="D678" s="4" t="s">
        <v>98</v>
      </c>
      <c r="E678" s="4" t="s">
        <v>143</v>
      </c>
      <c r="F678" s="4" t="s">
        <v>130</v>
      </c>
      <c r="G678" s="4">
        <f t="shared" ca="1" si="30"/>
        <v>45</v>
      </c>
      <c r="H678" s="4">
        <v>2</v>
      </c>
      <c r="I678">
        <f t="shared" ca="1" si="31"/>
        <v>90</v>
      </c>
      <c r="J678">
        <f t="shared" si="32"/>
        <v>10</v>
      </c>
      <c r="K678" t="str">
        <f>VLOOKUP(E678,地区表!$A$2:$C$255,3,FALSE)</f>
        <v>华东</v>
      </c>
      <c r="L678" s="23" t="str" cm="1">
        <f t="array" ref="L678:N678">_xlfn.TEXTSPLIT(A678,"-")</f>
        <v>CN</v>
      </c>
      <c r="M678" s="22" t="str">
        <v>3017</v>
      </c>
      <c r="N678" s="22" t="str">
        <v>2267443</v>
      </c>
    </row>
    <row r="679" spans="1:14" ht="15.6">
      <c r="A679" s="4" t="s">
        <v>760</v>
      </c>
      <c r="B679" s="5">
        <v>44473.4444108893</v>
      </c>
      <c r="C679" s="5">
        <v>44476.547381087701</v>
      </c>
      <c r="D679" s="4" t="s">
        <v>98</v>
      </c>
      <c r="E679" s="4" t="s">
        <v>143</v>
      </c>
      <c r="F679" s="4" t="s">
        <v>121</v>
      </c>
      <c r="G679" s="4">
        <f t="shared" ca="1" si="30"/>
        <v>84</v>
      </c>
      <c r="H679" s="4">
        <v>3</v>
      </c>
      <c r="I679">
        <f t="shared" ca="1" si="31"/>
        <v>252</v>
      </c>
      <c r="J679">
        <f t="shared" si="32"/>
        <v>10</v>
      </c>
      <c r="K679" t="str">
        <f>VLOOKUP(E679,地区表!$A$2:$C$255,3,FALSE)</f>
        <v>华东</v>
      </c>
      <c r="L679" s="23" t="str" cm="1">
        <f t="array" ref="L679:N679">_xlfn.TEXTSPLIT(A679,"-")</f>
        <v>CN</v>
      </c>
      <c r="M679" s="22" t="str">
        <v>3017</v>
      </c>
      <c r="N679" s="22" t="str">
        <v>2267443</v>
      </c>
    </row>
    <row r="680" spans="1:14" ht="15.6">
      <c r="A680" s="4" t="s">
        <v>712</v>
      </c>
      <c r="B680" s="5">
        <v>44222.724844028999</v>
      </c>
      <c r="C680" s="5">
        <v>44226.610972565199</v>
      </c>
      <c r="D680" s="4" t="s">
        <v>94</v>
      </c>
      <c r="E680" s="4" t="s">
        <v>713</v>
      </c>
      <c r="F680" s="4" t="s">
        <v>141</v>
      </c>
      <c r="G680" s="4">
        <f t="shared" ca="1" si="30"/>
        <v>94</v>
      </c>
      <c r="H680" s="4">
        <v>3</v>
      </c>
      <c r="I680">
        <f t="shared" ca="1" si="31"/>
        <v>282</v>
      </c>
      <c r="J680">
        <f t="shared" si="32"/>
        <v>1</v>
      </c>
      <c r="K680" t="str">
        <f>VLOOKUP(E680,地区表!$A$2:$C$255,3,FALSE)</f>
        <v>东北</v>
      </c>
      <c r="L680" s="23" t="str" cm="1">
        <f t="array" ref="L680:N680">_xlfn.TEXTSPLIT(A680,"-")</f>
        <v>US</v>
      </c>
      <c r="M680" s="22" t="str">
        <v>2766</v>
      </c>
      <c r="N680" s="22" t="str">
        <v>4842730</v>
      </c>
    </row>
    <row r="681" spans="1:14" ht="15.6">
      <c r="A681" s="4" t="s">
        <v>712</v>
      </c>
      <c r="B681" s="5">
        <v>44222.649790971504</v>
      </c>
      <c r="C681" s="5">
        <v>44226.170079642099</v>
      </c>
      <c r="D681" s="4" t="s">
        <v>94</v>
      </c>
      <c r="E681" s="4" t="s">
        <v>713</v>
      </c>
      <c r="F681" s="4" t="s">
        <v>100</v>
      </c>
      <c r="G681" s="4">
        <f t="shared" ca="1" si="30"/>
        <v>87</v>
      </c>
      <c r="H681" s="4">
        <v>4</v>
      </c>
      <c r="I681">
        <f t="shared" ca="1" si="31"/>
        <v>348</v>
      </c>
      <c r="J681">
        <f t="shared" si="32"/>
        <v>1</v>
      </c>
      <c r="K681" t="str">
        <f>VLOOKUP(E681,地区表!$A$2:$C$255,3,FALSE)</f>
        <v>东北</v>
      </c>
      <c r="L681" s="23" t="str" cm="1">
        <f t="array" ref="L681:N681">_xlfn.TEXTSPLIT(A681,"-")</f>
        <v>US</v>
      </c>
      <c r="M681" s="22" t="str">
        <v>2766</v>
      </c>
      <c r="N681" s="22" t="str">
        <v>4842730</v>
      </c>
    </row>
    <row r="682" spans="1:14" ht="15.6">
      <c r="A682" s="4" t="s">
        <v>712</v>
      </c>
      <c r="B682" s="5">
        <v>44222.228647803</v>
      </c>
      <c r="C682" s="5">
        <v>44226.706124895703</v>
      </c>
      <c r="D682" s="4" t="s">
        <v>94</v>
      </c>
      <c r="E682" s="4" t="s">
        <v>713</v>
      </c>
      <c r="F682" s="4" t="s">
        <v>106</v>
      </c>
      <c r="G682" s="4">
        <f t="shared" ca="1" si="30"/>
        <v>86</v>
      </c>
      <c r="H682" s="4">
        <v>3</v>
      </c>
      <c r="I682">
        <f t="shared" ca="1" si="31"/>
        <v>258</v>
      </c>
      <c r="J682">
        <f t="shared" si="32"/>
        <v>1</v>
      </c>
      <c r="K682" t="str">
        <f>VLOOKUP(E682,地区表!$A$2:$C$255,3,FALSE)</f>
        <v>东北</v>
      </c>
      <c r="L682" s="23" t="str" cm="1">
        <f t="array" ref="L682:N682">_xlfn.TEXTSPLIT(A682,"-")</f>
        <v>US</v>
      </c>
      <c r="M682" s="22" t="str">
        <v>2766</v>
      </c>
      <c r="N682" s="22" t="str">
        <v>4842730</v>
      </c>
    </row>
    <row r="683" spans="1:14" ht="15.6">
      <c r="A683" s="4" t="s">
        <v>685</v>
      </c>
      <c r="B683" s="5">
        <v>44624.424734587403</v>
      </c>
      <c r="C683" s="5">
        <v>44631.811447319902</v>
      </c>
      <c r="D683" s="4" t="s">
        <v>114</v>
      </c>
      <c r="E683" s="4" t="s">
        <v>686</v>
      </c>
      <c r="F683" s="4" t="s">
        <v>141</v>
      </c>
      <c r="G683" s="4">
        <f t="shared" ca="1" si="30"/>
        <v>75</v>
      </c>
      <c r="H683" s="4">
        <v>6</v>
      </c>
      <c r="I683">
        <f t="shared" ca="1" si="31"/>
        <v>450</v>
      </c>
      <c r="J683">
        <f t="shared" si="32"/>
        <v>3</v>
      </c>
      <c r="K683" t="str">
        <f>VLOOKUP(E683,地区表!$A$2:$C$255,3,FALSE)</f>
        <v>华东</v>
      </c>
      <c r="L683" s="23" t="str" cm="1">
        <f t="array" ref="L683:N683">_xlfn.TEXTSPLIT(A683,"-")</f>
        <v>CN</v>
      </c>
      <c r="M683" s="22" t="str">
        <v>3168</v>
      </c>
      <c r="N683" s="22" t="str">
        <v>2274876</v>
      </c>
    </row>
    <row r="684" spans="1:14" ht="15.6">
      <c r="A684" s="4" t="s">
        <v>685</v>
      </c>
      <c r="B684" s="5">
        <v>44624.519878736101</v>
      </c>
      <c r="C684" s="5">
        <v>44631.628366108802</v>
      </c>
      <c r="D684" s="4" t="s">
        <v>114</v>
      </c>
      <c r="E684" s="4" t="s">
        <v>686</v>
      </c>
      <c r="F684" s="4" t="s">
        <v>112</v>
      </c>
      <c r="G684" s="4">
        <f t="shared" ca="1" si="30"/>
        <v>39</v>
      </c>
      <c r="H684" s="4">
        <v>7</v>
      </c>
      <c r="I684">
        <f t="shared" ca="1" si="31"/>
        <v>273</v>
      </c>
      <c r="J684">
        <f t="shared" si="32"/>
        <v>3</v>
      </c>
      <c r="K684" t="str">
        <f>VLOOKUP(E684,地区表!$A$2:$C$255,3,FALSE)</f>
        <v>华东</v>
      </c>
      <c r="L684" s="23" t="str" cm="1">
        <f t="array" ref="L684:N684">_xlfn.TEXTSPLIT(A684,"-")</f>
        <v>CN</v>
      </c>
      <c r="M684" s="22" t="str">
        <v>3168</v>
      </c>
      <c r="N684" s="22" t="str">
        <v>2274876</v>
      </c>
    </row>
    <row r="685" spans="1:14" ht="15.6">
      <c r="A685" s="4" t="s">
        <v>389</v>
      </c>
      <c r="B685" s="5">
        <v>45183.015563020599</v>
      </c>
      <c r="C685" s="5">
        <v>45188.652310069701</v>
      </c>
      <c r="D685" s="4" t="s">
        <v>94</v>
      </c>
      <c r="E685" s="4" t="s">
        <v>390</v>
      </c>
      <c r="F685" s="4" t="s">
        <v>96</v>
      </c>
      <c r="G685" s="4">
        <f t="shared" ca="1" si="30"/>
        <v>98</v>
      </c>
      <c r="H685" s="4">
        <v>2</v>
      </c>
      <c r="I685">
        <f t="shared" ca="1" si="31"/>
        <v>196</v>
      </c>
      <c r="J685">
        <f t="shared" si="32"/>
        <v>9</v>
      </c>
      <c r="K685" t="str">
        <f>VLOOKUP(E685,地区表!$A$2:$C$255,3,FALSE)</f>
        <v>华北</v>
      </c>
      <c r="L685" s="23" t="str" cm="1">
        <f t="array" ref="L685:N685">_xlfn.TEXTSPLIT(A685,"-")</f>
        <v>CN</v>
      </c>
      <c r="M685" s="22" t="str">
        <v>1901</v>
      </c>
      <c r="N685" s="22" t="str">
        <v>1182921</v>
      </c>
    </row>
    <row r="686" spans="1:14" ht="15.6">
      <c r="A686" s="4" t="s">
        <v>389</v>
      </c>
      <c r="B686" s="5">
        <v>45183.142599435203</v>
      </c>
      <c r="C686" s="5">
        <v>45188.870494549999</v>
      </c>
      <c r="D686" s="4" t="s">
        <v>94</v>
      </c>
      <c r="E686" s="4" t="s">
        <v>390</v>
      </c>
      <c r="F686" s="4" t="s">
        <v>144</v>
      </c>
      <c r="G686" s="4">
        <f t="shared" ca="1" si="30"/>
        <v>19</v>
      </c>
      <c r="H686" s="4">
        <v>11</v>
      </c>
      <c r="I686">
        <f t="shared" ca="1" si="31"/>
        <v>209</v>
      </c>
      <c r="J686">
        <f t="shared" si="32"/>
        <v>9</v>
      </c>
      <c r="K686" t="str">
        <f>VLOOKUP(E686,地区表!$A$2:$C$255,3,FALSE)</f>
        <v>华北</v>
      </c>
      <c r="L686" s="23" t="str" cm="1">
        <f t="array" ref="L686:N686">_xlfn.TEXTSPLIT(A686,"-")</f>
        <v>CN</v>
      </c>
      <c r="M686" s="22" t="str">
        <v>1901</v>
      </c>
      <c r="N686" s="22" t="str">
        <v>1182921</v>
      </c>
    </row>
    <row r="687" spans="1:14" ht="15.6">
      <c r="A687" s="4" t="s">
        <v>389</v>
      </c>
      <c r="B687" s="5">
        <v>45183.513405772101</v>
      </c>
      <c r="C687" s="5">
        <v>45188.178451804102</v>
      </c>
      <c r="D687" s="4" t="s">
        <v>94</v>
      </c>
      <c r="E687" s="4" t="s">
        <v>390</v>
      </c>
      <c r="F687" s="4" t="s">
        <v>106</v>
      </c>
      <c r="G687" s="4">
        <f t="shared" ca="1" si="30"/>
        <v>58</v>
      </c>
      <c r="H687" s="4">
        <v>8</v>
      </c>
      <c r="I687">
        <f t="shared" ca="1" si="31"/>
        <v>464</v>
      </c>
      <c r="J687">
        <f t="shared" si="32"/>
        <v>9</v>
      </c>
      <c r="K687" t="str">
        <f>VLOOKUP(E687,地区表!$A$2:$C$255,3,FALSE)</f>
        <v>华北</v>
      </c>
      <c r="L687" s="23" t="str" cm="1">
        <f t="array" ref="L687:N687">_xlfn.TEXTSPLIT(A687,"-")</f>
        <v>CN</v>
      </c>
      <c r="M687" s="22" t="str">
        <v>1901</v>
      </c>
      <c r="N687" s="22" t="str">
        <v>1182921</v>
      </c>
    </row>
    <row r="688" spans="1:14" ht="15.6">
      <c r="A688" s="4" t="s">
        <v>353</v>
      </c>
      <c r="B688" s="5">
        <v>44648.919325639203</v>
      </c>
      <c r="C688" s="5">
        <v>44653.345566243697</v>
      </c>
      <c r="D688" s="4" t="s">
        <v>114</v>
      </c>
      <c r="E688" s="4" t="s">
        <v>354</v>
      </c>
      <c r="F688" s="4" t="s">
        <v>131</v>
      </c>
      <c r="G688" s="4">
        <f t="shared" ca="1" si="30"/>
        <v>21</v>
      </c>
      <c r="H688" s="4">
        <v>5</v>
      </c>
      <c r="I688">
        <f t="shared" ca="1" si="31"/>
        <v>105</v>
      </c>
      <c r="J688">
        <f t="shared" si="32"/>
        <v>3</v>
      </c>
      <c r="K688" t="str">
        <f>VLOOKUP(E688,地区表!$A$2:$C$255,3,FALSE)</f>
        <v>东北</v>
      </c>
      <c r="L688" s="23" t="str" cm="1">
        <f t="array" ref="L688:N688">_xlfn.TEXTSPLIT(A688,"-")</f>
        <v>CN</v>
      </c>
      <c r="M688" s="22" t="str">
        <v>2097</v>
      </c>
      <c r="N688" s="22" t="str">
        <v>2686699</v>
      </c>
    </row>
    <row r="689" spans="1:14" ht="15.6">
      <c r="A689" s="4" t="s">
        <v>353</v>
      </c>
      <c r="B689" s="5">
        <v>44648.342730888799</v>
      </c>
      <c r="C689" s="5">
        <v>44653.045440334899</v>
      </c>
      <c r="D689" s="4" t="s">
        <v>114</v>
      </c>
      <c r="E689" s="4" t="s">
        <v>354</v>
      </c>
      <c r="F689" s="4" t="s">
        <v>121</v>
      </c>
      <c r="G689" s="4">
        <f t="shared" ca="1" si="30"/>
        <v>84</v>
      </c>
      <c r="H689" s="4">
        <v>2</v>
      </c>
      <c r="I689">
        <f t="shared" ca="1" si="31"/>
        <v>168</v>
      </c>
      <c r="J689">
        <f t="shared" si="32"/>
        <v>3</v>
      </c>
      <c r="K689" t="str">
        <f>VLOOKUP(E689,地区表!$A$2:$C$255,3,FALSE)</f>
        <v>东北</v>
      </c>
      <c r="L689" s="23" t="str" cm="1">
        <f t="array" ref="L689:N689">_xlfn.TEXTSPLIT(A689,"-")</f>
        <v>CN</v>
      </c>
      <c r="M689" s="22" t="str">
        <v>2097</v>
      </c>
      <c r="N689" s="22" t="str">
        <v>2686699</v>
      </c>
    </row>
    <row r="690" spans="1:14" ht="15.6">
      <c r="A690" s="4" t="s">
        <v>363</v>
      </c>
      <c r="B690" s="5">
        <v>44572.003772515898</v>
      </c>
      <c r="C690" s="5">
        <v>44574.567446727502</v>
      </c>
      <c r="D690" s="4" t="s">
        <v>114</v>
      </c>
      <c r="E690" s="4" t="s">
        <v>354</v>
      </c>
      <c r="F690" s="4" t="s">
        <v>106</v>
      </c>
      <c r="G690" s="4">
        <f t="shared" ca="1" si="30"/>
        <v>40</v>
      </c>
      <c r="H690" s="4">
        <v>3</v>
      </c>
      <c r="I690">
        <f t="shared" ca="1" si="31"/>
        <v>120</v>
      </c>
      <c r="J690">
        <f t="shared" si="32"/>
        <v>1</v>
      </c>
      <c r="K690" t="str">
        <f>VLOOKUP(E690,地区表!$A$2:$C$255,3,FALSE)</f>
        <v>东北</v>
      </c>
      <c r="L690" s="23" t="str" cm="1">
        <f t="array" ref="L690:N690">_xlfn.TEXTSPLIT(A690,"-")</f>
        <v>CN</v>
      </c>
      <c r="M690" s="22" t="str">
        <v>3116</v>
      </c>
      <c r="N690" s="22" t="str">
        <v>2693856</v>
      </c>
    </row>
    <row r="691" spans="1:14" ht="15.6">
      <c r="A691" s="4" t="s">
        <v>456</v>
      </c>
      <c r="B691" s="5">
        <v>44739.598845185799</v>
      </c>
      <c r="C691" s="5">
        <v>44743.777068388998</v>
      </c>
      <c r="D691" s="4" t="s">
        <v>94</v>
      </c>
      <c r="E691" s="4" t="s">
        <v>354</v>
      </c>
      <c r="F691" s="4" t="s">
        <v>122</v>
      </c>
      <c r="G691" s="4">
        <f t="shared" ca="1" si="30"/>
        <v>14</v>
      </c>
      <c r="H691" s="4">
        <v>9</v>
      </c>
      <c r="I691">
        <f t="shared" ca="1" si="31"/>
        <v>126</v>
      </c>
      <c r="J691">
        <f t="shared" si="32"/>
        <v>6</v>
      </c>
      <c r="K691" t="str">
        <f>VLOOKUP(E691,地区表!$A$2:$C$255,3,FALSE)</f>
        <v>东北</v>
      </c>
      <c r="L691" s="23" t="str" cm="1">
        <f t="array" ref="L691:N691">_xlfn.TEXTSPLIT(A691,"-")</f>
        <v>CN</v>
      </c>
      <c r="M691" s="22" t="str">
        <v>2188</v>
      </c>
      <c r="N691" s="22" t="str">
        <v>3656854</v>
      </c>
    </row>
    <row r="692" spans="1:14" ht="15.6">
      <c r="A692" s="4" t="s">
        <v>456</v>
      </c>
      <c r="B692" s="5">
        <v>44739.862108471498</v>
      </c>
      <c r="C692" s="5">
        <v>44743.361638971001</v>
      </c>
      <c r="D692" s="4" t="s">
        <v>94</v>
      </c>
      <c r="E692" s="4" t="s">
        <v>354</v>
      </c>
      <c r="F692" s="4" t="s">
        <v>106</v>
      </c>
      <c r="G692" s="4">
        <f t="shared" ca="1" si="30"/>
        <v>48</v>
      </c>
      <c r="H692" s="4">
        <v>2</v>
      </c>
      <c r="I692">
        <f t="shared" ca="1" si="31"/>
        <v>96</v>
      </c>
      <c r="J692">
        <f t="shared" si="32"/>
        <v>6</v>
      </c>
      <c r="K692" t="str">
        <f>VLOOKUP(E692,地区表!$A$2:$C$255,3,FALSE)</f>
        <v>东北</v>
      </c>
      <c r="L692" s="23" t="str" cm="1">
        <f t="array" ref="L692:N692">_xlfn.TEXTSPLIT(A692,"-")</f>
        <v>CN</v>
      </c>
      <c r="M692" s="22" t="str">
        <v>2188</v>
      </c>
      <c r="N692" s="22" t="str">
        <v>3656854</v>
      </c>
    </row>
    <row r="693" spans="1:14" ht="15.6">
      <c r="A693" s="4" t="s">
        <v>456</v>
      </c>
      <c r="B693" s="5">
        <v>44739.412400639099</v>
      </c>
      <c r="C693" s="5">
        <v>44743.835723055403</v>
      </c>
      <c r="D693" s="4" t="s">
        <v>94</v>
      </c>
      <c r="E693" s="4" t="s">
        <v>354</v>
      </c>
      <c r="F693" s="4" t="s">
        <v>112</v>
      </c>
      <c r="G693" s="4">
        <f t="shared" ca="1" si="30"/>
        <v>72</v>
      </c>
      <c r="H693" s="4">
        <v>4</v>
      </c>
      <c r="I693">
        <f t="shared" ca="1" si="31"/>
        <v>288</v>
      </c>
      <c r="J693">
        <f t="shared" si="32"/>
        <v>6</v>
      </c>
      <c r="K693" t="str">
        <f>VLOOKUP(E693,地区表!$A$2:$C$255,3,FALSE)</f>
        <v>东北</v>
      </c>
      <c r="L693" s="23" t="str" cm="1">
        <f t="array" ref="L693:N693">_xlfn.TEXTSPLIT(A693,"-")</f>
        <v>CN</v>
      </c>
      <c r="M693" s="22" t="str">
        <v>2188</v>
      </c>
      <c r="N693" s="22" t="str">
        <v>3656854</v>
      </c>
    </row>
    <row r="694" spans="1:14" ht="15.6">
      <c r="A694" s="4" t="s">
        <v>456</v>
      </c>
      <c r="B694" s="5">
        <v>44739.003097084802</v>
      </c>
      <c r="C694" s="5">
        <v>44743.865126245997</v>
      </c>
      <c r="D694" s="4" t="s">
        <v>94</v>
      </c>
      <c r="E694" s="4" t="s">
        <v>354</v>
      </c>
      <c r="F694" s="4" t="s">
        <v>112</v>
      </c>
      <c r="G694" s="4">
        <f t="shared" ca="1" si="30"/>
        <v>76</v>
      </c>
      <c r="H694" s="4">
        <v>4</v>
      </c>
      <c r="I694">
        <f t="shared" ca="1" si="31"/>
        <v>304</v>
      </c>
      <c r="J694">
        <f t="shared" si="32"/>
        <v>6</v>
      </c>
      <c r="K694" t="str">
        <f>VLOOKUP(E694,地区表!$A$2:$C$255,3,FALSE)</f>
        <v>东北</v>
      </c>
      <c r="L694" s="23" t="str" cm="1">
        <f t="array" ref="L694:N694">_xlfn.TEXTSPLIT(A694,"-")</f>
        <v>CN</v>
      </c>
      <c r="M694" s="22" t="str">
        <v>2188</v>
      </c>
      <c r="N694" s="22" t="str">
        <v>3656854</v>
      </c>
    </row>
    <row r="695" spans="1:14" ht="15.6">
      <c r="A695" s="4" t="s">
        <v>456</v>
      </c>
      <c r="B695" s="5">
        <v>44739.498712467903</v>
      </c>
      <c r="C695" s="5">
        <v>44743.672872868403</v>
      </c>
      <c r="D695" s="4" t="s">
        <v>94</v>
      </c>
      <c r="E695" s="4" t="s">
        <v>354</v>
      </c>
      <c r="F695" s="4" t="s">
        <v>130</v>
      </c>
      <c r="G695" s="4">
        <f t="shared" ca="1" si="30"/>
        <v>92</v>
      </c>
      <c r="H695" s="4">
        <v>7</v>
      </c>
      <c r="I695">
        <f t="shared" ca="1" si="31"/>
        <v>644</v>
      </c>
      <c r="J695">
        <f t="shared" si="32"/>
        <v>6</v>
      </c>
      <c r="K695" t="str">
        <f>VLOOKUP(E695,地区表!$A$2:$C$255,3,FALSE)</f>
        <v>东北</v>
      </c>
      <c r="L695" s="23" t="str" cm="1">
        <f t="array" ref="L695:N695">_xlfn.TEXTSPLIT(A695,"-")</f>
        <v>CN</v>
      </c>
      <c r="M695" s="22" t="str">
        <v>2188</v>
      </c>
      <c r="N695" s="22" t="str">
        <v>3656854</v>
      </c>
    </row>
    <row r="696" spans="1:14" ht="15.6">
      <c r="A696" s="4" t="s">
        <v>456</v>
      </c>
      <c r="B696" s="5">
        <v>44739.331922785197</v>
      </c>
      <c r="C696" s="5">
        <v>44743.527492725902</v>
      </c>
      <c r="D696" s="4" t="s">
        <v>94</v>
      </c>
      <c r="E696" s="4" t="s">
        <v>354</v>
      </c>
      <c r="F696" s="4" t="s">
        <v>111</v>
      </c>
      <c r="G696" s="4">
        <f t="shared" ca="1" si="30"/>
        <v>65</v>
      </c>
      <c r="H696" s="4">
        <v>2</v>
      </c>
      <c r="I696">
        <f t="shared" ca="1" si="31"/>
        <v>130</v>
      </c>
      <c r="J696">
        <f t="shared" si="32"/>
        <v>6</v>
      </c>
      <c r="K696" t="str">
        <f>VLOOKUP(E696,地区表!$A$2:$C$255,3,FALSE)</f>
        <v>东北</v>
      </c>
      <c r="L696" s="23" t="str" cm="1">
        <f t="array" ref="L696:N696">_xlfn.TEXTSPLIT(A696,"-")</f>
        <v>CN</v>
      </c>
      <c r="M696" s="22" t="str">
        <v>2188</v>
      </c>
      <c r="N696" s="22" t="str">
        <v>3656854</v>
      </c>
    </row>
    <row r="697" spans="1:14" ht="15.6">
      <c r="A697" s="4" t="s">
        <v>514</v>
      </c>
      <c r="B697" s="5">
        <v>44994.570013439399</v>
      </c>
      <c r="C697" s="5">
        <v>45000.100510423901</v>
      </c>
      <c r="D697" s="4" t="s">
        <v>94</v>
      </c>
      <c r="E697" s="4" t="s">
        <v>354</v>
      </c>
      <c r="F697" s="4" t="s">
        <v>96</v>
      </c>
      <c r="G697" s="4">
        <f t="shared" ca="1" si="30"/>
        <v>87</v>
      </c>
      <c r="H697" s="4">
        <v>6</v>
      </c>
      <c r="I697">
        <f t="shared" ca="1" si="31"/>
        <v>522</v>
      </c>
      <c r="J697">
        <f t="shared" si="32"/>
        <v>3</v>
      </c>
      <c r="K697" t="str">
        <f>VLOOKUP(E697,地区表!$A$2:$C$255,3,FALSE)</f>
        <v>东北</v>
      </c>
      <c r="L697" s="23" t="str" cm="1">
        <f t="array" ref="L697:N697">_xlfn.TEXTSPLIT(A697,"-")</f>
        <v>CN</v>
      </c>
      <c r="M697" s="22" t="str">
        <v>2443</v>
      </c>
      <c r="N697" s="22" t="str">
        <v>4870971</v>
      </c>
    </row>
    <row r="698" spans="1:14" ht="15.6">
      <c r="A698" s="4" t="s">
        <v>384</v>
      </c>
      <c r="B698" s="5">
        <v>44340.800021135998</v>
      </c>
      <c r="C698" s="5">
        <v>44345.363083285498</v>
      </c>
      <c r="D698" s="4" t="s">
        <v>98</v>
      </c>
      <c r="E698" s="4" t="s">
        <v>385</v>
      </c>
      <c r="F698" s="4" t="s">
        <v>111</v>
      </c>
      <c r="G698" s="4">
        <f t="shared" ca="1" si="30"/>
        <v>91</v>
      </c>
      <c r="H698" s="4">
        <v>4</v>
      </c>
      <c r="I698">
        <f t="shared" ca="1" si="31"/>
        <v>364</v>
      </c>
      <c r="J698">
        <f t="shared" si="32"/>
        <v>5</v>
      </c>
      <c r="K698" t="str">
        <f>VLOOKUP(E698,地区表!$A$2:$C$255,3,FALSE)</f>
        <v>中南</v>
      </c>
      <c r="L698" s="23" t="str" cm="1">
        <f t="array" ref="L698:N698">_xlfn.TEXTSPLIT(A698,"-")</f>
        <v>CN</v>
      </c>
      <c r="M698" s="22" t="str">
        <v>2884</v>
      </c>
      <c r="N698" s="22" t="str">
        <v>1108121</v>
      </c>
    </row>
    <row r="699" spans="1:14" ht="15.6">
      <c r="A699" s="4" t="s">
        <v>393</v>
      </c>
      <c r="B699" s="5">
        <v>44232.976260765201</v>
      </c>
      <c r="C699" s="5">
        <v>44239.578420174599</v>
      </c>
      <c r="D699" s="4" t="s">
        <v>98</v>
      </c>
      <c r="E699" s="4" t="s">
        <v>385</v>
      </c>
      <c r="F699" s="4" t="s">
        <v>111</v>
      </c>
      <c r="G699" s="4">
        <f t="shared" ca="1" si="30"/>
        <v>64</v>
      </c>
      <c r="H699" s="4">
        <v>3</v>
      </c>
      <c r="I699">
        <f t="shared" ca="1" si="31"/>
        <v>192</v>
      </c>
      <c r="J699">
        <f t="shared" si="32"/>
        <v>2</v>
      </c>
      <c r="K699" t="str">
        <f>VLOOKUP(E699,地区表!$A$2:$C$255,3,FALSE)</f>
        <v>中南</v>
      </c>
      <c r="L699" s="23" t="str" cm="1">
        <f t="array" ref="L699:N699">_xlfn.TEXTSPLIT(A699,"-")</f>
        <v>CN</v>
      </c>
      <c r="M699" s="22" t="str">
        <v>2776</v>
      </c>
      <c r="N699" s="22" t="str">
        <v>2966078</v>
      </c>
    </row>
    <row r="700" spans="1:14" ht="15.6">
      <c r="A700" s="4" t="s">
        <v>393</v>
      </c>
      <c r="B700" s="5">
        <v>44232.341703778096</v>
      </c>
      <c r="C700" s="5">
        <v>44239.399520636398</v>
      </c>
      <c r="D700" s="4" t="s">
        <v>98</v>
      </c>
      <c r="E700" s="4" t="s">
        <v>385</v>
      </c>
      <c r="F700" s="4" t="s">
        <v>118</v>
      </c>
      <c r="G700" s="4">
        <f t="shared" ca="1" si="30"/>
        <v>54</v>
      </c>
      <c r="H700" s="4">
        <v>1</v>
      </c>
      <c r="I700">
        <f t="shared" ca="1" si="31"/>
        <v>54</v>
      </c>
      <c r="J700">
        <f t="shared" si="32"/>
        <v>2</v>
      </c>
      <c r="K700" t="str">
        <f>VLOOKUP(E700,地区表!$A$2:$C$255,3,FALSE)</f>
        <v>中南</v>
      </c>
      <c r="L700" s="23" t="str" cm="1">
        <f t="array" ref="L700:N700">_xlfn.TEXTSPLIT(A700,"-")</f>
        <v>CN</v>
      </c>
      <c r="M700" s="22" t="str">
        <v>2776</v>
      </c>
      <c r="N700" s="22" t="str">
        <v>2966078</v>
      </c>
    </row>
    <row r="701" spans="1:14" ht="15.6">
      <c r="A701" s="4" t="s">
        <v>563</v>
      </c>
      <c r="B701" s="5">
        <v>44493.379289550903</v>
      </c>
      <c r="C701" s="5">
        <v>44494.149711549697</v>
      </c>
      <c r="D701" s="4" t="s">
        <v>98</v>
      </c>
      <c r="E701" s="4" t="s">
        <v>564</v>
      </c>
      <c r="F701" s="4" t="s">
        <v>100</v>
      </c>
      <c r="G701" s="4">
        <f t="shared" ca="1" si="30"/>
        <v>55</v>
      </c>
      <c r="H701" s="4">
        <v>3</v>
      </c>
      <c r="I701">
        <f t="shared" ca="1" si="31"/>
        <v>165</v>
      </c>
      <c r="J701">
        <f t="shared" si="32"/>
        <v>10</v>
      </c>
      <c r="K701" t="str">
        <f>VLOOKUP(E701,地区表!$A$2:$C$255,3,FALSE)</f>
        <v>西南</v>
      </c>
      <c r="L701" s="23" t="str" cm="1">
        <f t="array" ref="L701:N701">_xlfn.TEXTSPLIT(A701,"-")</f>
        <v>CN</v>
      </c>
      <c r="M701" s="22" t="str">
        <v>3037</v>
      </c>
      <c r="N701" s="22" t="str">
        <v>4195213</v>
      </c>
    </row>
    <row r="702" spans="1:14" ht="15.6">
      <c r="A702" s="4" t="s">
        <v>563</v>
      </c>
      <c r="B702" s="5">
        <v>44493.111099000802</v>
      </c>
      <c r="C702" s="5">
        <v>44494.5433169354</v>
      </c>
      <c r="D702" s="4" t="s">
        <v>98</v>
      </c>
      <c r="E702" s="4" t="s">
        <v>564</v>
      </c>
      <c r="F702" s="4" t="s">
        <v>121</v>
      </c>
      <c r="G702" s="4">
        <f t="shared" ca="1" si="30"/>
        <v>52</v>
      </c>
      <c r="H702" s="4">
        <v>2</v>
      </c>
      <c r="I702">
        <f t="shared" ca="1" si="31"/>
        <v>104</v>
      </c>
      <c r="J702">
        <f t="shared" si="32"/>
        <v>10</v>
      </c>
      <c r="K702" t="str">
        <f>VLOOKUP(E702,地区表!$A$2:$C$255,3,FALSE)</f>
        <v>西南</v>
      </c>
      <c r="L702" s="23" t="str" cm="1">
        <f t="array" ref="L702:N702">_xlfn.TEXTSPLIT(A702,"-")</f>
        <v>CN</v>
      </c>
      <c r="M702" s="22" t="str">
        <v>3037</v>
      </c>
      <c r="N702" s="22" t="str">
        <v>4195213</v>
      </c>
    </row>
    <row r="703" spans="1:14" ht="15.6">
      <c r="A703" s="4" t="s">
        <v>563</v>
      </c>
      <c r="B703" s="5">
        <v>44493.312434255298</v>
      </c>
      <c r="C703" s="5">
        <v>44494.496068532302</v>
      </c>
      <c r="D703" s="4" t="s">
        <v>98</v>
      </c>
      <c r="E703" s="4" t="s">
        <v>564</v>
      </c>
      <c r="F703" s="4" t="s">
        <v>125</v>
      </c>
      <c r="G703" s="4">
        <f t="shared" ca="1" si="30"/>
        <v>86</v>
      </c>
      <c r="H703" s="4">
        <v>2</v>
      </c>
      <c r="I703">
        <f t="shared" ca="1" si="31"/>
        <v>172</v>
      </c>
      <c r="J703">
        <f t="shared" si="32"/>
        <v>10</v>
      </c>
      <c r="K703" t="str">
        <f>VLOOKUP(E703,地区表!$A$2:$C$255,3,FALSE)</f>
        <v>西南</v>
      </c>
      <c r="L703" s="23" t="str" cm="1">
        <f t="array" ref="L703:N703">_xlfn.TEXTSPLIT(A703,"-")</f>
        <v>CN</v>
      </c>
      <c r="M703" s="22" t="str">
        <v>3037</v>
      </c>
      <c r="N703" s="22" t="str">
        <v>4195213</v>
      </c>
    </row>
    <row r="704" spans="1:14" ht="15.6">
      <c r="A704" s="4" t="s">
        <v>563</v>
      </c>
      <c r="B704" s="5">
        <v>44493.1773570679</v>
      </c>
      <c r="C704" s="5">
        <v>44494.854962945501</v>
      </c>
      <c r="D704" s="4" t="s">
        <v>98</v>
      </c>
      <c r="E704" s="4" t="s">
        <v>564</v>
      </c>
      <c r="F704" s="4" t="s">
        <v>122</v>
      </c>
      <c r="G704" s="4">
        <f t="shared" ca="1" si="30"/>
        <v>44</v>
      </c>
      <c r="H704" s="4">
        <v>3</v>
      </c>
      <c r="I704">
        <f t="shared" ca="1" si="31"/>
        <v>132</v>
      </c>
      <c r="J704">
        <f t="shared" si="32"/>
        <v>10</v>
      </c>
      <c r="K704" t="str">
        <f>VLOOKUP(E704,地区表!$A$2:$C$255,3,FALSE)</f>
        <v>西南</v>
      </c>
      <c r="L704" s="23" t="str" cm="1">
        <f t="array" ref="L704:N704">_xlfn.TEXTSPLIT(A704,"-")</f>
        <v>CN</v>
      </c>
      <c r="M704" s="22" t="str">
        <v>3037</v>
      </c>
      <c r="N704" s="22" t="str">
        <v>4195213</v>
      </c>
    </row>
    <row r="705" spans="1:14" ht="15.6">
      <c r="A705" s="4" t="s">
        <v>259</v>
      </c>
      <c r="B705" s="5">
        <v>44455.847380809602</v>
      </c>
      <c r="C705" s="5">
        <v>44461.333915625102</v>
      </c>
      <c r="D705" s="4" t="s">
        <v>98</v>
      </c>
      <c r="E705" s="4" t="s">
        <v>260</v>
      </c>
      <c r="F705" s="4" t="s">
        <v>122</v>
      </c>
      <c r="G705" s="4">
        <f t="shared" ca="1" si="30"/>
        <v>66</v>
      </c>
      <c r="H705" s="4">
        <v>5</v>
      </c>
      <c r="I705">
        <f t="shared" ca="1" si="31"/>
        <v>330</v>
      </c>
      <c r="J705">
        <f t="shared" si="32"/>
        <v>9</v>
      </c>
      <c r="K705" t="str">
        <f>VLOOKUP(E705,地区表!$A$2:$C$255,3,FALSE)</f>
        <v>西南</v>
      </c>
      <c r="L705" s="23" t="str" cm="1">
        <f t="array" ref="L705:N705">_xlfn.TEXTSPLIT(A705,"-")</f>
        <v>CN</v>
      </c>
      <c r="M705" s="22" t="str">
        <v>2999</v>
      </c>
      <c r="N705" s="22" t="str">
        <v>2866628</v>
      </c>
    </row>
    <row r="706" spans="1:14" ht="15.6">
      <c r="A706" s="4" t="s">
        <v>259</v>
      </c>
      <c r="B706" s="5">
        <v>44455.129203152799</v>
      </c>
      <c r="C706" s="5">
        <v>44461.6666414274</v>
      </c>
      <c r="D706" s="4" t="s">
        <v>98</v>
      </c>
      <c r="E706" s="4" t="s">
        <v>260</v>
      </c>
      <c r="F706" s="4" t="s">
        <v>135</v>
      </c>
      <c r="G706" s="4">
        <f t="shared" ref="G706:G769" ca="1" si="33">RANDBETWEEN(10,100)</f>
        <v>32</v>
      </c>
      <c r="H706" s="4">
        <v>5</v>
      </c>
      <c r="I706">
        <f t="shared" ca="1" si="31"/>
        <v>160</v>
      </c>
      <c r="J706">
        <f t="shared" si="32"/>
        <v>9</v>
      </c>
      <c r="K706" t="str">
        <f>VLOOKUP(E706,地区表!$A$2:$C$255,3,FALSE)</f>
        <v>西南</v>
      </c>
      <c r="L706" s="23" t="str" cm="1">
        <f t="array" ref="L706:N706">_xlfn.TEXTSPLIT(A706,"-")</f>
        <v>CN</v>
      </c>
      <c r="M706" s="22" t="str">
        <v>2999</v>
      </c>
      <c r="N706" s="22" t="str">
        <v>2866628</v>
      </c>
    </row>
    <row r="707" spans="1:14" ht="15.6">
      <c r="A707" s="4" t="s">
        <v>259</v>
      </c>
      <c r="B707" s="5">
        <v>44455.497470292401</v>
      </c>
      <c r="C707" s="5">
        <v>44461.826286983101</v>
      </c>
      <c r="D707" s="4" t="s">
        <v>98</v>
      </c>
      <c r="E707" s="4" t="s">
        <v>260</v>
      </c>
      <c r="F707" s="4" t="s">
        <v>121</v>
      </c>
      <c r="G707" s="4">
        <f t="shared" ca="1" si="33"/>
        <v>98</v>
      </c>
      <c r="H707" s="4">
        <v>2</v>
      </c>
      <c r="I707">
        <f t="shared" ref="I707:I770" ca="1" si="34">G707*H707</f>
        <v>196</v>
      </c>
      <c r="J707">
        <f t="shared" ref="J707:J770" si="35">MONTH(B707)</f>
        <v>9</v>
      </c>
      <c r="K707" t="str">
        <f>VLOOKUP(E707,地区表!$A$2:$C$255,3,FALSE)</f>
        <v>西南</v>
      </c>
      <c r="L707" s="23" t="str" cm="1">
        <f t="array" ref="L707:N707">_xlfn.TEXTSPLIT(A707,"-")</f>
        <v>CN</v>
      </c>
      <c r="M707" s="22" t="str">
        <v>2999</v>
      </c>
      <c r="N707" s="22" t="str">
        <v>2866628</v>
      </c>
    </row>
    <row r="708" spans="1:14" ht="15.6">
      <c r="A708" s="4" t="s">
        <v>501</v>
      </c>
      <c r="B708" s="5">
        <v>45219.5729165429</v>
      </c>
      <c r="C708" s="5">
        <v>45221.525659183302</v>
      </c>
      <c r="D708" s="4" t="s">
        <v>98</v>
      </c>
      <c r="E708" s="4" t="s">
        <v>502</v>
      </c>
      <c r="F708" s="4" t="s">
        <v>125</v>
      </c>
      <c r="G708" s="4">
        <f t="shared" ca="1" si="33"/>
        <v>68</v>
      </c>
      <c r="H708" s="4">
        <v>3</v>
      </c>
      <c r="I708">
        <f t="shared" ca="1" si="34"/>
        <v>204</v>
      </c>
      <c r="J708">
        <f t="shared" si="35"/>
        <v>10</v>
      </c>
      <c r="K708" t="str">
        <f>VLOOKUP(E708,地区表!$A$2:$C$255,3,FALSE)</f>
        <v>东北</v>
      </c>
      <c r="L708" s="23" t="str" cm="1">
        <f t="array" ref="L708:N708">_xlfn.TEXTSPLIT(A708,"-")</f>
        <v>CN</v>
      </c>
      <c r="M708" s="22" t="str">
        <v>1937</v>
      </c>
      <c r="N708" s="22" t="str">
        <v>5781167</v>
      </c>
    </row>
    <row r="709" spans="1:14" ht="15.6">
      <c r="A709" s="4" t="s">
        <v>506</v>
      </c>
      <c r="B709" s="5">
        <v>45125.033196956101</v>
      </c>
      <c r="C709" s="5">
        <v>45129.9534878306</v>
      </c>
      <c r="D709" s="4" t="s">
        <v>98</v>
      </c>
      <c r="E709" s="4" t="s">
        <v>502</v>
      </c>
      <c r="F709" s="4" t="s">
        <v>121</v>
      </c>
      <c r="G709" s="4">
        <f t="shared" ca="1" si="33"/>
        <v>85</v>
      </c>
      <c r="H709" s="4">
        <v>3</v>
      </c>
      <c r="I709">
        <f t="shared" ca="1" si="34"/>
        <v>255</v>
      </c>
      <c r="J709">
        <f t="shared" si="35"/>
        <v>7</v>
      </c>
      <c r="K709" t="str">
        <f>VLOOKUP(E709,地区表!$A$2:$C$255,3,FALSE)</f>
        <v>东北</v>
      </c>
      <c r="L709" s="23" t="str" cm="1">
        <f t="array" ref="L709:N709">_xlfn.TEXTSPLIT(A709,"-")</f>
        <v>CN</v>
      </c>
      <c r="M709" s="22" t="str">
        <v>2574</v>
      </c>
      <c r="N709" s="22" t="str">
        <v>5848215</v>
      </c>
    </row>
    <row r="710" spans="1:14" ht="15.6">
      <c r="A710" s="4" t="s">
        <v>506</v>
      </c>
      <c r="B710" s="5">
        <v>45125.049288938397</v>
      </c>
      <c r="C710" s="5">
        <v>45129.505862429403</v>
      </c>
      <c r="D710" s="4" t="s">
        <v>98</v>
      </c>
      <c r="E710" s="4" t="s">
        <v>502</v>
      </c>
      <c r="F710" s="4" t="s">
        <v>96</v>
      </c>
      <c r="G710" s="4">
        <f t="shared" ca="1" si="33"/>
        <v>34</v>
      </c>
      <c r="H710" s="4">
        <v>5</v>
      </c>
      <c r="I710">
        <f t="shared" ca="1" si="34"/>
        <v>170</v>
      </c>
      <c r="J710">
        <f t="shared" si="35"/>
        <v>7</v>
      </c>
      <c r="K710" t="str">
        <f>VLOOKUP(E710,地区表!$A$2:$C$255,3,FALSE)</f>
        <v>东北</v>
      </c>
      <c r="L710" s="23" t="str" cm="1">
        <f t="array" ref="L710:N710">_xlfn.TEXTSPLIT(A710,"-")</f>
        <v>CN</v>
      </c>
      <c r="M710" s="22" t="str">
        <v>2574</v>
      </c>
      <c r="N710" s="22" t="str">
        <v>5848215</v>
      </c>
    </row>
    <row r="711" spans="1:14" ht="15.6">
      <c r="A711" s="4" t="s">
        <v>792</v>
      </c>
      <c r="B711" s="5">
        <v>44577.340576770097</v>
      </c>
      <c r="C711" s="5">
        <v>44580.831040429999</v>
      </c>
      <c r="D711" s="4" t="s">
        <v>98</v>
      </c>
      <c r="E711" s="4" t="s">
        <v>793</v>
      </c>
      <c r="F711" s="4" t="s">
        <v>131</v>
      </c>
      <c r="G711" s="4">
        <f t="shared" ca="1" si="33"/>
        <v>74</v>
      </c>
      <c r="H711" s="4">
        <v>5</v>
      </c>
      <c r="I711">
        <f t="shared" ca="1" si="34"/>
        <v>370</v>
      </c>
      <c r="J711">
        <f t="shared" si="35"/>
        <v>1</v>
      </c>
      <c r="K711" t="str">
        <f>VLOOKUP(E711,地区表!$A$2:$C$255,3,FALSE)</f>
        <v>华东</v>
      </c>
      <c r="L711" s="23" t="str" cm="1">
        <f t="array" ref="L711:N711">_xlfn.TEXTSPLIT(A711,"-")</f>
        <v>CN</v>
      </c>
      <c r="M711" s="22" t="str">
        <v>2025</v>
      </c>
      <c r="N711" s="22" t="str">
        <v>1893791</v>
      </c>
    </row>
    <row r="712" spans="1:14" ht="15.6">
      <c r="A712" s="4" t="s">
        <v>792</v>
      </c>
      <c r="B712" s="5">
        <v>44577.610907195602</v>
      </c>
      <c r="C712" s="5">
        <v>44580.452226508001</v>
      </c>
      <c r="D712" s="4" t="s">
        <v>98</v>
      </c>
      <c r="E712" s="4" t="s">
        <v>793</v>
      </c>
      <c r="F712" s="4" t="s">
        <v>122</v>
      </c>
      <c r="G712" s="4">
        <f t="shared" ca="1" si="33"/>
        <v>12</v>
      </c>
      <c r="H712" s="4">
        <v>2</v>
      </c>
      <c r="I712">
        <f t="shared" ca="1" si="34"/>
        <v>24</v>
      </c>
      <c r="J712">
        <f t="shared" si="35"/>
        <v>1</v>
      </c>
      <c r="K712" t="str">
        <f>VLOOKUP(E712,地区表!$A$2:$C$255,3,FALSE)</f>
        <v>华东</v>
      </c>
      <c r="L712" s="23" t="str" cm="1">
        <f t="array" ref="L712:N712">_xlfn.TEXTSPLIT(A712,"-")</f>
        <v>CN</v>
      </c>
      <c r="M712" s="22" t="str">
        <v>2025</v>
      </c>
      <c r="N712" s="22" t="str">
        <v>1893791</v>
      </c>
    </row>
    <row r="713" spans="1:14" ht="15.6">
      <c r="A713" s="4" t="s">
        <v>751</v>
      </c>
      <c r="B713" s="5">
        <v>44224.732137090803</v>
      </c>
      <c r="C713" s="5">
        <v>44230.600705564299</v>
      </c>
      <c r="D713" s="4" t="s">
        <v>94</v>
      </c>
      <c r="E713" s="4" t="s">
        <v>752</v>
      </c>
      <c r="F713" s="4" t="s">
        <v>111</v>
      </c>
      <c r="G713" s="4">
        <f t="shared" ca="1" si="33"/>
        <v>72</v>
      </c>
      <c r="H713" s="4">
        <v>3</v>
      </c>
      <c r="I713">
        <f t="shared" ca="1" si="34"/>
        <v>216</v>
      </c>
      <c r="J713">
        <f t="shared" si="35"/>
        <v>1</v>
      </c>
      <c r="K713" t="str">
        <f>VLOOKUP(E713,地区表!$A$2:$C$255,3,FALSE)</f>
        <v>华东</v>
      </c>
      <c r="L713" s="23" t="str" cm="1">
        <f t="array" ref="L713:N713">_xlfn.TEXTSPLIT(A713,"-")</f>
        <v>CN</v>
      </c>
      <c r="M713" s="22" t="str">
        <v>2768</v>
      </c>
      <c r="N713" s="22" t="str">
        <v>1300278</v>
      </c>
    </row>
    <row r="714" spans="1:14" ht="15.6">
      <c r="A714" s="4" t="s">
        <v>751</v>
      </c>
      <c r="B714" s="5">
        <v>44224.176425227299</v>
      </c>
      <c r="C714" s="5">
        <v>44230.455946171904</v>
      </c>
      <c r="D714" s="4" t="s">
        <v>94</v>
      </c>
      <c r="E714" s="4" t="s">
        <v>752</v>
      </c>
      <c r="F714" s="4" t="s">
        <v>101</v>
      </c>
      <c r="G714" s="4">
        <f t="shared" ca="1" si="33"/>
        <v>41</v>
      </c>
      <c r="H714" s="4">
        <v>3</v>
      </c>
      <c r="I714">
        <f t="shared" ca="1" si="34"/>
        <v>123</v>
      </c>
      <c r="J714">
        <f t="shared" si="35"/>
        <v>1</v>
      </c>
      <c r="K714" t="str">
        <f>VLOOKUP(E714,地区表!$A$2:$C$255,3,FALSE)</f>
        <v>华东</v>
      </c>
      <c r="L714" s="23" t="str" cm="1">
        <f t="array" ref="L714:N714">_xlfn.TEXTSPLIT(A714,"-")</f>
        <v>CN</v>
      </c>
      <c r="M714" s="22" t="str">
        <v>2768</v>
      </c>
      <c r="N714" s="22" t="str">
        <v>1300278</v>
      </c>
    </row>
    <row r="715" spans="1:14" ht="15.6">
      <c r="A715" s="4" t="s">
        <v>751</v>
      </c>
      <c r="B715" s="5">
        <v>44224.032322465799</v>
      </c>
      <c r="C715" s="5">
        <v>44230.387983700202</v>
      </c>
      <c r="D715" s="4" t="s">
        <v>94</v>
      </c>
      <c r="E715" s="4" t="s">
        <v>752</v>
      </c>
      <c r="F715" s="4" t="s">
        <v>130</v>
      </c>
      <c r="G715" s="4">
        <f t="shared" ca="1" si="33"/>
        <v>36</v>
      </c>
      <c r="H715" s="4">
        <v>3</v>
      </c>
      <c r="I715">
        <f t="shared" ca="1" si="34"/>
        <v>108</v>
      </c>
      <c r="J715">
        <f t="shared" si="35"/>
        <v>1</v>
      </c>
      <c r="K715" t="str">
        <f>VLOOKUP(E715,地区表!$A$2:$C$255,3,FALSE)</f>
        <v>华东</v>
      </c>
      <c r="L715" s="23" t="str" cm="1">
        <f t="array" ref="L715:N715">_xlfn.TEXTSPLIT(A715,"-")</f>
        <v>CN</v>
      </c>
      <c r="M715" s="22" t="str">
        <v>2768</v>
      </c>
      <c r="N715" s="22" t="str">
        <v>1300278</v>
      </c>
    </row>
    <row r="716" spans="1:14" ht="15.6">
      <c r="A716" s="4" t="s">
        <v>751</v>
      </c>
      <c r="B716" s="5">
        <v>44224.850351698296</v>
      </c>
      <c r="C716" s="5">
        <v>44230.373501366099</v>
      </c>
      <c r="D716" s="4" t="s">
        <v>94</v>
      </c>
      <c r="E716" s="4" t="s">
        <v>752</v>
      </c>
      <c r="F716" s="4" t="s">
        <v>121</v>
      </c>
      <c r="G716" s="4">
        <f t="shared" ca="1" si="33"/>
        <v>60</v>
      </c>
      <c r="H716" s="4">
        <v>3</v>
      </c>
      <c r="I716">
        <f t="shared" ca="1" si="34"/>
        <v>180</v>
      </c>
      <c r="J716">
        <f t="shared" si="35"/>
        <v>1</v>
      </c>
      <c r="K716" t="str">
        <f>VLOOKUP(E716,地区表!$A$2:$C$255,3,FALSE)</f>
        <v>华东</v>
      </c>
      <c r="L716" s="23" t="str" cm="1">
        <f t="array" ref="L716:N716">_xlfn.TEXTSPLIT(A716,"-")</f>
        <v>CN</v>
      </c>
      <c r="M716" s="22" t="str">
        <v>2768</v>
      </c>
      <c r="N716" s="22" t="str">
        <v>1300278</v>
      </c>
    </row>
    <row r="717" spans="1:14" ht="15.6">
      <c r="A717" s="4" t="s">
        <v>751</v>
      </c>
      <c r="B717" s="5">
        <v>44224.878011447203</v>
      </c>
      <c r="C717" s="5">
        <v>44230.735673770403</v>
      </c>
      <c r="D717" s="4" t="s">
        <v>94</v>
      </c>
      <c r="E717" s="4" t="s">
        <v>752</v>
      </c>
      <c r="F717" s="4" t="s">
        <v>135</v>
      </c>
      <c r="G717" s="4">
        <f t="shared" ca="1" si="33"/>
        <v>73</v>
      </c>
      <c r="H717" s="4">
        <v>3</v>
      </c>
      <c r="I717">
        <f t="shared" ca="1" si="34"/>
        <v>219</v>
      </c>
      <c r="J717">
        <f t="shared" si="35"/>
        <v>1</v>
      </c>
      <c r="K717" t="str">
        <f>VLOOKUP(E717,地区表!$A$2:$C$255,3,FALSE)</f>
        <v>华东</v>
      </c>
      <c r="L717" s="23" t="str" cm="1">
        <f t="array" ref="L717:N717">_xlfn.TEXTSPLIT(A717,"-")</f>
        <v>CN</v>
      </c>
      <c r="M717" s="22" t="str">
        <v>2768</v>
      </c>
      <c r="N717" s="22" t="str">
        <v>1300278</v>
      </c>
    </row>
    <row r="718" spans="1:14" ht="15.6">
      <c r="A718" s="4" t="s">
        <v>751</v>
      </c>
      <c r="B718" s="5">
        <v>44224.932447617102</v>
      </c>
      <c r="C718" s="5">
        <v>44230.9186397718</v>
      </c>
      <c r="D718" s="4" t="s">
        <v>94</v>
      </c>
      <c r="E718" s="4" t="s">
        <v>752</v>
      </c>
      <c r="F718" s="4" t="s">
        <v>106</v>
      </c>
      <c r="G718" s="4">
        <f t="shared" ca="1" si="33"/>
        <v>90</v>
      </c>
      <c r="H718" s="4">
        <v>1</v>
      </c>
      <c r="I718">
        <f t="shared" ca="1" si="34"/>
        <v>90</v>
      </c>
      <c r="J718">
        <f t="shared" si="35"/>
        <v>1</v>
      </c>
      <c r="K718" t="str">
        <f>VLOOKUP(E718,地区表!$A$2:$C$255,3,FALSE)</f>
        <v>华东</v>
      </c>
      <c r="L718" s="23" t="str" cm="1">
        <f t="array" ref="L718:N718">_xlfn.TEXTSPLIT(A718,"-")</f>
        <v>CN</v>
      </c>
      <c r="M718" s="22" t="str">
        <v>2768</v>
      </c>
      <c r="N718" s="22" t="str">
        <v>1300278</v>
      </c>
    </row>
    <row r="719" spans="1:14" ht="15.6">
      <c r="A719" s="4" t="s">
        <v>751</v>
      </c>
      <c r="B719" s="5">
        <v>44224.906616499102</v>
      </c>
      <c r="C719" s="5">
        <v>44230.162209906899</v>
      </c>
      <c r="D719" s="4" t="s">
        <v>94</v>
      </c>
      <c r="E719" s="4" t="s">
        <v>752</v>
      </c>
      <c r="F719" s="4" t="s">
        <v>101</v>
      </c>
      <c r="G719" s="4">
        <f t="shared" ca="1" si="33"/>
        <v>72</v>
      </c>
      <c r="H719" s="4">
        <v>1</v>
      </c>
      <c r="I719">
        <f t="shared" ca="1" si="34"/>
        <v>72</v>
      </c>
      <c r="J719">
        <f t="shared" si="35"/>
        <v>1</v>
      </c>
      <c r="K719" t="str">
        <f>VLOOKUP(E719,地区表!$A$2:$C$255,3,FALSE)</f>
        <v>华东</v>
      </c>
      <c r="L719" s="23" t="str" cm="1">
        <f t="array" ref="L719:N719">_xlfn.TEXTSPLIT(A719,"-")</f>
        <v>CN</v>
      </c>
      <c r="M719" s="22" t="str">
        <v>2768</v>
      </c>
      <c r="N719" s="22" t="str">
        <v>1300278</v>
      </c>
    </row>
    <row r="720" spans="1:14" ht="15.6">
      <c r="A720" s="4" t="s">
        <v>136</v>
      </c>
      <c r="B720" s="5">
        <v>44278.534562542598</v>
      </c>
      <c r="C720" s="5">
        <v>44282.303941077203</v>
      </c>
      <c r="D720" s="4" t="s">
        <v>94</v>
      </c>
      <c r="E720" s="4" t="s">
        <v>137</v>
      </c>
      <c r="F720" s="4" t="s">
        <v>130</v>
      </c>
      <c r="G720" s="4">
        <f t="shared" ca="1" si="33"/>
        <v>26</v>
      </c>
      <c r="H720" s="4">
        <v>4</v>
      </c>
      <c r="I720">
        <f t="shared" ca="1" si="34"/>
        <v>104</v>
      </c>
      <c r="J720">
        <f t="shared" si="35"/>
        <v>3</v>
      </c>
      <c r="K720" t="str">
        <f>VLOOKUP(E720,地区表!$A$2:$C$255,3,FALSE)</f>
        <v>华东</v>
      </c>
      <c r="L720" s="23" t="str" cm="1">
        <f t="array" ref="L720:N720">_xlfn.TEXTSPLIT(A720,"-")</f>
        <v>US</v>
      </c>
      <c r="M720" s="22" t="str">
        <v>2822</v>
      </c>
      <c r="N720" s="22" t="str">
        <v>1966627</v>
      </c>
    </row>
    <row r="721" spans="1:14" ht="15.6">
      <c r="A721" s="4" t="s">
        <v>675</v>
      </c>
      <c r="B721" s="5">
        <v>45192.932924787201</v>
      </c>
      <c r="C721" s="5">
        <v>45194.8570971769</v>
      </c>
      <c r="D721" s="4" t="s">
        <v>98</v>
      </c>
      <c r="E721" s="4" t="s">
        <v>137</v>
      </c>
      <c r="F721" s="4" t="s">
        <v>112</v>
      </c>
      <c r="G721" s="4">
        <f t="shared" ca="1" si="33"/>
        <v>76</v>
      </c>
      <c r="H721" s="4">
        <v>1</v>
      </c>
      <c r="I721">
        <f t="shared" ca="1" si="34"/>
        <v>76</v>
      </c>
      <c r="J721">
        <f t="shared" si="35"/>
        <v>9</v>
      </c>
      <c r="K721" t="str">
        <f>VLOOKUP(E721,地区表!$A$2:$C$255,3,FALSE)</f>
        <v>华东</v>
      </c>
      <c r="L721" s="23" t="str" cm="1">
        <f t="array" ref="L721:N721">_xlfn.TEXTSPLIT(A721,"-")</f>
        <v>US</v>
      </c>
      <c r="M721" s="22" t="str">
        <v>2641</v>
      </c>
      <c r="N721" s="22" t="str">
        <v>5128542</v>
      </c>
    </row>
    <row r="722" spans="1:14" ht="15.6">
      <c r="A722" s="4" t="s">
        <v>675</v>
      </c>
      <c r="B722" s="5">
        <v>45192.472946963397</v>
      </c>
      <c r="C722" s="5">
        <v>45194.348031212401</v>
      </c>
      <c r="D722" s="4" t="s">
        <v>98</v>
      </c>
      <c r="E722" s="4" t="s">
        <v>137</v>
      </c>
      <c r="F722" s="4" t="s">
        <v>118</v>
      </c>
      <c r="G722" s="4">
        <f t="shared" ca="1" si="33"/>
        <v>68</v>
      </c>
      <c r="H722" s="4">
        <v>5</v>
      </c>
      <c r="I722">
        <f t="shared" ca="1" si="34"/>
        <v>340</v>
      </c>
      <c r="J722">
        <f t="shared" si="35"/>
        <v>9</v>
      </c>
      <c r="K722" t="str">
        <f>VLOOKUP(E722,地区表!$A$2:$C$255,3,FALSE)</f>
        <v>华东</v>
      </c>
      <c r="L722" s="23" t="str" cm="1">
        <f t="array" ref="L722:N722">_xlfn.TEXTSPLIT(A722,"-")</f>
        <v>US</v>
      </c>
      <c r="M722" s="22" t="str">
        <v>2641</v>
      </c>
      <c r="N722" s="22" t="str">
        <v>5128542</v>
      </c>
    </row>
    <row r="723" spans="1:14" ht="15.6">
      <c r="A723" s="4" t="s">
        <v>753</v>
      </c>
      <c r="B723" s="5">
        <v>44674.236576512703</v>
      </c>
      <c r="C723" s="5">
        <v>44678.179599837902</v>
      </c>
      <c r="D723" s="4" t="s">
        <v>94</v>
      </c>
      <c r="E723" s="4" t="s">
        <v>137</v>
      </c>
      <c r="F723" s="4" t="s">
        <v>121</v>
      </c>
      <c r="G723" s="4">
        <f t="shared" ca="1" si="33"/>
        <v>75</v>
      </c>
      <c r="H723" s="4">
        <v>2</v>
      </c>
      <c r="I723">
        <f t="shared" ca="1" si="34"/>
        <v>150</v>
      </c>
      <c r="J723">
        <f t="shared" si="35"/>
        <v>4</v>
      </c>
      <c r="K723" t="str">
        <f>VLOOKUP(E723,地区表!$A$2:$C$255,3,FALSE)</f>
        <v>华东</v>
      </c>
      <c r="L723" s="23" t="str" cm="1">
        <f t="array" ref="L723:N723">_xlfn.TEXTSPLIT(A723,"-")</f>
        <v>CN</v>
      </c>
      <c r="M723" s="22" t="str">
        <v>3218</v>
      </c>
      <c r="N723" s="22" t="str">
        <v>1964482</v>
      </c>
    </row>
    <row r="724" spans="1:14" ht="15.6">
      <c r="A724" s="4" t="s">
        <v>753</v>
      </c>
      <c r="B724" s="5">
        <v>44674.830627382296</v>
      </c>
      <c r="C724" s="5">
        <v>44678.817888969199</v>
      </c>
      <c r="D724" s="4" t="s">
        <v>94</v>
      </c>
      <c r="E724" s="4" t="s">
        <v>137</v>
      </c>
      <c r="F724" s="4" t="s">
        <v>121</v>
      </c>
      <c r="G724" s="4">
        <f t="shared" ca="1" si="33"/>
        <v>35</v>
      </c>
      <c r="H724" s="4">
        <v>3</v>
      </c>
      <c r="I724">
        <f t="shared" ca="1" si="34"/>
        <v>105</v>
      </c>
      <c r="J724">
        <f t="shared" si="35"/>
        <v>4</v>
      </c>
      <c r="K724" t="str">
        <f>VLOOKUP(E724,地区表!$A$2:$C$255,3,FALSE)</f>
        <v>华东</v>
      </c>
      <c r="L724" s="23" t="str" cm="1">
        <f t="array" ref="L724:N724">_xlfn.TEXTSPLIT(A724,"-")</f>
        <v>CN</v>
      </c>
      <c r="M724" s="22" t="str">
        <v>3218</v>
      </c>
      <c r="N724" s="22" t="str">
        <v>1964482</v>
      </c>
    </row>
    <row r="725" spans="1:14" ht="15.6">
      <c r="A725" s="4" t="s">
        <v>753</v>
      </c>
      <c r="B725" s="5">
        <v>44674.276259755097</v>
      </c>
      <c r="C725" s="5">
        <v>44678.643712433099</v>
      </c>
      <c r="D725" s="4" t="s">
        <v>94</v>
      </c>
      <c r="E725" s="4" t="s">
        <v>137</v>
      </c>
      <c r="F725" s="4" t="s">
        <v>122</v>
      </c>
      <c r="G725" s="4">
        <f t="shared" ca="1" si="33"/>
        <v>76</v>
      </c>
      <c r="H725" s="4">
        <v>2</v>
      </c>
      <c r="I725">
        <f t="shared" ca="1" si="34"/>
        <v>152</v>
      </c>
      <c r="J725">
        <f t="shared" si="35"/>
        <v>4</v>
      </c>
      <c r="K725" t="str">
        <f>VLOOKUP(E725,地区表!$A$2:$C$255,3,FALSE)</f>
        <v>华东</v>
      </c>
      <c r="L725" s="23" t="str" cm="1">
        <f t="array" ref="L725:N725">_xlfn.TEXTSPLIT(A725,"-")</f>
        <v>CN</v>
      </c>
      <c r="M725" s="22" t="str">
        <v>3218</v>
      </c>
      <c r="N725" s="22" t="str">
        <v>1964482</v>
      </c>
    </row>
    <row r="726" spans="1:14" ht="15.6">
      <c r="A726" s="4" t="s">
        <v>753</v>
      </c>
      <c r="B726" s="5">
        <v>44674.1526765093</v>
      </c>
      <c r="C726" s="5">
        <v>44678.910489793001</v>
      </c>
      <c r="D726" s="4" t="s">
        <v>94</v>
      </c>
      <c r="E726" s="4" t="s">
        <v>137</v>
      </c>
      <c r="F726" s="4" t="s">
        <v>112</v>
      </c>
      <c r="G726" s="4">
        <f t="shared" ca="1" si="33"/>
        <v>46</v>
      </c>
      <c r="H726" s="4">
        <v>2</v>
      </c>
      <c r="I726">
        <f t="shared" ca="1" si="34"/>
        <v>92</v>
      </c>
      <c r="J726">
        <f t="shared" si="35"/>
        <v>4</v>
      </c>
      <c r="K726" t="str">
        <f>VLOOKUP(E726,地区表!$A$2:$C$255,3,FALSE)</f>
        <v>华东</v>
      </c>
      <c r="L726" s="23" t="str" cm="1">
        <f t="array" ref="L726:N726">_xlfn.TEXTSPLIT(A726,"-")</f>
        <v>CN</v>
      </c>
      <c r="M726" s="22" t="str">
        <v>3218</v>
      </c>
      <c r="N726" s="22" t="str">
        <v>1964482</v>
      </c>
    </row>
    <row r="727" spans="1:14" ht="15.6">
      <c r="A727" s="4" t="s">
        <v>173</v>
      </c>
      <c r="B727" s="5">
        <v>44672.639257032701</v>
      </c>
      <c r="C727" s="5">
        <v>44677.511564373701</v>
      </c>
      <c r="D727" s="4" t="s">
        <v>94</v>
      </c>
      <c r="E727" s="4" t="s">
        <v>174</v>
      </c>
      <c r="F727" s="4" t="s">
        <v>106</v>
      </c>
      <c r="G727" s="4">
        <f t="shared" ca="1" si="33"/>
        <v>11</v>
      </c>
      <c r="H727" s="4">
        <v>8</v>
      </c>
      <c r="I727">
        <f t="shared" ca="1" si="34"/>
        <v>88</v>
      </c>
      <c r="J727">
        <f t="shared" si="35"/>
        <v>4</v>
      </c>
      <c r="K727" t="str">
        <f>VLOOKUP(E727,地区表!$A$2:$C$255,3,FALSE)</f>
        <v>中南</v>
      </c>
      <c r="L727" s="23" t="str" cm="1">
        <f t="array" ref="L727:N727">_xlfn.TEXTSPLIT(A727,"-")</f>
        <v>US</v>
      </c>
      <c r="M727" s="22" t="str">
        <v>2121</v>
      </c>
      <c r="N727" s="22" t="str">
        <v>3767771</v>
      </c>
    </row>
    <row r="728" spans="1:14" ht="15.6">
      <c r="A728" s="4" t="s">
        <v>525</v>
      </c>
      <c r="B728" s="5">
        <v>44449.079075651403</v>
      </c>
      <c r="C728" s="5">
        <v>44453.195798811197</v>
      </c>
      <c r="D728" s="4" t="s">
        <v>94</v>
      </c>
      <c r="E728" s="4" t="s">
        <v>174</v>
      </c>
      <c r="F728" s="4" t="s">
        <v>141</v>
      </c>
      <c r="G728" s="4">
        <f t="shared" ca="1" si="33"/>
        <v>16</v>
      </c>
      <c r="H728" s="4">
        <v>1</v>
      </c>
      <c r="I728">
        <f t="shared" ca="1" si="34"/>
        <v>16</v>
      </c>
      <c r="J728">
        <f t="shared" si="35"/>
        <v>9</v>
      </c>
      <c r="K728" t="str">
        <f>VLOOKUP(E728,地区表!$A$2:$C$255,3,FALSE)</f>
        <v>中南</v>
      </c>
      <c r="L728" s="23" t="str" cm="1">
        <f t="array" ref="L728:N728">_xlfn.TEXTSPLIT(A728,"-")</f>
        <v>US</v>
      </c>
      <c r="M728" s="22" t="str">
        <v>2993</v>
      </c>
      <c r="N728" s="22" t="str">
        <v>1715632</v>
      </c>
    </row>
    <row r="729" spans="1:14" ht="15.6">
      <c r="A729" s="4" t="s">
        <v>525</v>
      </c>
      <c r="B729" s="5">
        <v>44449.274879435601</v>
      </c>
      <c r="C729" s="5">
        <v>44453.213129989701</v>
      </c>
      <c r="D729" s="4" t="s">
        <v>94</v>
      </c>
      <c r="E729" s="4" t="s">
        <v>174</v>
      </c>
      <c r="F729" s="4" t="s">
        <v>101</v>
      </c>
      <c r="G729" s="4">
        <f t="shared" ca="1" si="33"/>
        <v>94</v>
      </c>
      <c r="H729" s="4">
        <v>3</v>
      </c>
      <c r="I729">
        <f t="shared" ca="1" si="34"/>
        <v>282</v>
      </c>
      <c r="J729">
        <f t="shared" si="35"/>
        <v>9</v>
      </c>
      <c r="K729" t="str">
        <f>VLOOKUP(E729,地区表!$A$2:$C$255,3,FALSE)</f>
        <v>中南</v>
      </c>
      <c r="L729" s="23" t="str" cm="1">
        <f t="array" ref="L729:N729">_xlfn.TEXTSPLIT(A729,"-")</f>
        <v>US</v>
      </c>
      <c r="M729" s="22" t="str">
        <v>2993</v>
      </c>
      <c r="N729" s="22" t="str">
        <v>1715632</v>
      </c>
    </row>
    <row r="730" spans="1:14" ht="15.6">
      <c r="A730" s="4" t="s">
        <v>473</v>
      </c>
      <c r="B730" s="5">
        <v>44611.506282579699</v>
      </c>
      <c r="C730" s="5">
        <v>44616.410607537102</v>
      </c>
      <c r="D730" s="4" t="s">
        <v>94</v>
      </c>
      <c r="E730" s="4" t="s">
        <v>474</v>
      </c>
      <c r="F730" s="4" t="s">
        <v>131</v>
      </c>
      <c r="G730" s="4">
        <f t="shared" ca="1" si="33"/>
        <v>67</v>
      </c>
      <c r="H730" s="4">
        <v>3</v>
      </c>
      <c r="I730">
        <f t="shared" ca="1" si="34"/>
        <v>201</v>
      </c>
      <c r="J730">
        <f t="shared" si="35"/>
        <v>2</v>
      </c>
      <c r="K730" t="str">
        <f>VLOOKUP(E730,地区表!$A$2:$C$255,3,FALSE)</f>
        <v>华北</v>
      </c>
      <c r="L730" s="23" t="str" cm="1">
        <f t="array" ref="L730:N730">_xlfn.TEXTSPLIT(A730,"-")</f>
        <v>CN</v>
      </c>
      <c r="M730" s="22" t="str">
        <v>3155</v>
      </c>
      <c r="N730" s="22" t="str">
        <v>4719760</v>
      </c>
    </row>
    <row r="731" spans="1:14" ht="15.6">
      <c r="A731" s="4" t="s">
        <v>473</v>
      </c>
      <c r="B731" s="5">
        <v>44611.794010384103</v>
      </c>
      <c r="C731" s="5">
        <v>44616.8153943414</v>
      </c>
      <c r="D731" s="4" t="s">
        <v>94</v>
      </c>
      <c r="E731" s="4" t="s">
        <v>474</v>
      </c>
      <c r="F731" s="4" t="s">
        <v>109</v>
      </c>
      <c r="G731" s="4">
        <f t="shared" ca="1" si="33"/>
        <v>18</v>
      </c>
      <c r="H731" s="4">
        <v>2</v>
      </c>
      <c r="I731">
        <f t="shared" ca="1" si="34"/>
        <v>36</v>
      </c>
      <c r="J731">
        <f t="shared" si="35"/>
        <v>2</v>
      </c>
      <c r="K731" t="str">
        <f>VLOOKUP(E731,地区表!$A$2:$C$255,3,FALSE)</f>
        <v>华北</v>
      </c>
      <c r="L731" s="23" t="str" cm="1">
        <f t="array" ref="L731:N731">_xlfn.TEXTSPLIT(A731,"-")</f>
        <v>CN</v>
      </c>
      <c r="M731" s="22" t="str">
        <v>3155</v>
      </c>
      <c r="N731" s="22" t="str">
        <v>4719760</v>
      </c>
    </row>
    <row r="732" spans="1:14" ht="15.6">
      <c r="A732" s="4" t="s">
        <v>691</v>
      </c>
      <c r="B732" s="5">
        <v>44390.245499281598</v>
      </c>
      <c r="C732" s="5">
        <v>44395.679980135297</v>
      </c>
      <c r="D732" s="4" t="s">
        <v>98</v>
      </c>
      <c r="E732" s="4" t="s">
        <v>474</v>
      </c>
      <c r="F732" s="4" t="s">
        <v>100</v>
      </c>
      <c r="G732" s="4">
        <f t="shared" ca="1" si="33"/>
        <v>58</v>
      </c>
      <c r="H732" s="4">
        <v>9</v>
      </c>
      <c r="I732">
        <f t="shared" ca="1" si="34"/>
        <v>522</v>
      </c>
      <c r="J732">
        <f t="shared" si="35"/>
        <v>7</v>
      </c>
      <c r="K732" t="str">
        <f>VLOOKUP(E732,地区表!$A$2:$C$255,3,FALSE)</f>
        <v>华北</v>
      </c>
      <c r="L732" s="23" t="str" cm="1">
        <f t="array" ref="L732:N732">_xlfn.TEXTSPLIT(A732,"-")</f>
        <v>CN</v>
      </c>
      <c r="M732" s="22" t="str">
        <v>2934</v>
      </c>
      <c r="N732" s="22" t="str">
        <v>2121767</v>
      </c>
    </row>
    <row r="733" spans="1:14" ht="15.6">
      <c r="A733" s="4" t="s">
        <v>206</v>
      </c>
      <c r="B733" s="5">
        <v>44639.331615534997</v>
      </c>
      <c r="C733" s="5">
        <v>44643.328551032297</v>
      </c>
      <c r="D733" s="4" t="s">
        <v>114</v>
      </c>
      <c r="E733" s="4" t="s">
        <v>207</v>
      </c>
      <c r="F733" s="4" t="s">
        <v>96</v>
      </c>
      <c r="G733" s="4">
        <f t="shared" ca="1" si="33"/>
        <v>62</v>
      </c>
      <c r="H733" s="4">
        <v>2</v>
      </c>
      <c r="I733">
        <f t="shared" ca="1" si="34"/>
        <v>124</v>
      </c>
      <c r="J733">
        <f t="shared" si="35"/>
        <v>3</v>
      </c>
      <c r="K733" t="str">
        <f>VLOOKUP(E733,地区表!$A$2:$C$255,3,FALSE)</f>
        <v>华北</v>
      </c>
      <c r="L733" s="23" t="str" cm="1">
        <f t="array" ref="L733:N733">_xlfn.TEXTSPLIT(A733,"-")</f>
        <v>CN</v>
      </c>
      <c r="M733" s="22" t="str">
        <v>3183</v>
      </c>
      <c r="N733" s="22" t="str">
        <v>3766882</v>
      </c>
    </row>
    <row r="734" spans="1:14" ht="15.6">
      <c r="A734" s="4" t="s">
        <v>208</v>
      </c>
      <c r="B734" s="5">
        <v>44617.095167736203</v>
      </c>
      <c r="C734" s="5">
        <v>44622.673353534003</v>
      </c>
      <c r="D734" s="4" t="s">
        <v>114</v>
      </c>
      <c r="E734" s="4" t="s">
        <v>207</v>
      </c>
      <c r="F734" s="4" t="s">
        <v>101</v>
      </c>
      <c r="G734" s="4">
        <f t="shared" ca="1" si="33"/>
        <v>52</v>
      </c>
      <c r="H734" s="4">
        <v>3</v>
      </c>
      <c r="I734">
        <f t="shared" ca="1" si="34"/>
        <v>156</v>
      </c>
      <c r="J734">
        <f t="shared" si="35"/>
        <v>2</v>
      </c>
      <c r="K734" t="str">
        <f>VLOOKUP(E734,地区表!$A$2:$C$255,3,FALSE)</f>
        <v>华北</v>
      </c>
      <c r="L734" s="23" t="str" cm="1">
        <f t="array" ref="L734:N734">_xlfn.TEXTSPLIT(A734,"-")</f>
        <v>CN</v>
      </c>
      <c r="M734" s="22" t="str">
        <v>3161</v>
      </c>
      <c r="N734" s="22" t="str">
        <v>3665640</v>
      </c>
    </row>
    <row r="735" spans="1:14" ht="15.6">
      <c r="A735" s="4" t="s">
        <v>208</v>
      </c>
      <c r="B735" s="5">
        <v>44617.343571688398</v>
      </c>
      <c r="C735" s="5">
        <v>44622.794922217901</v>
      </c>
      <c r="D735" s="4" t="s">
        <v>114</v>
      </c>
      <c r="E735" s="4" t="s">
        <v>207</v>
      </c>
      <c r="F735" s="4" t="s">
        <v>131</v>
      </c>
      <c r="G735" s="4">
        <f t="shared" ca="1" si="33"/>
        <v>18</v>
      </c>
      <c r="H735" s="4">
        <v>9</v>
      </c>
      <c r="I735">
        <f t="shared" ca="1" si="34"/>
        <v>162</v>
      </c>
      <c r="J735">
        <f t="shared" si="35"/>
        <v>2</v>
      </c>
      <c r="K735" t="str">
        <f>VLOOKUP(E735,地区表!$A$2:$C$255,3,FALSE)</f>
        <v>华北</v>
      </c>
      <c r="L735" s="23" t="str" cm="1">
        <f t="array" ref="L735:N735">_xlfn.TEXTSPLIT(A735,"-")</f>
        <v>CN</v>
      </c>
      <c r="M735" s="22" t="str">
        <v>3161</v>
      </c>
      <c r="N735" s="22" t="str">
        <v>3665640</v>
      </c>
    </row>
    <row r="736" spans="1:14" ht="15.6">
      <c r="A736" s="4" t="s">
        <v>208</v>
      </c>
      <c r="B736" s="5">
        <v>44617.404676235798</v>
      </c>
      <c r="C736" s="5">
        <v>44622.162748667797</v>
      </c>
      <c r="D736" s="4" t="s">
        <v>114</v>
      </c>
      <c r="E736" s="4" t="s">
        <v>207</v>
      </c>
      <c r="F736" s="4" t="s">
        <v>110</v>
      </c>
      <c r="G736" s="4">
        <f t="shared" ca="1" si="33"/>
        <v>83</v>
      </c>
      <c r="H736" s="4">
        <v>1</v>
      </c>
      <c r="I736">
        <f t="shared" ca="1" si="34"/>
        <v>83</v>
      </c>
      <c r="J736">
        <f t="shared" si="35"/>
        <v>2</v>
      </c>
      <c r="K736" t="str">
        <f>VLOOKUP(E736,地区表!$A$2:$C$255,3,FALSE)</f>
        <v>华北</v>
      </c>
      <c r="L736" s="23" t="str" cm="1">
        <f t="array" ref="L736:N736">_xlfn.TEXTSPLIT(A736,"-")</f>
        <v>CN</v>
      </c>
      <c r="M736" s="22" t="str">
        <v>3161</v>
      </c>
      <c r="N736" s="22" t="str">
        <v>3665640</v>
      </c>
    </row>
    <row r="737" spans="1:14" ht="15.6">
      <c r="A737" s="4" t="s">
        <v>254</v>
      </c>
      <c r="B737" s="5">
        <v>44447.146207205697</v>
      </c>
      <c r="C737" s="5">
        <v>44452.768201241197</v>
      </c>
      <c r="D737" s="4" t="s">
        <v>94</v>
      </c>
      <c r="E737" s="4" t="s">
        <v>207</v>
      </c>
      <c r="F737" s="4" t="s">
        <v>96</v>
      </c>
      <c r="G737" s="4">
        <f t="shared" ca="1" si="33"/>
        <v>52</v>
      </c>
      <c r="H737" s="4">
        <v>3</v>
      </c>
      <c r="I737">
        <f t="shared" ca="1" si="34"/>
        <v>156</v>
      </c>
      <c r="J737">
        <f t="shared" si="35"/>
        <v>9</v>
      </c>
      <c r="K737" t="str">
        <f>VLOOKUP(E737,地区表!$A$2:$C$255,3,FALSE)</f>
        <v>华北</v>
      </c>
      <c r="L737" s="23" t="str" cm="1">
        <f t="array" ref="L737:N737">_xlfn.TEXTSPLIT(A737,"-")</f>
        <v>CN</v>
      </c>
      <c r="M737" s="22" t="str">
        <v>2991</v>
      </c>
      <c r="N737" s="22" t="str">
        <v>4862116</v>
      </c>
    </row>
    <row r="738" spans="1:14" ht="15.6">
      <c r="A738" s="4" t="s">
        <v>388</v>
      </c>
      <c r="B738" s="5">
        <v>44946.148616881401</v>
      </c>
      <c r="C738" s="5">
        <v>44948.051993553097</v>
      </c>
      <c r="D738" s="4" t="s">
        <v>114</v>
      </c>
      <c r="E738" s="4" t="s">
        <v>207</v>
      </c>
      <c r="F738" s="4" t="s">
        <v>100</v>
      </c>
      <c r="G738" s="4">
        <f t="shared" ca="1" si="33"/>
        <v>13</v>
      </c>
      <c r="H738" s="4">
        <v>4</v>
      </c>
      <c r="I738">
        <f t="shared" ca="1" si="34"/>
        <v>52</v>
      </c>
      <c r="J738">
        <f t="shared" si="35"/>
        <v>1</v>
      </c>
      <c r="K738" t="str">
        <f>VLOOKUP(E738,地区表!$A$2:$C$255,3,FALSE)</f>
        <v>华北</v>
      </c>
      <c r="L738" s="23" t="str" cm="1">
        <f t="array" ref="L738:N738">_xlfn.TEXTSPLIT(A738,"-")</f>
        <v>CN</v>
      </c>
      <c r="M738" s="22" t="str">
        <v>2395</v>
      </c>
      <c r="N738" s="22" t="str">
        <v>2556865</v>
      </c>
    </row>
    <row r="739" spans="1:14" ht="15.6">
      <c r="A739" s="4" t="s">
        <v>503</v>
      </c>
      <c r="B739" s="5">
        <v>44245.5993517815</v>
      </c>
      <c r="C739" s="5">
        <v>44252.725587565103</v>
      </c>
      <c r="D739" s="4" t="s">
        <v>114</v>
      </c>
      <c r="E739" s="4" t="s">
        <v>207</v>
      </c>
      <c r="F739" s="4" t="s">
        <v>109</v>
      </c>
      <c r="G739" s="4">
        <f t="shared" ca="1" si="33"/>
        <v>31</v>
      </c>
      <c r="H739" s="4">
        <v>3</v>
      </c>
      <c r="I739">
        <f t="shared" ca="1" si="34"/>
        <v>93</v>
      </c>
      <c r="J739">
        <f t="shared" si="35"/>
        <v>2</v>
      </c>
      <c r="K739" t="str">
        <f>VLOOKUP(E739,地区表!$A$2:$C$255,3,FALSE)</f>
        <v>华北</v>
      </c>
      <c r="L739" s="23" t="str" cm="1">
        <f t="array" ref="L739:N739">_xlfn.TEXTSPLIT(A739,"-")</f>
        <v>CN</v>
      </c>
      <c r="M739" s="22" t="str">
        <v>2789</v>
      </c>
      <c r="N739" s="22" t="str">
        <v>2647402</v>
      </c>
    </row>
    <row r="740" spans="1:14" ht="15.6">
      <c r="A740" s="4" t="s">
        <v>598</v>
      </c>
      <c r="B740" s="5">
        <v>45200.924813432503</v>
      </c>
      <c r="C740" s="5">
        <v>45205.071058306901</v>
      </c>
      <c r="D740" s="4" t="s">
        <v>98</v>
      </c>
      <c r="E740" s="4" t="s">
        <v>207</v>
      </c>
      <c r="F740" s="4" t="s">
        <v>131</v>
      </c>
      <c r="G740" s="4">
        <f t="shared" ca="1" si="33"/>
        <v>86</v>
      </c>
      <c r="H740" s="4">
        <v>5</v>
      </c>
      <c r="I740">
        <f t="shared" ca="1" si="34"/>
        <v>430</v>
      </c>
      <c r="J740">
        <f t="shared" si="35"/>
        <v>10</v>
      </c>
      <c r="K740" t="str">
        <f>VLOOKUP(E740,地区表!$A$2:$C$255,3,FALSE)</f>
        <v>华北</v>
      </c>
      <c r="L740" s="23" t="str" cm="1">
        <f t="array" ref="L740:N740">_xlfn.TEXTSPLIT(A740,"-")</f>
        <v>CN</v>
      </c>
      <c r="M740" s="22" t="str">
        <v>2649</v>
      </c>
      <c r="N740" s="22" t="str">
        <v>3690158</v>
      </c>
    </row>
    <row r="741" spans="1:14" ht="15.6">
      <c r="A741" s="4" t="s">
        <v>598</v>
      </c>
      <c r="B741" s="5">
        <v>45200.299393044399</v>
      </c>
      <c r="C741" s="5">
        <v>45205.270269505803</v>
      </c>
      <c r="D741" s="4" t="s">
        <v>98</v>
      </c>
      <c r="E741" s="4" t="s">
        <v>207</v>
      </c>
      <c r="F741" s="4" t="s">
        <v>125</v>
      </c>
      <c r="G741" s="4">
        <f t="shared" ca="1" si="33"/>
        <v>78</v>
      </c>
      <c r="H741" s="4">
        <v>2</v>
      </c>
      <c r="I741">
        <f t="shared" ca="1" si="34"/>
        <v>156</v>
      </c>
      <c r="J741">
        <f t="shared" si="35"/>
        <v>10</v>
      </c>
      <c r="K741" t="str">
        <f>VLOOKUP(E741,地区表!$A$2:$C$255,3,FALSE)</f>
        <v>华北</v>
      </c>
      <c r="L741" s="23" t="str" cm="1">
        <f t="array" ref="L741:N741">_xlfn.TEXTSPLIT(A741,"-")</f>
        <v>CN</v>
      </c>
      <c r="M741" s="22" t="str">
        <v>2649</v>
      </c>
      <c r="N741" s="22" t="str">
        <v>3690158</v>
      </c>
    </row>
    <row r="742" spans="1:14" ht="15.6">
      <c r="A742" s="4" t="s">
        <v>598</v>
      </c>
      <c r="B742" s="5">
        <v>45200.452925776299</v>
      </c>
      <c r="C742" s="5">
        <v>45205.572311251002</v>
      </c>
      <c r="D742" s="4" t="s">
        <v>98</v>
      </c>
      <c r="E742" s="4" t="s">
        <v>207</v>
      </c>
      <c r="F742" s="4" t="s">
        <v>106</v>
      </c>
      <c r="G742" s="4">
        <f t="shared" ca="1" si="33"/>
        <v>52</v>
      </c>
      <c r="H742" s="4">
        <v>2</v>
      </c>
      <c r="I742">
        <f t="shared" ca="1" si="34"/>
        <v>104</v>
      </c>
      <c r="J742">
        <f t="shared" si="35"/>
        <v>10</v>
      </c>
      <c r="K742" t="str">
        <f>VLOOKUP(E742,地区表!$A$2:$C$255,3,FALSE)</f>
        <v>华北</v>
      </c>
      <c r="L742" s="23" t="str" cm="1">
        <f t="array" ref="L742:N742">_xlfn.TEXTSPLIT(A742,"-")</f>
        <v>CN</v>
      </c>
      <c r="M742" s="22" t="str">
        <v>2649</v>
      </c>
      <c r="N742" s="22" t="str">
        <v>3690158</v>
      </c>
    </row>
    <row r="743" spans="1:14" ht="15.6">
      <c r="A743" s="4" t="s">
        <v>598</v>
      </c>
      <c r="B743" s="5">
        <v>45200.772667078803</v>
      </c>
      <c r="C743" s="5">
        <v>45205.210776675201</v>
      </c>
      <c r="D743" s="4" t="s">
        <v>98</v>
      </c>
      <c r="E743" s="4" t="s">
        <v>207</v>
      </c>
      <c r="F743" s="4" t="s">
        <v>130</v>
      </c>
      <c r="G743" s="4">
        <f t="shared" ca="1" si="33"/>
        <v>34</v>
      </c>
      <c r="H743" s="4">
        <v>1</v>
      </c>
      <c r="I743">
        <f t="shared" ca="1" si="34"/>
        <v>34</v>
      </c>
      <c r="J743">
        <f t="shared" si="35"/>
        <v>10</v>
      </c>
      <c r="K743" t="str">
        <f>VLOOKUP(E743,地区表!$A$2:$C$255,3,FALSE)</f>
        <v>华北</v>
      </c>
      <c r="L743" s="23" t="str" cm="1">
        <f t="array" ref="L743:N743">_xlfn.TEXTSPLIT(A743,"-")</f>
        <v>CN</v>
      </c>
      <c r="M743" s="22" t="str">
        <v>2649</v>
      </c>
      <c r="N743" s="22" t="str">
        <v>3690158</v>
      </c>
    </row>
    <row r="744" spans="1:14" ht="15.6">
      <c r="A744" s="4" t="s">
        <v>690</v>
      </c>
      <c r="B744" s="5">
        <v>44872.847236607697</v>
      </c>
      <c r="C744" s="5">
        <v>44874.005423289302</v>
      </c>
      <c r="D744" s="4" t="s">
        <v>98</v>
      </c>
      <c r="E744" s="4" t="s">
        <v>207</v>
      </c>
      <c r="F744" s="4" t="s">
        <v>131</v>
      </c>
      <c r="G744" s="4">
        <f t="shared" ca="1" si="33"/>
        <v>27</v>
      </c>
      <c r="H744" s="4">
        <v>4</v>
      </c>
      <c r="I744">
        <f t="shared" ca="1" si="34"/>
        <v>108</v>
      </c>
      <c r="J744">
        <f t="shared" si="35"/>
        <v>11</v>
      </c>
      <c r="K744" t="str">
        <f>VLOOKUP(E744,地区表!$A$2:$C$255,3,FALSE)</f>
        <v>华北</v>
      </c>
      <c r="L744" s="23" t="str" cm="1">
        <f t="array" ref="L744:N744">_xlfn.TEXTSPLIT(A744,"-")</f>
        <v>CN</v>
      </c>
      <c r="M744" s="22" t="str">
        <v>2321</v>
      </c>
      <c r="N744" s="22" t="str">
        <v>4054371</v>
      </c>
    </row>
    <row r="745" spans="1:14" ht="15.6">
      <c r="A745" s="4" t="s">
        <v>777</v>
      </c>
      <c r="B745" s="5">
        <v>44674.6162859428</v>
      </c>
      <c r="C745" s="5">
        <v>44674.618021907401</v>
      </c>
      <c r="D745" s="4" t="s">
        <v>98</v>
      </c>
      <c r="E745" s="4" t="s">
        <v>207</v>
      </c>
      <c r="F745" s="4" t="s">
        <v>135</v>
      </c>
      <c r="G745" s="4">
        <f t="shared" ca="1" si="33"/>
        <v>54</v>
      </c>
      <c r="H745" s="4">
        <v>3</v>
      </c>
      <c r="I745">
        <f t="shared" ca="1" si="34"/>
        <v>162</v>
      </c>
      <c r="J745">
        <f t="shared" si="35"/>
        <v>4</v>
      </c>
      <c r="K745" t="str">
        <f>VLOOKUP(E745,地区表!$A$2:$C$255,3,FALSE)</f>
        <v>华北</v>
      </c>
      <c r="L745" s="23" t="str" cm="1">
        <f t="array" ref="L745:N745">_xlfn.TEXTSPLIT(A745,"-")</f>
        <v>CN</v>
      </c>
      <c r="M745" s="22" t="str">
        <v>2123</v>
      </c>
      <c r="N745" s="22" t="str">
        <v>2664017</v>
      </c>
    </row>
    <row r="746" spans="1:14" ht="15.6">
      <c r="A746" s="4" t="s">
        <v>777</v>
      </c>
      <c r="B746" s="5">
        <v>44674.830204921403</v>
      </c>
      <c r="C746" s="5">
        <v>44674.143817039701</v>
      </c>
      <c r="D746" s="4" t="s">
        <v>98</v>
      </c>
      <c r="E746" s="4" t="s">
        <v>207</v>
      </c>
      <c r="F746" s="4" t="s">
        <v>130</v>
      </c>
      <c r="G746" s="4">
        <f t="shared" ca="1" si="33"/>
        <v>99</v>
      </c>
      <c r="H746" s="4">
        <v>3</v>
      </c>
      <c r="I746">
        <f t="shared" ca="1" si="34"/>
        <v>297</v>
      </c>
      <c r="J746">
        <f t="shared" si="35"/>
        <v>4</v>
      </c>
      <c r="K746" t="str">
        <f>VLOOKUP(E746,地区表!$A$2:$C$255,3,FALSE)</f>
        <v>华北</v>
      </c>
      <c r="L746" s="23" t="str" cm="1">
        <f t="array" ref="L746:N746">_xlfn.TEXTSPLIT(A746,"-")</f>
        <v>CN</v>
      </c>
      <c r="M746" s="22" t="str">
        <v>2123</v>
      </c>
      <c r="N746" s="22" t="str">
        <v>2664017</v>
      </c>
    </row>
    <row r="747" spans="1:14" ht="15.6">
      <c r="A747" s="4" t="s">
        <v>469</v>
      </c>
      <c r="B747" s="5">
        <v>44584.530970362503</v>
      </c>
      <c r="C747" s="5">
        <v>44588.431494133401</v>
      </c>
      <c r="D747" s="4" t="s">
        <v>98</v>
      </c>
      <c r="E747" s="4" t="s">
        <v>470</v>
      </c>
      <c r="F747" s="4" t="s">
        <v>130</v>
      </c>
      <c r="G747" s="4">
        <f t="shared" ca="1" si="33"/>
        <v>31</v>
      </c>
      <c r="H747" s="4">
        <v>4</v>
      </c>
      <c r="I747">
        <f t="shared" ca="1" si="34"/>
        <v>124</v>
      </c>
      <c r="J747">
        <f t="shared" si="35"/>
        <v>1</v>
      </c>
      <c r="K747" t="str">
        <f>VLOOKUP(E747,地区表!$A$2:$C$255,3,FALSE)</f>
        <v>东北</v>
      </c>
      <c r="L747" s="23" t="str" cm="1">
        <f t="array" ref="L747:N747">_xlfn.TEXTSPLIT(A747,"-")</f>
        <v>US</v>
      </c>
      <c r="M747" s="22" t="str">
        <v>2032</v>
      </c>
      <c r="N747" s="22" t="str">
        <v>5434393</v>
      </c>
    </row>
    <row r="748" spans="1:14" ht="15.6">
      <c r="A748" s="4" t="s">
        <v>469</v>
      </c>
      <c r="B748" s="5">
        <v>44584.674524654103</v>
      </c>
      <c r="C748" s="5">
        <v>44588.156840165102</v>
      </c>
      <c r="D748" s="4" t="s">
        <v>98</v>
      </c>
      <c r="E748" s="4" t="s">
        <v>470</v>
      </c>
      <c r="F748" s="4" t="s">
        <v>144</v>
      </c>
      <c r="G748" s="4">
        <f t="shared" ca="1" si="33"/>
        <v>100</v>
      </c>
      <c r="H748" s="4">
        <v>3</v>
      </c>
      <c r="I748">
        <f t="shared" ca="1" si="34"/>
        <v>300</v>
      </c>
      <c r="J748">
        <f t="shared" si="35"/>
        <v>1</v>
      </c>
      <c r="K748" t="str">
        <f>VLOOKUP(E748,地区表!$A$2:$C$255,3,FALSE)</f>
        <v>东北</v>
      </c>
      <c r="L748" s="23" t="str" cm="1">
        <f t="array" ref="L748:N748">_xlfn.TEXTSPLIT(A748,"-")</f>
        <v>US</v>
      </c>
      <c r="M748" s="22" t="str">
        <v>2032</v>
      </c>
      <c r="N748" s="22" t="str">
        <v>5434393</v>
      </c>
    </row>
    <row r="749" spans="1:14" ht="15.6">
      <c r="A749" s="4" t="s">
        <v>454</v>
      </c>
      <c r="B749" s="5">
        <v>45195.004373608099</v>
      </c>
      <c r="C749" s="5">
        <v>45198.616911069097</v>
      </c>
      <c r="D749" s="4" t="s">
        <v>98</v>
      </c>
      <c r="E749" s="4" t="s">
        <v>455</v>
      </c>
      <c r="F749" s="4" t="s">
        <v>122</v>
      </c>
      <c r="G749" s="4">
        <f t="shared" ca="1" si="33"/>
        <v>14</v>
      </c>
      <c r="H749" s="4">
        <v>1</v>
      </c>
      <c r="I749">
        <f t="shared" ca="1" si="34"/>
        <v>14</v>
      </c>
      <c r="J749">
        <f t="shared" si="35"/>
        <v>9</v>
      </c>
      <c r="K749" t="str">
        <f>VLOOKUP(E749,地区表!$A$2:$C$255,3,FALSE)</f>
        <v>东北</v>
      </c>
      <c r="L749" s="23" t="str" cm="1">
        <f t="array" ref="L749:N749">_xlfn.TEXTSPLIT(A749,"-")</f>
        <v>CN</v>
      </c>
      <c r="M749" s="22" t="str">
        <v>2644</v>
      </c>
      <c r="N749" s="22" t="str">
        <v>3769666</v>
      </c>
    </row>
    <row r="750" spans="1:14" ht="15.6">
      <c r="A750" s="4" t="s">
        <v>454</v>
      </c>
      <c r="B750" s="5">
        <v>45195.043917831099</v>
      </c>
      <c r="C750" s="5">
        <v>45198.821954937499</v>
      </c>
      <c r="D750" s="4" t="s">
        <v>98</v>
      </c>
      <c r="E750" s="4" t="s">
        <v>455</v>
      </c>
      <c r="F750" s="4" t="s">
        <v>118</v>
      </c>
      <c r="G750" s="4">
        <f t="shared" ca="1" si="33"/>
        <v>31</v>
      </c>
      <c r="H750" s="4">
        <v>1</v>
      </c>
      <c r="I750">
        <f t="shared" ca="1" si="34"/>
        <v>31</v>
      </c>
      <c r="J750">
        <f t="shared" si="35"/>
        <v>9</v>
      </c>
      <c r="K750" t="str">
        <f>VLOOKUP(E750,地区表!$A$2:$C$255,3,FALSE)</f>
        <v>东北</v>
      </c>
      <c r="L750" s="23" t="str" cm="1">
        <f t="array" ref="L750:N750">_xlfn.TEXTSPLIT(A750,"-")</f>
        <v>CN</v>
      </c>
      <c r="M750" s="22" t="str">
        <v>2644</v>
      </c>
      <c r="N750" s="22" t="str">
        <v>3769666</v>
      </c>
    </row>
    <row r="751" spans="1:14" ht="15.6">
      <c r="A751" s="4" t="s">
        <v>460</v>
      </c>
      <c r="B751" s="5">
        <v>45089.410839116099</v>
      </c>
      <c r="C751" s="5">
        <v>45094.133425720203</v>
      </c>
      <c r="D751" s="4" t="s">
        <v>94</v>
      </c>
      <c r="E751" s="4" t="s">
        <v>455</v>
      </c>
      <c r="F751" s="4" t="s">
        <v>112</v>
      </c>
      <c r="G751" s="4">
        <f t="shared" ca="1" si="33"/>
        <v>91</v>
      </c>
      <c r="H751" s="4">
        <v>2</v>
      </c>
      <c r="I751">
        <f t="shared" ca="1" si="34"/>
        <v>182</v>
      </c>
      <c r="J751">
        <f t="shared" si="35"/>
        <v>6</v>
      </c>
      <c r="K751" t="str">
        <f>VLOOKUP(E751,地区表!$A$2:$C$255,3,FALSE)</f>
        <v>东北</v>
      </c>
      <c r="L751" s="23" t="str" cm="1">
        <f t="array" ref="L751:N751">_xlfn.TEXTSPLIT(A751,"-")</f>
        <v>CN</v>
      </c>
      <c r="M751" s="22" t="str">
        <v>2538</v>
      </c>
      <c r="N751" s="22" t="str">
        <v>5731370</v>
      </c>
    </row>
    <row r="752" spans="1:14" ht="15.6">
      <c r="A752" s="4" t="s">
        <v>515</v>
      </c>
      <c r="B752" s="5">
        <v>45222.794639097199</v>
      </c>
      <c r="C752" s="5">
        <v>45228.845476259601</v>
      </c>
      <c r="D752" s="4" t="s">
        <v>98</v>
      </c>
      <c r="E752" s="4" t="s">
        <v>516</v>
      </c>
      <c r="F752" s="4" t="s">
        <v>118</v>
      </c>
      <c r="G752" s="4">
        <f t="shared" ca="1" si="33"/>
        <v>14</v>
      </c>
      <c r="H752" s="4">
        <v>2</v>
      </c>
      <c r="I752">
        <f t="shared" ca="1" si="34"/>
        <v>28</v>
      </c>
      <c r="J752">
        <f t="shared" si="35"/>
        <v>10</v>
      </c>
      <c r="K752" t="str">
        <f>VLOOKUP(E752,地区表!$A$2:$C$255,3,FALSE)</f>
        <v>华北</v>
      </c>
      <c r="L752" s="23" t="str" cm="1">
        <f t="array" ref="L752:N752">_xlfn.TEXTSPLIT(A752,"-")</f>
        <v>CN</v>
      </c>
      <c r="M752" s="22" t="str">
        <v>2671</v>
      </c>
      <c r="N752" s="22" t="str">
        <v>3010037</v>
      </c>
    </row>
    <row r="753" spans="1:14" ht="15.6">
      <c r="A753" s="4" t="s">
        <v>727</v>
      </c>
      <c r="B753" s="5">
        <v>44939.844342673699</v>
      </c>
      <c r="C753" s="5">
        <v>44944.571057631001</v>
      </c>
      <c r="D753" s="4" t="s">
        <v>98</v>
      </c>
      <c r="E753" s="4" t="s">
        <v>516</v>
      </c>
      <c r="F753" s="4" t="s">
        <v>141</v>
      </c>
      <c r="G753" s="4">
        <f t="shared" ca="1" si="33"/>
        <v>18</v>
      </c>
      <c r="H753" s="4">
        <v>2</v>
      </c>
      <c r="I753">
        <f t="shared" ca="1" si="34"/>
        <v>36</v>
      </c>
      <c r="J753">
        <f t="shared" si="35"/>
        <v>1</v>
      </c>
      <c r="K753" t="str">
        <f>VLOOKUP(E753,地区表!$A$2:$C$255,3,FALSE)</f>
        <v>华北</v>
      </c>
      <c r="L753" s="23" t="str" cm="1">
        <f t="array" ref="L753:N753">_xlfn.TEXTSPLIT(A753,"-")</f>
        <v>CN</v>
      </c>
      <c r="M753" s="22" t="str">
        <v>2388</v>
      </c>
      <c r="N753" s="22" t="str">
        <v>5320363</v>
      </c>
    </row>
    <row r="754" spans="1:14" ht="15.6">
      <c r="A754" s="4" t="s">
        <v>727</v>
      </c>
      <c r="B754" s="5">
        <v>44939.156974891899</v>
      </c>
      <c r="C754" s="5">
        <v>44944.764325706499</v>
      </c>
      <c r="D754" s="4" t="s">
        <v>98</v>
      </c>
      <c r="E754" s="4" t="s">
        <v>516</v>
      </c>
      <c r="F754" s="4" t="s">
        <v>131</v>
      </c>
      <c r="G754" s="4">
        <f t="shared" ca="1" si="33"/>
        <v>89</v>
      </c>
      <c r="H754" s="4">
        <v>1</v>
      </c>
      <c r="I754">
        <f t="shared" ca="1" si="34"/>
        <v>89</v>
      </c>
      <c r="J754">
        <f t="shared" si="35"/>
        <v>1</v>
      </c>
      <c r="K754" t="str">
        <f>VLOOKUP(E754,地区表!$A$2:$C$255,3,FALSE)</f>
        <v>华北</v>
      </c>
      <c r="L754" s="23" t="str" cm="1">
        <f t="array" ref="L754:N754">_xlfn.TEXTSPLIT(A754,"-")</f>
        <v>CN</v>
      </c>
      <c r="M754" s="22" t="str">
        <v>2388</v>
      </c>
      <c r="N754" s="22" t="str">
        <v>5320363</v>
      </c>
    </row>
    <row r="755" spans="1:14" ht="15.6">
      <c r="A755" s="4" t="s">
        <v>727</v>
      </c>
      <c r="B755" s="5">
        <v>44939.8167142116</v>
      </c>
      <c r="C755" s="5">
        <v>44944.870113546</v>
      </c>
      <c r="D755" s="4" t="s">
        <v>98</v>
      </c>
      <c r="E755" s="4" t="s">
        <v>516</v>
      </c>
      <c r="F755" s="4" t="s">
        <v>130</v>
      </c>
      <c r="G755" s="4">
        <f t="shared" ca="1" si="33"/>
        <v>14</v>
      </c>
      <c r="H755" s="4">
        <v>4</v>
      </c>
      <c r="I755">
        <f t="shared" ca="1" si="34"/>
        <v>56</v>
      </c>
      <c r="J755">
        <f t="shared" si="35"/>
        <v>1</v>
      </c>
      <c r="K755" t="str">
        <f>VLOOKUP(E755,地区表!$A$2:$C$255,3,FALSE)</f>
        <v>华北</v>
      </c>
      <c r="L755" s="23" t="str" cm="1">
        <f t="array" ref="L755:N755">_xlfn.TEXTSPLIT(A755,"-")</f>
        <v>CN</v>
      </c>
      <c r="M755" s="22" t="str">
        <v>2388</v>
      </c>
      <c r="N755" s="22" t="str">
        <v>5320363</v>
      </c>
    </row>
    <row r="756" spans="1:14" ht="15.6">
      <c r="A756" s="4" t="s">
        <v>727</v>
      </c>
      <c r="B756" s="5">
        <v>44939.278762528098</v>
      </c>
      <c r="C756" s="5">
        <v>44944.174790053898</v>
      </c>
      <c r="D756" s="4" t="s">
        <v>98</v>
      </c>
      <c r="E756" s="4" t="s">
        <v>516</v>
      </c>
      <c r="F756" s="4" t="s">
        <v>106</v>
      </c>
      <c r="G756" s="4">
        <f t="shared" ca="1" si="33"/>
        <v>43</v>
      </c>
      <c r="H756" s="4">
        <v>5</v>
      </c>
      <c r="I756">
        <f t="shared" ca="1" si="34"/>
        <v>215</v>
      </c>
      <c r="J756">
        <f t="shared" si="35"/>
        <v>1</v>
      </c>
      <c r="K756" t="str">
        <f>VLOOKUP(E756,地区表!$A$2:$C$255,3,FALSE)</f>
        <v>华北</v>
      </c>
      <c r="L756" s="23" t="str" cm="1">
        <f t="array" ref="L756:N756">_xlfn.TEXTSPLIT(A756,"-")</f>
        <v>CN</v>
      </c>
      <c r="M756" s="22" t="str">
        <v>2388</v>
      </c>
      <c r="N756" s="22" t="str">
        <v>5320363</v>
      </c>
    </row>
    <row r="757" spans="1:14" ht="15.6">
      <c r="A757" s="4" t="s">
        <v>727</v>
      </c>
      <c r="B757" s="5">
        <v>44939.8751193313</v>
      </c>
      <c r="C757" s="5">
        <v>44944.744375871502</v>
      </c>
      <c r="D757" s="4" t="s">
        <v>98</v>
      </c>
      <c r="E757" s="4" t="s">
        <v>516</v>
      </c>
      <c r="F757" s="4" t="s">
        <v>130</v>
      </c>
      <c r="G757" s="4">
        <f t="shared" ca="1" si="33"/>
        <v>14</v>
      </c>
      <c r="H757" s="4">
        <v>4</v>
      </c>
      <c r="I757">
        <f t="shared" ca="1" si="34"/>
        <v>56</v>
      </c>
      <c r="J757">
        <f t="shared" si="35"/>
        <v>1</v>
      </c>
      <c r="K757" t="str">
        <f>VLOOKUP(E757,地区表!$A$2:$C$255,3,FALSE)</f>
        <v>华北</v>
      </c>
      <c r="L757" s="23" t="str" cm="1">
        <f t="array" ref="L757:N757">_xlfn.TEXTSPLIT(A757,"-")</f>
        <v>CN</v>
      </c>
      <c r="M757" s="22" t="str">
        <v>2388</v>
      </c>
      <c r="N757" s="22" t="str">
        <v>5320363</v>
      </c>
    </row>
    <row r="758" spans="1:14" ht="15.6">
      <c r="A758" s="4" t="s">
        <v>461</v>
      </c>
      <c r="B758" s="5">
        <v>44202.106161027499</v>
      </c>
      <c r="C758" s="5">
        <v>44202.120976403698</v>
      </c>
      <c r="D758" s="4" t="s">
        <v>94</v>
      </c>
      <c r="E758" s="4" t="s">
        <v>462</v>
      </c>
      <c r="F758" s="4" t="s">
        <v>101</v>
      </c>
      <c r="G758" s="4">
        <f t="shared" ca="1" si="33"/>
        <v>29</v>
      </c>
      <c r="H758" s="4">
        <v>9</v>
      </c>
      <c r="I758">
        <f t="shared" ca="1" si="34"/>
        <v>261</v>
      </c>
      <c r="J758">
        <f t="shared" si="35"/>
        <v>1</v>
      </c>
      <c r="K758" t="str">
        <f>VLOOKUP(E758,地区表!$A$2:$C$255,3,FALSE)</f>
        <v>中南</v>
      </c>
      <c r="L758" s="23" t="str" cm="1">
        <f t="array" ref="L758:N758">_xlfn.TEXTSPLIT(A758,"-")</f>
        <v>US</v>
      </c>
      <c r="M758" s="22" t="str">
        <v>2746</v>
      </c>
      <c r="N758" s="22" t="str">
        <v>5082514</v>
      </c>
    </row>
    <row r="759" spans="1:14" ht="15.6">
      <c r="A759" s="4" t="s">
        <v>375</v>
      </c>
      <c r="B759" s="5">
        <v>44259.610346869697</v>
      </c>
      <c r="C759" s="5">
        <v>44262.305984967301</v>
      </c>
      <c r="D759" s="4" t="s">
        <v>98</v>
      </c>
      <c r="E759" s="4" t="s">
        <v>376</v>
      </c>
      <c r="F759" s="4" t="s">
        <v>110</v>
      </c>
      <c r="G759" s="4">
        <f t="shared" ca="1" si="33"/>
        <v>36</v>
      </c>
      <c r="H759" s="4">
        <v>4</v>
      </c>
      <c r="I759">
        <f t="shared" ca="1" si="34"/>
        <v>144</v>
      </c>
      <c r="J759">
        <f t="shared" si="35"/>
        <v>3</v>
      </c>
      <c r="K759" t="str">
        <f>VLOOKUP(E759,地区表!$A$2:$C$255,3,FALSE)</f>
        <v>华北</v>
      </c>
      <c r="L759" s="23" t="str" cm="1">
        <f t="array" ref="L759:N759">_xlfn.TEXTSPLIT(A759,"-")</f>
        <v>CN</v>
      </c>
      <c r="M759" s="22" t="str">
        <v>2803</v>
      </c>
      <c r="N759" s="22" t="str">
        <v>2000071</v>
      </c>
    </row>
    <row r="760" spans="1:14" ht="15.6">
      <c r="A760" s="4" t="s">
        <v>375</v>
      </c>
      <c r="B760" s="5">
        <v>44259.7754201762</v>
      </c>
      <c r="C760" s="5">
        <v>44262.1722126206</v>
      </c>
      <c r="D760" s="4" t="s">
        <v>98</v>
      </c>
      <c r="E760" s="4" t="s">
        <v>376</v>
      </c>
      <c r="F760" s="4" t="s">
        <v>141</v>
      </c>
      <c r="G760" s="4">
        <f t="shared" ca="1" si="33"/>
        <v>54</v>
      </c>
      <c r="H760" s="4">
        <v>5</v>
      </c>
      <c r="I760">
        <f t="shared" ca="1" si="34"/>
        <v>270</v>
      </c>
      <c r="J760">
        <f t="shared" si="35"/>
        <v>3</v>
      </c>
      <c r="K760" t="str">
        <f>VLOOKUP(E760,地区表!$A$2:$C$255,3,FALSE)</f>
        <v>华北</v>
      </c>
      <c r="L760" s="23" t="str" cm="1">
        <f t="array" ref="L760:N760">_xlfn.TEXTSPLIT(A760,"-")</f>
        <v>CN</v>
      </c>
      <c r="M760" s="22" t="str">
        <v>2803</v>
      </c>
      <c r="N760" s="22" t="str">
        <v>2000071</v>
      </c>
    </row>
    <row r="761" spans="1:14" ht="15.6">
      <c r="A761" s="4" t="s">
        <v>375</v>
      </c>
      <c r="B761" s="5">
        <v>44259.547619331897</v>
      </c>
      <c r="C761" s="5">
        <v>44262.104368911103</v>
      </c>
      <c r="D761" s="4" t="s">
        <v>98</v>
      </c>
      <c r="E761" s="4" t="s">
        <v>376</v>
      </c>
      <c r="F761" s="4" t="s">
        <v>130</v>
      </c>
      <c r="G761" s="4">
        <f t="shared" ca="1" si="33"/>
        <v>89</v>
      </c>
      <c r="H761" s="4">
        <v>2</v>
      </c>
      <c r="I761">
        <f t="shared" ca="1" si="34"/>
        <v>178</v>
      </c>
      <c r="J761">
        <f t="shared" si="35"/>
        <v>3</v>
      </c>
      <c r="K761" t="str">
        <f>VLOOKUP(E761,地区表!$A$2:$C$255,3,FALSE)</f>
        <v>华北</v>
      </c>
      <c r="L761" s="23" t="str" cm="1">
        <f t="array" ref="L761:N761">_xlfn.TEXTSPLIT(A761,"-")</f>
        <v>CN</v>
      </c>
      <c r="M761" s="22" t="str">
        <v>2803</v>
      </c>
      <c r="N761" s="22" t="str">
        <v>2000071</v>
      </c>
    </row>
    <row r="762" spans="1:14" ht="15.6">
      <c r="A762" s="4" t="s">
        <v>612</v>
      </c>
      <c r="B762" s="5">
        <v>44635.004127625099</v>
      </c>
      <c r="C762" s="5">
        <v>44641.453782663797</v>
      </c>
      <c r="D762" s="4" t="s">
        <v>114</v>
      </c>
      <c r="E762" s="4" t="s">
        <v>376</v>
      </c>
      <c r="F762" s="4" t="s">
        <v>135</v>
      </c>
      <c r="G762" s="4">
        <f t="shared" ca="1" si="33"/>
        <v>77</v>
      </c>
      <c r="H762" s="4">
        <v>2</v>
      </c>
      <c r="I762">
        <f t="shared" ca="1" si="34"/>
        <v>154</v>
      </c>
      <c r="J762">
        <f t="shared" si="35"/>
        <v>3</v>
      </c>
      <c r="K762" t="str">
        <f>VLOOKUP(E762,地区表!$A$2:$C$255,3,FALSE)</f>
        <v>华北</v>
      </c>
      <c r="L762" s="23" t="str" cm="1">
        <f t="array" ref="L762:N762">_xlfn.TEXTSPLIT(A762,"-")</f>
        <v>CN</v>
      </c>
      <c r="M762" s="22" t="str">
        <v>3179</v>
      </c>
      <c r="N762" s="22" t="str">
        <v>3108642</v>
      </c>
    </row>
    <row r="763" spans="1:14" ht="15.6">
      <c r="A763" s="4" t="s">
        <v>612</v>
      </c>
      <c r="B763" s="5">
        <v>44635.4696560722</v>
      </c>
      <c r="C763" s="5">
        <v>44641.536544013601</v>
      </c>
      <c r="D763" s="4" t="s">
        <v>114</v>
      </c>
      <c r="E763" s="4" t="s">
        <v>376</v>
      </c>
      <c r="F763" s="4" t="s">
        <v>118</v>
      </c>
      <c r="G763" s="4">
        <f t="shared" ca="1" si="33"/>
        <v>75</v>
      </c>
      <c r="H763" s="4">
        <v>5</v>
      </c>
      <c r="I763">
        <f t="shared" ca="1" si="34"/>
        <v>375</v>
      </c>
      <c r="J763">
        <f t="shared" si="35"/>
        <v>3</v>
      </c>
      <c r="K763" t="str">
        <f>VLOOKUP(E763,地区表!$A$2:$C$255,3,FALSE)</f>
        <v>华北</v>
      </c>
      <c r="L763" s="23" t="str" cm="1">
        <f t="array" ref="L763:N763">_xlfn.TEXTSPLIT(A763,"-")</f>
        <v>CN</v>
      </c>
      <c r="M763" s="22" t="str">
        <v>3179</v>
      </c>
      <c r="N763" s="22" t="str">
        <v>3108642</v>
      </c>
    </row>
    <row r="764" spans="1:14" ht="15.6">
      <c r="A764" s="4" t="s">
        <v>648</v>
      </c>
      <c r="B764" s="5">
        <v>45211.398573480197</v>
      </c>
      <c r="C764" s="5">
        <v>45215.061770550201</v>
      </c>
      <c r="D764" s="4" t="s">
        <v>98</v>
      </c>
      <c r="E764" s="4" t="s">
        <v>376</v>
      </c>
      <c r="F764" s="4" t="s">
        <v>130</v>
      </c>
      <c r="G764" s="4">
        <f t="shared" ca="1" si="33"/>
        <v>43</v>
      </c>
      <c r="H764" s="4">
        <v>3</v>
      </c>
      <c r="I764">
        <f t="shared" ca="1" si="34"/>
        <v>129</v>
      </c>
      <c r="J764">
        <f t="shared" si="35"/>
        <v>10</v>
      </c>
      <c r="K764" t="str">
        <f>VLOOKUP(E764,地区表!$A$2:$C$255,3,FALSE)</f>
        <v>华北</v>
      </c>
      <c r="L764" s="23" t="str" cm="1">
        <f t="array" ref="L764:N764">_xlfn.TEXTSPLIT(A764,"-")</f>
        <v>CN</v>
      </c>
      <c r="M764" s="22" t="str">
        <v>1929</v>
      </c>
      <c r="N764" s="22" t="str">
        <v>5720978</v>
      </c>
    </row>
    <row r="765" spans="1:14" ht="15.6">
      <c r="A765" s="4" t="s">
        <v>488</v>
      </c>
      <c r="B765" s="5">
        <v>44684.009951823202</v>
      </c>
      <c r="C765" s="5">
        <v>44689.7424259908</v>
      </c>
      <c r="D765" s="4" t="s">
        <v>98</v>
      </c>
      <c r="E765" s="4" t="s">
        <v>489</v>
      </c>
      <c r="F765" s="4" t="s">
        <v>100</v>
      </c>
      <c r="G765" s="4">
        <f t="shared" ca="1" si="33"/>
        <v>28</v>
      </c>
      <c r="H765" s="4">
        <v>2</v>
      </c>
      <c r="I765">
        <f t="shared" ca="1" si="34"/>
        <v>56</v>
      </c>
      <c r="J765">
        <f t="shared" si="35"/>
        <v>5</v>
      </c>
      <c r="K765" t="str">
        <f>VLOOKUP(E765,地区表!$A$2:$C$255,3,FALSE)</f>
        <v>中南</v>
      </c>
      <c r="L765" s="23" t="str" cm="1">
        <f t="array" ref="L765:N765">_xlfn.TEXTSPLIT(A765,"-")</f>
        <v>CN</v>
      </c>
      <c r="M765" s="22" t="str">
        <v>3228</v>
      </c>
      <c r="N765" s="22" t="str">
        <v>4150128</v>
      </c>
    </row>
    <row r="766" spans="1:14" ht="15.6">
      <c r="A766" s="4" t="s">
        <v>488</v>
      </c>
      <c r="B766" s="5">
        <v>44684.149137052103</v>
      </c>
      <c r="C766" s="5">
        <v>44689.091468327802</v>
      </c>
      <c r="D766" s="4" t="s">
        <v>98</v>
      </c>
      <c r="E766" s="4" t="s">
        <v>489</v>
      </c>
      <c r="F766" s="4" t="s">
        <v>101</v>
      </c>
      <c r="G766" s="4">
        <f t="shared" ca="1" si="33"/>
        <v>63</v>
      </c>
      <c r="H766" s="4">
        <v>3</v>
      </c>
      <c r="I766">
        <f t="shared" ca="1" si="34"/>
        <v>189</v>
      </c>
      <c r="J766">
        <f t="shared" si="35"/>
        <v>5</v>
      </c>
      <c r="K766" t="str">
        <f>VLOOKUP(E766,地区表!$A$2:$C$255,3,FALSE)</f>
        <v>中南</v>
      </c>
      <c r="L766" s="23" t="str" cm="1">
        <f t="array" ref="L766:N766">_xlfn.TEXTSPLIT(A766,"-")</f>
        <v>CN</v>
      </c>
      <c r="M766" s="22" t="str">
        <v>3228</v>
      </c>
      <c r="N766" s="22" t="str">
        <v>4150128</v>
      </c>
    </row>
    <row r="767" spans="1:14" ht="15.6">
      <c r="A767" s="4" t="s">
        <v>257</v>
      </c>
      <c r="B767" s="5">
        <v>44623.246796004903</v>
      </c>
      <c r="C767" s="5">
        <v>44628.620693349301</v>
      </c>
      <c r="D767" s="4" t="s">
        <v>98</v>
      </c>
      <c r="E767" s="4" t="s">
        <v>258</v>
      </c>
      <c r="F767" s="4" t="s">
        <v>131</v>
      </c>
      <c r="G767" s="4">
        <f t="shared" ca="1" si="33"/>
        <v>86</v>
      </c>
      <c r="H767" s="4">
        <v>3</v>
      </c>
      <c r="I767">
        <f t="shared" ca="1" si="34"/>
        <v>258</v>
      </c>
      <c r="J767">
        <f t="shared" si="35"/>
        <v>3</v>
      </c>
      <c r="K767" t="str">
        <f>VLOOKUP(E767,地区表!$A$2:$C$255,3,FALSE)</f>
        <v>东北</v>
      </c>
      <c r="L767" s="23" t="str" cm="1">
        <f t="array" ref="L767:N767">_xlfn.TEXTSPLIT(A767,"-")</f>
        <v>CN</v>
      </c>
      <c r="M767" s="22" t="str">
        <v>3167</v>
      </c>
      <c r="N767" s="22" t="str">
        <v>4950934</v>
      </c>
    </row>
    <row r="768" spans="1:14" ht="15.6">
      <c r="A768" s="4" t="s">
        <v>257</v>
      </c>
      <c r="B768" s="5">
        <v>44623.483526606498</v>
      </c>
      <c r="C768" s="5">
        <v>44628.930901419</v>
      </c>
      <c r="D768" s="4" t="s">
        <v>98</v>
      </c>
      <c r="E768" s="4" t="s">
        <v>258</v>
      </c>
      <c r="F768" s="4" t="s">
        <v>112</v>
      </c>
      <c r="G768" s="4">
        <f t="shared" ca="1" si="33"/>
        <v>71</v>
      </c>
      <c r="H768" s="4">
        <v>2</v>
      </c>
      <c r="I768">
        <f t="shared" ca="1" si="34"/>
        <v>142</v>
      </c>
      <c r="J768">
        <f t="shared" si="35"/>
        <v>3</v>
      </c>
      <c r="K768" t="str">
        <f>VLOOKUP(E768,地区表!$A$2:$C$255,3,FALSE)</f>
        <v>东北</v>
      </c>
      <c r="L768" s="23" t="str" cm="1">
        <f t="array" ref="L768:N768">_xlfn.TEXTSPLIT(A768,"-")</f>
        <v>CN</v>
      </c>
      <c r="M768" s="22" t="str">
        <v>3167</v>
      </c>
      <c r="N768" s="22" t="str">
        <v>4950934</v>
      </c>
    </row>
    <row r="769" spans="1:14" ht="15.6">
      <c r="A769" s="4" t="s">
        <v>620</v>
      </c>
      <c r="B769" s="5">
        <v>44239.728528775602</v>
      </c>
      <c r="C769" s="5">
        <v>44243.080682478801</v>
      </c>
      <c r="D769" s="4" t="s">
        <v>98</v>
      </c>
      <c r="E769" s="4" t="s">
        <v>258</v>
      </c>
      <c r="F769" s="4" t="s">
        <v>110</v>
      </c>
      <c r="G769" s="4">
        <f t="shared" ca="1" si="33"/>
        <v>58</v>
      </c>
      <c r="H769" s="4">
        <v>2</v>
      </c>
      <c r="I769">
        <f t="shared" ca="1" si="34"/>
        <v>116</v>
      </c>
      <c r="J769">
        <f t="shared" si="35"/>
        <v>2</v>
      </c>
      <c r="K769" t="str">
        <f>VLOOKUP(E769,地区表!$A$2:$C$255,3,FALSE)</f>
        <v>东北</v>
      </c>
      <c r="L769" s="23" t="str" cm="1">
        <f t="array" ref="L769:N769">_xlfn.TEXTSPLIT(A769,"-")</f>
        <v>CN</v>
      </c>
      <c r="M769" s="22" t="str">
        <v>2783</v>
      </c>
      <c r="N769" s="22" t="str">
        <v>4075015</v>
      </c>
    </row>
    <row r="770" spans="1:14" ht="15.6">
      <c r="A770" s="4" t="s">
        <v>620</v>
      </c>
      <c r="B770" s="5">
        <v>44239.6009877877</v>
      </c>
      <c r="C770" s="5">
        <v>44243.494610375601</v>
      </c>
      <c r="D770" s="4" t="s">
        <v>98</v>
      </c>
      <c r="E770" s="4" t="s">
        <v>258</v>
      </c>
      <c r="F770" s="4" t="s">
        <v>101</v>
      </c>
      <c r="G770" s="4">
        <f t="shared" ref="G770:G833" ca="1" si="36">RANDBETWEEN(10,100)</f>
        <v>84</v>
      </c>
      <c r="H770" s="4">
        <v>4</v>
      </c>
      <c r="I770">
        <f t="shared" ca="1" si="34"/>
        <v>336</v>
      </c>
      <c r="J770">
        <f t="shared" si="35"/>
        <v>2</v>
      </c>
      <c r="K770" t="str">
        <f>VLOOKUP(E770,地区表!$A$2:$C$255,3,FALSE)</f>
        <v>东北</v>
      </c>
      <c r="L770" s="23" t="str" cm="1">
        <f t="array" ref="L770:N770">_xlfn.TEXTSPLIT(A770,"-")</f>
        <v>CN</v>
      </c>
      <c r="M770" s="22" t="str">
        <v>2783</v>
      </c>
      <c r="N770" s="22" t="str">
        <v>4075015</v>
      </c>
    </row>
    <row r="771" spans="1:14" ht="15.6">
      <c r="A771" s="4" t="s">
        <v>620</v>
      </c>
      <c r="B771" s="5">
        <v>44239.1668624862</v>
      </c>
      <c r="C771" s="5">
        <v>44243.280729432699</v>
      </c>
      <c r="D771" s="4" t="s">
        <v>98</v>
      </c>
      <c r="E771" s="4" t="s">
        <v>258</v>
      </c>
      <c r="F771" s="4" t="s">
        <v>110</v>
      </c>
      <c r="G771" s="4">
        <f t="shared" ca="1" si="36"/>
        <v>25</v>
      </c>
      <c r="H771" s="4">
        <v>6</v>
      </c>
      <c r="I771">
        <f t="shared" ref="I771:I834" ca="1" si="37">G771*H771</f>
        <v>150</v>
      </c>
      <c r="J771">
        <f t="shared" ref="J771:J834" si="38">MONTH(B771)</f>
        <v>2</v>
      </c>
      <c r="K771" t="str">
        <f>VLOOKUP(E771,地区表!$A$2:$C$255,3,FALSE)</f>
        <v>东北</v>
      </c>
      <c r="L771" s="23" t="str" cm="1">
        <f t="array" ref="L771:N771">_xlfn.TEXTSPLIT(A771,"-")</f>
        <v>CN</v>
      </c>
      <c r="M771" s="22" t="str">
        <v>2783</v>
      </c>
      <c r="N771" s="22" t="str">
        <v>4075015</v>
      </c>
    </row>
    <row r="772" spans="1:14" ht="15.6">
      <c r="A772" s="4" t="s">
        <v>839</v>
      </c>
      <c r="B772" s="5">
        <v>45114.5876264299</v>
      </c>
      <c r="C772" s="5">
        <v>45116.181074605702</v>
      </c>
      <c r="D772" s="4" t="s">
        <v>98</v>
      </c>
      <c r="E772" s="4" t="s">
        <v>258</v>
      </c>
      <c r="F772" s="4" t="s">
        <v>118</v>
      </c>
      <c r="G772" s="4">
        <f t="shared" ca="1" si="36"/>
        <v>65</v>
      </c>
      <c r="H772" s="4">
        <v>2</v>
      </c>
      <c r="I772">
        <f t="shared" ca="1" si="37"/>
        <v>130</v>
      </c>
      <c r="J772">
        <f t="shared" si="38"/>
        <v>7</v>
      </c>
      <c r="K772" t="str">
        <f>VLOOKUP(E772,地区表!$A$2:$C$255,3,FALSE)</f>
        <v>东北</v>
      </c>
      <c r="L772" s="23" t="str" cm="1">
        <f t="array" ref="L772:N772">_xlfn.TEXTSPLIT(A772,"-")</f>
        <v>CN</v>
      </c>
      <c r="M772" s="22" t="str">
        <v>2563</v>
      </c>
      <c r="N772" s="22" t="str">
        <v>4347325</v>
      </c>
    </row>
    <row r="773" spans="1:14" ht="15.6">
      <c r="A773" s="4" t="s">
        <v>552</v>
      </c>
      <c r="B773" s="5">
        <v>44631.379606996001</v>
      </c>
      <c r="C773" s="5">
        <v>44633.839510505197</v>
      </c>
      <c r="D773" s="4" t="s">
        <v>98</v>
      </c>
      <c r="E773" s="4" t="s">
        <v>553</v>
      </c>
      <c r="F773" s="4" t="s">
        <v>96</v>
      </c>
      <c r="G773" s="4">
        <f t="shared" ca="1" si="36"/>
        <v>12</v>
      </c>
      <c r="H773" s="4">
        <v>4</v>
      </c>
      <c r="I773">
        <f t="shared" ca="1" si="37"/>
        <v>48</v>
      </c>
      <c r="J773">
        <f t="shared" si="38"/>
        <v>3</v>
      </c>
      <c r="K773" t="str">
        <f>VLOOKUP(E773,地区表!$A$2:$C$255,3,FALSE)</f>
        <v>西北</v>
      </c>
      <c r="L773" s="23" t="str" cm="1">
        <f t="array" ref="L773:N773">_xlfn.TEXTSPLIT(A773,"-")</f>
        <v>US</v>
      </c>
      <c r="M773" s="22" t="str">
        <v>3175</v>
      </c>
      <c r="N773" s="22" t="str">
        <v>3325239</v>
      </c>
    </row>
    <row r="774" spans="1:14" ht="15.6">
      <c r="A774" s="4" t="s">
        <v>552</v>
      </c>
      <c r="B774" s="5">
        <v>44631.581618541102</v>
      </c>
      <c r="C774" s="5">
        <v>44633.597924561698</v>
      </c>
      <c r="D774" s="4" t="s">
        <v>98</v>
      </c>
      <c r="E774" s="4" t="s">
        <v>553</v>
      </c>
      <c r="F774" s="4" t="s">
        <v>121</v>
      </c>
      <c r="G774" s="4">
        <f t="shared" ca="1" si="36"/>
        <v>36</v>
      </c>
      <c r="H774" s="4">
        <v>7</v>
      </c>
      <c r="I774">
        <f t="shared" ca="1" si="37"/>
        <v>252</v>
      </c>
      <c r="J774">
        <f t="shared" si="38"/>
        <v>3</v>
      </c>
      <c r="K774" t="str">
        <f>VLOOKUP(E774,地区表!$A$2:$C$255,3,FALSE)</f>
        <v>西北</v>
      </c>
      <c r="L774" s="23" t="str" cm="1">
        <f t="array" ref="L774:N774">_xlfn.TEXTSPLIT(A774,"-")</f>
        <v>US</v>
      </c>
      <c r="M774" s="22" t="str">
        <v>3175</v>
      </c>
      <c r="N774" s="22" t="str">
        <v>3325239</v>
      </c>
    </row>
    <row r="775" spans="1:14" ht="15.6">
      <c r="A775" s="4" t="s">
        <v>552</v>
      </c>
      <c r="B775" s="5">
        <v>44631.900476038798</v>
      </c>
      <c r="C775" s="5">
        <v>44633.060596569499</v>
      </c>
      <c r="D775" s="4" t="s">
        <v>98</v>
      </c>
      <c r="E775" s="4" t="s">
        <v>553</v>
      </c>
      <c r="F775" s="4" t="s">
        <v>144</v>
      </c>
      <c r="G775" s="4">
        <f t="shared" ca="1" si="36"/>
        <v>90</v>
      </c>
      <c r="H775" s="4">
        <v>7</v>
      </c>
      <c r="I775">
        <f t="shared" ca="1" si="37"/>
        <v>630</v>
      </c>
      <c r="J775">
        <f t="shared" si="38"/>
        <v>3</v>
      </c>
      <c r="K775" t="str">
        <f>VLOOKUP(E775,地区表!$A$2:$C$255,3,FALSE)</f>
        <v>西北</v>
      </c>
      <c r="L775" s="23" t="str" cm="1">
        <f t="array" ref="L775:N775">_xlfn.TEXTSPLIT(A775,"-")</f>
        <v>US</v>
      </c>
      <c r="M775" s="22" t="str">
        <v>3175</v>
      </c>
      <c r="N775" s="22" t="str">
        <v>3325239</v>
      </c>
    </row>
    <row r="776" spans="1:14" ht="15.6">
      <c r="A776" s="4" t="s">
        <v>552</v>
      </c>
      <c r="B776" s="5">
        <v>44631.821092630496</v>
      </c>
      <c r="C776" s="5">
        <v>44633.618282854797</v>
      </c>
      <c r="D776" s="4" t="s">
        <v>98</v>
      </c>
      <c r="E776" s="4" t="s">
        <v>553</v>
      </c>
      <c r="F776" s="4" t="s">
        <v>110</v>
      </c>
      <c r="G776" s="4">
        <f t="shared" ca="1" si="36"/>
        <v>70</v>
      </c>
      <c r="H776" s="4">
        <v>7</v>
      </c>
      <c r="I776">
        <f t="shared" ca="1" si="37"/>
        <v>490</v>
      </c>
      <c r="J776">
        <f t="shared" si="38"/>
        <v>3</v>
      </c>
      <c r="K776" t="str">
        <f>VLOOKUP(E776,地区表!$A$2:$C$255,3,FALSE)</f>
        <v>西北</v>
      </c>
      <c r="L776" s="23" t="str" cm="1">
        <f t="array" ref="L776:N776">_xlfn.TEXTSPLIT(A776,"-")</f>
        <v>US</v>
      </c>
      <c r="M776" s="22" t="str">
        <v>3175</v>
      </c>
      <c r="N776" s="22" t="str">
        <v>3325239</v>
      </c>
    </row>
    <row r="777" spans="1:14" ht="15.6">
      <c r="A777" s="4" t="s">
        <v>396</v>
      </c>
      <c r="B777" s="5">
        <v>45136.841144807098</v>
      </c>
      <c r="C777" s="5">
        <v>45138.663469012303</v>
      </c>
      <c r="D777" s="4" t="s">
        <v>94</v>
      </c>
      <c r="E777" s="4" t="s">
        <v>397</v>
      </c>
      <c r="F777" s="4" t="s">
        <v>106</v>
      </c>
      <c r="G777" s="4">
        <f t="shared" ca="1" si="36"/>
        <v>34</v>
      </c>
      <c r="H777" s="4">
        <v>1</v>
      </c>
      <c r="I777">
        <f t="shared" ca="1" si="37"/>
        <v>34</v>
      </c>
      <c r="J777">
        <f t="shared" si="38"/>
        <v>7</v>
      </c>
      <c r="K777" t="str">
        <f>VLOOKUP(E777,地区表!$A$2:$C$255,3,FALSE)</f>
        <v>华东</v>
      </c>
      <c r="L777" s="23" t="str" cm="1">
        <f t="array" ref="L777:N777">_xlfn.TEXTSPLIT(A777,"-")</f>
        <v>US</v>
      </c>
      <c r="M777" s="22" t="str">
        <v>2585</v>
      </c>
      <c r="N777" s="22" t="str">
        <v>2756371</v>
      </c>
    </row>
    <row r="778" spans="1:14" ht="15.6">
      <c r="A778" s="4" t="s">
        <v>674</v>
      </c>
      <c r="B778" s="5">
        <v>44681.781893929401</v>
      </c>
      <c r="C778" s="5">
        <v>44686.702478201703</v>
      </c>
      <c r="D778" s="4" t="s">
        <v>114</v>
      </c>
      <c r="E778" s="4" t="s">
        <v>397</v>
      </c>
      <c r="F778" s="4" t="s">
        <v>125</v>
      </c>
      <c r="G778" s="4">
        <f t="shared" ca="1" si="36"/>
        <v>19</v>
      </c>
      <c r="H778" s="4">
        <v>2</v>
      </c>
      <c r="I778">
        <f t="shared" ca="1" si="37"/>
        <v>38</v>
      </c>
      <c r="J778">
        <f t="shared" si="38"/>
        <v>4</v>
      </c>
      <c r="K778" t="str">
        <f>VLOOKUP(E778,地区表!$A$2:$C$255,3,FALSE)</f>
        <v>华东</v>
      </c>
      <c r="L778" s="23" t="str" cm="1">
        <f t="array" ref="L778:N778">_xlfn.TEXTSPLIT(A778,"-")</f>
        <v>CN</v>
      </c>
      <c r="M778" s="22" t="str">
        <v>3225</v>
      </c>
      <c r="N778" s="22" t="str">
        <v>4545298</v>
      </c>
    </row>
    <row r="779" spans="1:14" ht="15.6">
      <c r="A779" s="4" t="s">
        <v>674</v>
      </c>
      <c r="B779" s="5">
        <v>44681.316309826703</v>
      </c>
      <c r="C779" s="5">
        <v>44686.5373527595</v>
      </c>
      <c r="D779" s="4" t="s">
        <v>114</v>
      </c>
      <c r="E779" s="4" t="s">
        <v>397</v>
      </c>
      <c r="F779" s="4" t="s">
        <v>106</v>
      </c>
      <c r="G779" s="4">
        <f t="shared" ca="1" si="36"/>
        <v>38</v>
      </c>
      <c r="H779" s="4">
        <v>5</v>
      </c>
      <c r="I779">
        <f t="shared" ca="1" si="37"/>
        <v>190</v>
      </c>
      <c r="J779">
        <f t="shared" si="38"/>
        <v>4</v>
      </c>
      <c r="K779" t="str">
        <f>VLOOKUP(E779,地区表!$A$2:$C$255,3,FALSE)</f>
        <v>华东</v>
      </c>
      <c r="L779" s="23" t="str" cm="1">
        <f t="array" ref="L779:N779">_xlfn.TEXTSPLIT(A779,"-")</f>
        <v>CN</v>
      </c>
      <c r="M779" s="22" t="str">
        <v>3225</v>
      </c>
      <c r="N779" s="22" t="str">
        <v>4545298</v>
      </c>
    </row>
    <row r="780" spans="1:14" ht="15.6">
      <c r="A780" s="4" t="s">
        <v>674</v>
      </c>
      <c r="B780" s="5">
        <v>44681.494951016502</v>
      </c>
      <c r="C780" s="5">
        <v>44686.723835989003</v>
      </c>
      <c r="D780" s="4" t="s">
        <v>114</v>
      </c>
      <c r="E780" s="4" t="s">
        <v>397</v>
      </c>
      <c r="F780" s="4" t="s">
        <v>106</v>
      </c>
      <c r="G780" s="4">
        <f t="shared" ca="1" si="36"/>
        <v>25</v>
      </c>
      <c r="H780" s="4">
        <v>5</v>
      </c>
      <c r="I780">
        <f t="shared" ca="1" si="37"/>
        <v>125</v>
      </c>
      <c r="J780">
        <f t="shared" si="38"/>
        <v>4</v>
      </c>
      <c r="K780" t="str">
        <f>VLOOKUP(E780,地区表!$A$2:$C$255,3,FALSE)</f>
        <v>华东</v>
      </c>
      <c r="L780" s="23" t="str" cm="1">
        <f t="array" ref="L780:N780">_xlfn.TEXTSPLIT(A780,"-")</f>
        <v>CN</v>
      </c>
      <c r="M780" s="22" t="str">
        <v>3225</v>
      </c>
      <c r="N780" s="22" t="str">
        <v>4545298</v>
      </c>
    </row>
    <row r="781" spans="1:14" ht="15.6">
      <c r="A781" s="4" t="s">
        <v>674</v>
      </c>
      <c r="B781" s="5">
        <v>44681.812926777398</v>
      </c>
      <c r="C781" s="5">
        <v>44686.809803016702</v>
      </c>
      <c r="D781" s="4" t="s">
        <v>114</v>
      </c>
      <c r="E781" s="4" t="s">
        <v>397</v>
      </c>
      <c r="F781" s="4" t="s">
        <v>101</v>
      </c>
      <c r="G781" s="4">
        <f t="shared" ca="1" si="36"/>
        <v>96</v>
      </c>
      <c r="H781" s="4">
        <v>1</v>
      </c>
      <c r="I781">
        <f t="shared" ca="1" si="37"/>
        <v>96</v>
      </c>
      <c r="J781">
        <f t="shared" si="38"/>
        <v>4</v>
      </c>
      <c r="K781" t="str">
        <f>VLOOKUP(E781,地区表!$A$2:$C$255,3,FALSE)</f>
        <v>华东</v>
      </c>
      <c r="L781" s="23" t="str" cm="1">
        <f t="array" ref="L781:N781">_xlfn.TEXTSPLIT(A781,"-")</f>
        <v>CN</v>
      </c>
      <c r="M781" s="22" t="str">
        <v>3225</v>
      </c>
      <c r="N781" s="22" t="str">
        <v>4545298</v>
      </c>
    </row>
    <row r="782" spans="1:14" ht="15.6">
      <c r="A782" s="4" t="s">
        <v>133</v>
      </c>
      <c r="B782" s="5">
        <v>44592.639632712802</v>
      </c>
      <c r="C782" s="5">
        <v>44596.4319997696</v>
      </c>
      <c r="D782" s="4" t="s">
        <v>94</v>
      </c>
      <c r="E782" s="4" t="s">
        <v>134</v>
      </c>
      <c r="F782" s="4" t="s">
        <v>135</v>
      </c>
      <c r="G782" s="4">
        <f t="shared" ca="1" si="36"/>
        <v>12</v>
      </c>
      <c r="H782" s="4">
        <v>2</v>
      </c>
      <c r="I782">
        <f t="shared" ca="1" si="37"/>
        <v>24</v>
      </c>
      <c r="J782">
        <f t="shared" si="38"/>
        <v>1</v>
      </c>
      <c r="K782" t="str">
        <f>VLOOKUP(E782,地区表!$A$2:$C$255,3,FALSE)</f>
        <v>华北</v>
      </c>
      <c r="L782" s="23" t="str" cm="1">
        <f t="array" ref="L782:N782">_xlfn.TEXTSPLIT(A782,"-")</f>
        <v>CN</v>
      </c>
      <c r="M782" s="22" t="str">
        <v>3136</v>
      </c>
      <c r="N782" s="22" t="str">
        <v>3230180</v>
      </c>
    </row>
    <row r="783" spans="1:14" ht="15.6">
      <c r="A783" s="4" t="s">
        <v>133</v>
      </c>
      <c r="B783" s="5">
        <v>44592.226138371203</v>
      </c>
      <c r="C783" s="5">
        <v>44596.374999379899</v>
      </c>
      <c r="D783" s="4" t="s">
        <v>94</v>
      </c>
      <c r="E783" s="4" t="s">
        <v>134</v>
      </c>
      <c r="F783" s="4" t="s">
        <v>110</v>
      </c>
      <c r="G783" s="4">
        <f t="shared" ca="1" si="36"/>
        <v>51</v>
      </c>
      <c r="H783" s="4">
        <v>5</v>
      </c>
      <c r="I783">
        <f t="shared" ca="1" si="37"/>
        <v>255</v>
      </c>
      <c r="J783">
        <f t="shared" si="38"/>
        <v>1</v>
      </c>
      <c r="K783" t="str">
        <f>VLOOKUP(E783,地区表!$A$2:$C$255,3,FALSE)</f>
        <v>华北</v>
      </c>
      <c r="L783" s="23" t="str" cm="1">
        <f t="array" ref="L783:N783">_xlfn.TEXTSPLIT(A783,"-")</f>
        <v>CN</v>
      </c>
      <c r="M783" s="22" t="str">
        <v>3136</v>
      </c>
      <c r="N783" s="22" t="str">
        <v>3230180</v>
      </c>
    </row>
    <row r="784" spans="1:14" ht="15.6">
      <c r="A784" s="4" t="s">
        <v>421</v>
      </c>
      <c r="B784" s="5">
        <v>44200.295999547197</v>
      </c>
      <c r="C784" s="5">
        <v>44202.891261450997</v>
      </c>
      <c r="D784" s="4" t="s">
        <v>98</v>
      </c>
      <c r="E784" s="4" t="s">
        <v>134</v>
      </c>
      <c r="F784" s="4" t="s">
        <v>111</v>
      </c>
      <c r="G784" s="4">
        <f t="shared" ca="1" si="36"/>
        <v>11</v>
      </c>
      <c r="H784" s="4">
        <v>4</v>
      </c>
      <c r="I784">
        <f t="shared" ca="1" si="37"/>
        <v>44</v>
      </c>
      <c r="J784">
        <f t="shared" si="38"/>
        <v>1</v>
      </c>
      <c r="K784" t="str">
        <f>VLOOKUP(E784,地区表!$A$2:$C$255,3,FALSE)</f>
        <v>华北</v>
      </c>
      <c r="L784" s="23" t="str" cm="1">
        <f t="array" ref="L784:N784">_xlfn.TEXTSPLIT(A784,"-")</f>
        <v>CN</v>
      </c>
      <c r="M784" s="22" t="str">
        <v>2744</v>
      </c>
      <c r="N784" s="22" t="str">
        <v>1399832</v>
      </c>
    </row>
    <row r="785" spans="1:14" ht="15.6">
      <c r="A785" s="4" t="s">
        <v>421</v>
      </c>
      <c r="B785" s="5">
        <v>44200.314594130403</v>
      </c>
      <c r="C785" s="5">
        <v>44202.439802729597</v>
      </c>
      <c r="D785" s="4" t="s">
        <v>98</v>
      </c>
      <c r="E785" s="4" t="s">
        <v>134</v>
      </c>
      <c r="F785" s="4" t="s">
        <v>131</v>
      </c>
      <c r="G785" s="4">
        <f t="shared" ca="1" si="36"/>
        <v>37</v>
      </c>
      <c r="H785" s="4">
        <v>2</v>
      </c>
      <c r="I785">
        <f t="shared" ca="1" si="37"/>
        <v>74</v>
      </c>
      <c r="J785">
        <f t="shared" si="38"/>
        <v>1</v>
      </c>
      <c r="K785" t="str">
        <f>VLOOKUP(E785,地区表!$A$2:$C$255,3,FALSE)</f>
        <v>华北</v>
      </c>
      <c r="L785" s="23" t="str" cm="1">
        <f t="array" ref="L785:N785">_xlfn.TEXTSPLIT(A785,"-")</f>
        <v>CN</v>
      </c>
      <c r="M785" s="22" t="str">
        <v>2744</v>
      </c>
      <c r="N785" s="22" t="str">
        <v>1399832</v>
      </c>
    </row>
    <row r="786" spans="1:14" ht="15.6">
      <c r="A786" s="4" t="s">
        <v>421</v>
      </c>
      <c r="B786" s="5">
        <v>44200.166253147101</v>
      </c>
      <c r="C786" s="5">
        <v>44202.392380751196</v>
      </c>
      <c r="D786" s="4" t="s">
        <v>98</v>
      </c>
      <c r="E786" s="4" t="s">
        <v>134</v>
      </c>
      <c r="F786" s="4" t="s">
        <v>112</v>
      </c>
      <c r="G786" s="4">
        <f t="shared" ca="1" si="36"/>
        <v>76</v>
      </c>
      <c r="H786" s="4">
        <v>6</v>
      </c>
      <c r="I786">
        <f t="shared" ca="1" si="37"/>
        <v>456</v>
      </c>
      <c r="J786">
        <f t="shared" si="38"/>
        <v>1</v>
      </c>
      <c r="K786" t="str">
        <f>VLOOKUP(E786,地区表!$A$2:$C$255,3,FALSE)</f>
        <v>华北</v>
      </c>
      <c r="L786" s="23" t="str" cm="1">
        <f t="array" ref="L786:N786">_xlfn.TEXTSPLIT(A786,"-")</f>
        <v>CN</v>
      </c>
      <c r="M786" s="22" t="str">
        <v>2744</v>
      </c>
      <c r="N786" s="22" t="str">
        <v>1399832</v>
      </c>
    </row>
    <row r="787" spans="1:14" ht="15.6">
      <c r="A787" s="4" t="s">
        <v>421</v>
      </c>
      <c r="B787" s="5">
        <v>44200.883060630302</v>
      </c>
      <c r="C787" s="5">
        <v>44202.475164343603</v>
      </c>
      <c r="D787" s="4" t="s">
        <v>98</v>
      </c>
      <c r="E787" s="4" t="s">
        <v>134</v>
      </c>
      <c r="F787" s="4" t="s">
        <v>96</v>
      </c>
      <c r="G787" s="4">
        <f t="shared" ca="1" si="36"/>
        <v>32</v>
      </c>
      <c r="H787" s="4">
        <v>3</v>
      </c>
      <c r="I787">
        <f t="shared" ca="1" si="37"/>
        <v>96</v>
      </c>
      <c r="J787">
        <f t="shared" si="38"/>
        <v>1</v>
      </c>
      <c r="K787" t="str">
        <f>VLOOKUP(E787,地区表!$A$2:$C$255,3,FALSE)</f>
        <v>华北</v>
      </c>
      <c r="L787" s="23" t="str" cm="1">
        <f t="array" ref="L787:N787">_xlfn.TEXTSPLIT(A787,"-")</f>
        <v>CN</v>
      </c>
      <c r="M787" s="22" t="str">
        <v>2744</v>
      </c>
      <c r="N787" s="22" t="str">
        <v>1399832</v>
      </c>
    </row>
    <row r="788" spans="1:14" ht="15.6">
      <c r="A788" s="4" t="s">
        <v>421</v>
      </c>
      <c r="B788" s="5">
        <v>44200.488397329696</v>
      </c>
      <c r="C788" s="5">
        <v>44202.022787334899</v>
      </c>
      <c r="D788" s="4" t="s">
        <v>98</v>
      </c>
      <c r="E788" s="4" t="s">
        <v>134</v>
      </c>
      <c r="F788" s="4" t="s">
        <v>110</v>
      </c>
      <c r="G788" s="4">
        <f t="shared" ca="1" si="36"/>
        <v>17</v>
      </c>
      <c r="H788" s="4">
        <v>3</v>
      </c>
      <c r="I788">
        <f t="shared" ca="1" si="37"/>
        <v>51</v>
      </c>
      <c r="J788">
        <f t="shared" si="38"/>
        <v>1</v>
      </c>
      <c r="K788" t="str">
        <f>VLOOKUP(E788,地区表!$A$2:$C$255,3,FALSE)</f>
        <v>华北</v>
      </c>
      <c r="L788" s="23" t="str" cm="1">
        <f t="array" ref="L788:N788">_xlfn.TEXTSPLIT(A788,"-")</f>
        <v>CN</v>
      </c>
      <c r="M788" s="22" t="str">
        <v>2744</v>
      </c>
      <c r="N788" s="22" t="str">
        <v>1399832</v>
      </c>
    </row>
    <row r="789" spans="1:14" ht="15.6">
      <c r="A789" s="4" t="s">
        <v>421</v>
      </c>
      <c r="B789" s="5">
        <v>44200.657985075799</v>
      </c>
      <c r="C789" s="5">
        <v>44202.597001828901</v>
      </c>
      <c r="D789" s="4" t="s">
        <v>98</v>
      </c>
      <c r="E789" s="4" t="s">
        <v>134</v>
      </c>
      <c r="F789" s="4" t="s">
        <v>101</v>
      </c>
      <c r="G789" s="4">
        <f t="shared" ca="1" si="36"/>
        <v>10</v>
      </c>
      <c r="H789" s="4">
        <v>4</v>
      </c>
      <c r="I789">
        <f t="shared" ca="1" si="37"/>
        <v>40</v>
      </c>
      <c r="J789">
        <f t="shared" si="38"/>
        <v>1</v>
      </c>
      <c r="K789" t="str">
        <f>VLOOKUP(E789,地区表!$A$2:$C$255,3,FALSE)</f>
        <v>华北</v>
      </c>
      <c r="L789" s="23" t="str" cm="1">
        <f t="array" ref="L789:N789">_xlfn.TEXTSPLIT(A789,"-")</f>
        <v>CN</v>
      </c>
      <c r="M789" s="22" t="str">
        <v>2744</v>
      </c>
      <c r="N789" s="22" t="str">
        <v>1399832</v>
      </c>
    </row>
    <row r="790" spans="1:14" ht="15.6">
      <c r="A790" s="4" t="s">
        <v>421</v>
      </c>
      <c r="B790" s="5">
        <v>44200.260587739103</v>
      </c>
      <c r="C790" s="5">
        <v>44202.029851541498</v>
      </c>
      <c r="D790" s="4" t="s">
        <v>98</v>
      </c>
      <c r="E790" s="4" t="s">
        <v>134</v>
      </c>
      <c r="F790" s="4" t="s">
        <v>111</v>
      </c>
      <c r="G790" s="4">
        <f t="shared" ca="1" si="36"/>
        <v>19</v>
      </c>
      <c r="H790" s="4">
        <v>12</v>
      </c>
      <c r="I790">
        <f t="shared" ca="1" si="37"/>
        <v>228</v>
      </c>
      <c r="J790">
        <f t="shared" si="38"/>
        <v>1</v>
      </c>
      <c r="K790" t="str">
        <f>VLOOKUP(E790,地区表!$A$2:$C$255,3,FALSE)</f>
        <v>华北</v>
      </c>
      <c r="L790" s="23" t="str" cm="1">
        <f t="array" ref="L790:N790">_xlfn.TEXTSPLIT(A790,"-")</f>
        <v>CN</v>
      </c>
      <c r="M790" s="22" t="str">
        <v>2744</v>
      </c>
      <c r="N790" s="22" t="str">
        <v>1399832</v>
      </c>
    </row>
    <row r="791" spans="1:14" ht="15.6">
      <c r="A791" s="4" t="s">
        <v>577</v>
      </c>
      <c r="B791" s="5">
        <v>44587.106582423599</v>
      </c>
      <c r="C791" s="5">
        <v>44589.535191348303</v>
      </c>
      <c r="D791" s="4" t="s">
        <v>94</v>
      </c>
      <c r="E791" s="4" t="s">
        <v>134</v>
      </c>
      <c r="F791" s="4" t="s">
        <v>96</v>
      </c>
      <c r="G791" s="4">
        <f t="shared" ca="1" si="36"/>
        <v>72</v>
      </c>
      <c r="H791" s="4">
        <v>6</v>
      </c>
      <c r="I791">
        <f t="shared" ca="1" si="37"/>
        <v>432</v>
      </c>
      <c r="J791">
        <f t="shared" si="38"/>
        <v>1</v>
      </c>
      <c r="K791" t="str">
        <f>VLOOKUP(E791,地区表!$A$2:$C$255,3,FALSE)</f>
        <v>华北</v>
      </c>
      <c r="L791" s="23" t="str" cm="1">
        <f t="array" ref="L791:N791">_xlfn.TEXTSPLIT(A791,"-")</f>
        <v>CN</v>
      </c>
      <c r="M791" s="22" t="str">
        <v>2035</v>
      </c>
      <c r="N791" s="22" t="str">
        <v>5754536</v>
      </c>
    </row>
    <row r="792" spans="1:14" ht="15.6">
      <c r="A792" s="4" t="s">
        <v>577</v>
      </c>
      <c r="B792" s="5">
        <v>44587.175232887501</v>
      </c>
      <c r="C792" s="5">
        <v>44589.213986242197</v>
      </c>
      <c r="D792" s="4" t="s">
        <v>94</v>
      </c>
      <c r="E792" s="4" t="s">
        <v>134</v>
      </c>
      <c r="F792" s="4" t="s">
        <v>111</v>
      </c>
      <c r="G792" s="4">
        <f t="shared" ca="1" si="36"/>
        <v>82</v>
      </c>
      <c r="H792" s="4">
        <v>2</v>
      </c>
      <c r="I792">
        <f t="shared" ca="1" si="37"/>
        <v>164</v>
      </c>
      <c r="J792">
        <f t="shared" si="38"/>
        <v>1</v>
      </c>
      <c r="K792" t="str">
        <f>VLOOKUP(E792,地区表!$A$2:$C$255,3,FALSE)</f>
        <v>华北</v>
      </c>
      <c r="L792" s="23" t="str" cm="1">
        <f t="array" ref="L792:N792">_xlfn.TEXTSPLIT(A792,"-")</f>
        <v>CN</v>
      </c>
      <c r="M792" s="22" t="str">
        <v>2035</v>
      </c>
      <c r="N792" s="22" t="str">
        <v>5754536</v>
      </c>
    </row>
    <row r="793" spans="1:14" ht="15.6">
      <c r="A793" s="4" t="s">
        <v>577</v>
      </c>
      <c r="B793" s="5">
        <v>44587.027422207299</v>
      </c>
      <c r="C793" s="5">
        <v>44589.287563349797</v>
      </c>
      <c r="D793" s="4" t="s">
        <v>94</v>
      </c>
      <c r="E793" s="4" t="s">
        <v>134</v>
      </c>
      <c r="F793" s="4" t="s">
        <v>130</v>
      </c>
      <c r="G793" s="4">
        <f t="shared" ca="1" si="36"/>
        <v>93</v>
      </c>
      <c r="H793" s="4">
        <v>2</v>
      </c>
      <c r="I793">
        <f t="shared" ca="1" si="37"/>
        <v>186</v>
      </c>
      <c r="J793">
        <f t="shared" si="38"/>
        <v>1</v>
      </c>
      <c r="K793" t="str">
        <f>VLOOKUP(E793,地区表!$A$2:$C$255,3,FALSE)</f>
        <v>华北</v>
      </c>
      <c r="L793" s="23" t="str" cm="1">
        <f t="array" ref="L793:N793">_xlfn.TEXTSPLIT(A793,"-")</f>
        <v>CN</v>
      </c>
      <c r="M793" s="22" t="str">
        <v>2035</v>
      </c>
      <c r="N793" s="22" t="str">
        <v>5754536</v>
      </c>
    </row>
    <row r="794" spans="1:14" ht="15.6">
      <c r="A794" s="4" t="s">
        <v>577</v>
      </c>
      <c r="B794" s="5">
        <v>44587.623992503803</v>
      </c>
      <c r="C794" s="5">
        <v>44589.3122106421</v>
      </c>
      <c r="D794" s="4" t="s">
        <v>94</v>
      </c>
      <c r="E794" s="4" t="s">
        <v>134</v>
      </c>
      <c r="F794" s="4" t="s">
        <v>111</v>
      </c>
      <c r="G794" s="4">
        <f t="shared" ca="1" si="36"/>
        <v>50</v>
      </c>
      <c r="H794" s="4">
        <v>3</v>
      </c>
      <c r="I794">
        <f t="shared" ca="1" si="37"/>
        <v>150</v>
      </c>
      <c r="J794">
        <f t="shared" si="38"/>
        <v>1</v>
      </c>
      <c r="K794" t="str">
        <f>VLOOKUP(E794,地区表!$A$2:$C$255,3,FALSE)</f>
        <v>华北</v>
      </c>
      <c r="L794" s="23" t="str" cm="1">
        <f t="array" ref="L794:N794">_xlfn.TEXTSPLIT(A794,"-")</f>
        <v>CN</v>
      </c>
      <c r="M794" s="22" t="str">
        <v>2035</v>
      </c>
      <c r="N794" s="22" t="str">
        <v>5754536</v>
      </c>
    </row>
    <row r="795" spans="1:14" ht="15.6">
      <c r="A795" s="4" t="s">
        <v>486</v>
      </c>
      <c r="B795" s="5">
        <v>44611.909090986199</v>
      </c>
      <c r="C795" s="5">
        <v>44615.6167434288</v>
      </c>
      <c r="D795" s="4" t="s">
        <v>94</v>
      </c>
      <c r="E795" s="4" t="s">
        <v>487</v>
      </c>
      <c r="F795" s="4" t="s">
        <v>130</v>
      </c>
      <c r="G795" s="4">
        <f t="shared" ca="1" si="36"/>
        <v>78</v>
      </c>
      <c r="H795" s="4">
        <v>3</v>
      </c>
      <c r="I795">
        <f t="shared" ca="1" si="37"/>
        <v>234</v>
      </c>
      <c r="J795">
        <f t="shared" si="38"/>
        <v>2</v>
      </c>
      <c r="K795" t="str">
        <f>VLOOKUP(E795,地区表!$A$2:$C$255,3,FALSE)</f>
        <v>华北</v>
      </c>
      <c r="L795" s="23" t="str" cm="1">
        <f t="array" ref="L795:N795">_xlfn.TEXTSPLIT(A795,"-")</f>
        <v>CN</v>
      </c>
      <c r="M795" s="22" t="str">
        <v>3155</v>
      </c>
      <c r="N795" s="22" t="str">
        <v>3922494</v>
      </c>
    </row>
    <row r="796" spans="1:14" ht="15.6">
      <c r="A796" s="4" t="s">
        <v>116</v>
      </c>
      <c r="B796" s="5">
        <v>44473.567911820697</v>
      </c>
      <c r="C796" s="5">
        <v>44478.209409729898</v>
      </c>
      <c r="D796" s="4" t="s">
        <v>98</v>
      </c>
      <c r="E796" s="4" t="s">
        <v>117</v>
      </c>
      <c r="F796" s="4" t="s">
        <v>118</v>
      </c>
      <c r="G796" s="4">
        <f t="shared" ca="1" si="36"/>
        <v>18</v>
      </c>
      <c r="H796" s="4">
        <v>4</v>
      </c>
      <c r="I796">
        <f t="shared" ca="1" si="37"/>
        <v>72</v>
      </c>
      <c r="J796">
        <f t="shared" si="38"/>
        <v>10</v>
      </c>
      <c r="K796" t="str">
        <f>VLOOKUP(E796,地区表!$A$2:$C$255,3,FALSE)</f>
        <v>东北</v>
      </c>
      <c r="L796" s="23" t="str" cm="1">
        <f t="array" ref="L796:N796">_xlfn.TEXTSPLIT(A796,"-")</f>
        <v>CN</v>
      </c>
      <c r="M796" s="22" t="str">
        <v>3017</v>
      </c>
      <c r="N796" s="22" t="str">
        <v>5801711</v>
      </c>
    </row>
    <row r="797" spans="1:14" ht="15.6">
      <c r="A797" s="4" t="s">
        <v>177</v>
      </c>
      <c r="B797" s="5">
        <v>45120.302747943198</v>
      </c>
      <c r="C797" s="5">
        <v>45125.695741560798</v>
      </c>
      <c r="D797" s="4" t="s">
        <v>114</v>
      </c>
      <c r="E797" s="4" t="s">
        <v>117</v>
      </c>
      <c r="F797" s="4" t="s">
        <v>121</v>
      </c>
      <c r="G797" s="4">
        <f t="shared" ca="1" si="36"/>
        <v>60</v>
      </c>
      <c r="H797" s="4">
        <v>3</v>
      </c>
      <c r="I797">
        <f t="shared" ca="1" si="37"/>
        <v>180</v>
      </c>
      <c r="J797">
        <f t="shared" si="38"/>
        <v>7</v>
      </c>
      <c r="K797" t="str">
        <f>VLOOKUP(E797,地区表!$A$2:$C$255,3,FALSE)</f>
        <v>东北</v>
      </c>
      <c r="L797" s="23" t="str" cm="1">
        <f t="array" ref="L797:N797">_xlfn.TEXTSPLIT(A797,"-")</f>
        <v>CN</v>
      </c>
      <c r="M797" s="22" t="str">
        <v>2569</v>
      </c>
      <c r="N797" s="22" t="str">
        <v>3064620</v>
      </c>
    </row>
    <row r="798" spans="1:14" ht="15.6">
      <c r="A798" s="4" t="s">
        <v>287</v>
      </c>
      <c r="B798" s="5">
        <v>44751.246528114803</v>
      </c>
      <c r="C798" s="5">
        <v>44756.517141976998</v>
      </c>
      <c r="D798" s="4" t="s">
        <v>98</v>
      </c>
      <c r="E798" s="4" t="s">
        <v>117</v>
      </c>
      <c r="F798" s="4" t="s">
        <v>141</v>
      </c>
      <c r="G798" s="4">
        <f t="shared" ca="1" si="36"/>
        <v>35</v>
      </c>
      <c r="H798" s="4">
        <v>1</v>
      </c>
      <c r="I798">
        <f t="shared" ca="1" si="37"/>
        <v>35</v>
      </c>
      <c r="J798">
        <f t="shared" si="38"/>
        <v>7</v>
      </c>
      <c r="K798" t="str">
        <f>VLOOKUP(E798,地区表!$A$2:$C$255,3,FALSE)</f>
        <v>东北</v>
      </c>
      <c r="L798" s="23" t="str" cm="1">
        <f t="array" ref="L798:N798">_xlfn.TEXTSPLIT(A798,"-")</f>
        <v>CN</v>
      </c>
      <c r="M798" s="22" t="str">
        <v>2200</v>
      </c>
      <c r="N798" s="22" t="str">
        <v>2831197</v>
      </c>
    </row>
    <row r="799" spans="1:14" ht="15.6">
      <c r="A799" s="4" t="s">
        <v>287</v>
      </c>
      <c r="B799" s="5">
        <v>44751.181135377403</v>
      </c>
      <c r="C799" s="5">
        <v>44756.633725823303</v>
      </c>
      <c r="D799" s="4" t="s">
        <v>98</v>
      </c>
      <c r="E799" s="4" t="s">
        <v>117</v>
      </c>
      <c r="F799" s="4" t="s">
        <v>96</v>
      </c>
      <c r="G799" s="4">
        <f t="shared" ca="1" si="36"/>
        <v>22</v>
      </c>
      <c r="H799" s="4">
        <v>3</v>
      </c>
      <c r="I799">
        <f t="shared" ca="1" si="37"/>
        <v>66</v>
      </c>
      <c r="J799">
        <f t="shared" si="38"/>
        <v>7</v>
      </c>
      <c r="K799" t="str">
        <f>VLOOKUP(E799,地区表!$A$2:$C$255,3,FALSE)</f>
        <v>东北</v>
      </c>
      <c r="L799" s="23" t="str" cm="1">
        <f t="array" ref="L799:N799">_xlfn.TEXTSPLIT(A799,"-")</f>
        <v>CN</v>
      </c>
      <c r="M799" s="22" t="str">
        <v>2200</v>
      </c>
      <c r="N799" s="22" t="str">
        <v>2831197</v>
      </c>
    </row>
    <row r="800" spans="1:14" ht="15.6">
      <c r="A800" s="4" t="s">
        <v>335</v>
      </c>
      <c r="B800" s="5">
        <v>45113.167874155297</v>
      </c>
      <c r="C800" s="5">
        <v>45115.946992776597</v>
      </c>
      <c r="D800" s="4" t="s">
        <v>94</v>
      </c>
      <c r="E800" s="4" t="s">
        <v>117</v>
      </c>
      <c r="F800" s="4" t="s">
        <v>112</v>
      </c>
      <c r="G800" s="4">
        <f t="shared" ca="1" si="36"/>
        <v>66</v>
      </c>
      <c r="H800" s="4">
        <v>4</v>
      </c>
      <c r="I800">
        <f t="shared" ca="1" si="37"/>
        <v>264</v>
      </c>
      <c r="J800">
        <f t="shared" si="38"/>
        <v>7</v>
      </c>
      <c r="K800" t="str">
        <f>VLOOKUP(E800,地区表!$A$2:$C$255,3,FALSE)</f>
        <v>东北</v>
      </c>
      <c r="L800" s="23" t="str" cm="1">
        <f t="array" ref="L800:N800">_xlfn.TEXTSPLIT(A800,"-")</f>
        <v>CN</v>
      </c>
      <c r="M800" s="22" t="str">
        <v>2562</v>
      </c>
      <c r="N800" s="22" t="str">
        <v>2662386</v>
      </c>
    </row>
    <row r="801" spans="1:14" ht="15.6">
      <c r="A801" s="4" t="s">
        <v>335</v>
      </c>
      <c r="B801" s="5">
        <v>45113.815630354104</v>
      </c>
      <c r="C801" s="5">
        <v>45115.211467120796</v>
      </c>
      <c r="D801" s="4" t="s">
        <v>94</v>
      </c>
      <c r="E801" s="4" t="s">
        <v>117</v>
      </c>
      <c r="F801" s="4" t="s">
        <v>122</v>
      </c>
      <c r="G801" s="4">
        <f t="shared" ca="1" si="36"/>
        <v>42</v>
      </c>
      <c r="H801" s="4">
        <v>7</v>
      </c>
      <c r="I801">
        <f t="shared" ca="1" si="37"/>
        <v>294</v>
      </c>
      <c r="J801">
        <f t="shared" si="38"/>
        <v>7</v>
      </c>
      <c r="K801" t="str">
        <f>VLOOKUP(E801,地区表!$A$2:$C$255,3,FALSE)</f>
        <v>东北</v>
      </c>
      <c r="L801" s="23" t="str" cm="1">
        <f t="array" ref="L801:N801">_xlfn.TEXTSPLIT(A801,"-")</f>
        <v>CN</v>
      </c>
      <c r="M801" s="22" t="str">
        <v>2562</v>
      </c>
      <c r="N801" s="22" t="str">
        <v>2662386</v>
      </c>
    </row>
    <row r="802" spans="1:14" ht="15.6">
      <c r="A802" s="4" t="s">
        <v>370</v>
      </c>
      <c r="B802" s="5">
        <v>44407.8866639349</v>
      </c>
      <c r="C802" s="5">
        <v>44411.605364579103</v>
      </c>
      <c r="D802" s="4" t="s">
        <v>94</v>
      </c>
      <c r="E802" s="4" t="s">
        <v>117</v>
      </c>
      <c r="F802" s="4" t="s">
        <v>121</v>
      </c>
      <c r="G802" s="4">
        <f t="shared" ca="1" si="36"/>
        <v>35</v>
      </c>
      <c r="H802" s="4">
        <v>3</v>
      </c>
      <c r="I802">
        <f t="shared" ca="1" si="37"/>
        <v>105</v>
      </c>
      <c r="J802">
        <f t="shared" si="38"/>
        <v>7</v>
      </c>
      <c r="K802" t="str">
        <f>VLOOKUP(E802,地区表!$A$2:$C$255,3,FALSE)</f>
        <v>东北</v>
      </c>
      <c r="L802" s="23" t="str" cm="1">
        <f t="array" ref="L802:N802">_xlfn.TEXTSPLIT(A802,"-")</f>
        <v>CN</v>
      </c>
      <c r="M802" s="22" t="str">
        <v>2951</v>
      </c>
      <c r="N802" s="22" t="str">
        <v>2883758</v>
      </c>
    </row>
    <row r="803" spans="1:14" ht="15.6">
      <c r="A803" s="4" t="s">
        <v>370</v>
      </c>
      <c r="B803" s="5">
        <v>44407.956407858299</v>
      </c>
      <c r="C803" s="5">
        <v>44411.119428529499</v>
      </c>
      <c r="D803" s="4" t="s">
        <v>94</v>
      </c>
      <c r="E803" s="4" t="s">
        <v>117</v>
      </c>
      <c r="F803" s="4" t="s">
        <v>101</v>
      </c>
      <c r="G803" s="4">
        <f t="shared" ca="1" si="36"/>
        <v>78</v>
      </c>
      <c r="H803" s="4">
        <v>3</v>
      </c>
      <c r="I803">
        <f t="shared" ca="1" si="37"/>
        <v>234</v>
      </c>
      <c r="J803">
        <f t="shared" si="38"/>
        <v>7</v>
      </c>
      <c r="K803" t="str">
        <f>VLOOKUP(E803,地区表!$A$2:$C$255,3,FALSE)</f>
        <v>东北</v>
      </c>
      <c r="L803" s="23" t="str" cm="1">
        <f t="array" ref="L803:N803">_xlfn.TEXTSPLIT(A803,"-")</f>
        <v>CN</v>
      </c>
      <c r="M803" s="22" t="str">
        <v>2951</v>
      </c>
      <c r="N803" s="22" t="str">
        <v>2883758</v>
      </c>
    </row>
    <row r="804" spans="1:14" ht="15.6">
      <c r="A804" s="4" t="s">
        <v>538</v>
      </c>
      <c r="B804" s="5">
        <v>45041.340360793802</v>
      </c>
      <c r="C804" s="5">
        <v>45045.648415377502</v>
      </c>
      <c r="D804" s="4" t="s">
        <v>94</v>
      </c>
      <c r="E804" s="4" t="s">
        <v>117</v>
      </c>
      <c r="F804" s="4" t="s">
        <v>141</v>
      </c>
      <c r="G804" s="4">
        <f t="shared" ca="1" si="36"/>
        <v>49</v>
      </c>
      <c r="H804" s="4">
        <v>6</v>
      </c>
      <c r="I804">
        <f t="shared" ca="1" si="37"/>
        <v>294</v>
      </c>
      <c r="J804">
        <f t="shared" si="38"/>
        <v>4</v>
      </c>
      <c r="K804" t="str">
        <f>VLOOKUP(E804,地区表!$A$2:$C$255,3,FALSE)</f>
        <v>东北</v>
      </c>
      <c r="L804" s="23" t="str" cm="1">
        <f t="array" ref="L804:N804">_xlfn.TEXTSPLIT(A804,"-")</f>
        <v>CN</v>
      </c>
      <c r="M804" s="22" t="str">
        <v>2490</v>
      </c>
      <c r="N804" s="22" t="str">
        <v>1021233</v>
      </c>
    </row>
    <row r="805" spans="1:14" ht="15.6">
      <c r="A805" s="4" t="s">
        <v>673</v>
      </c>
      <c r="B805" s="5">
        <v>45099.944654332299</v>
      </c>
      <c r="C805" s="5">
        <v>45103.171274702298</v>
      </c>
      <c r="D805" s="4" t="s">
        <v>98</v>
      </c>
      <c r="E805" s="4" t="s">
        <v>117</v>
      </c>
      <c r="F805" s="4" t="s">
        <v>144</v>
      </c>
      <c r="G805" s="4">
        <f t="shared" ca="1" si="36"/>
        <v>34</v>
      </c>
      <c r="H805" s="4">
        <v>7</v>
      </c>
      <c r="I805">
        <f t="shared" ca="1" si="37"/>
        <v>238</v>
      </c>
      <c r="J805">
        <f t="shared" si="38"/>
        <v>6</v>
      </c>
      <c r="K805" t="str">
        <f>VLOOKUP(E805,地区表!$A$2:$C$255,3,FALSE)</f>
        <v>东北</v>
      </c>
      <c r="L805" s="23" t="str" cm="1">
        <f t="array" ref="L805:N805">_xlfn.TEXTSPLIT(A805,"-")</f>
        <v>CN</v>
      </c>
      <c r="M805" s="22" t="str">
        <v>2548</v>
      </c>
      <c r="N805" s="22" t="str">
        <v>4395048</v>
      </c>
    </row>
    <row r="806" spans="1:14" ht="15.6">
      <c r="A806" s="4" t="s">
        <v>673</v>
      </c>
      <c r="B806" s="5">
        <v>45099.244170954204</v>
      </c>
      <c r="C806" s="5">
        <v>45103.591434991402</v>
      </c>
      <c r="D806" s="4" t="s">
        <v>98</v>
      </c>
      <c r="E806" s="4" t="s">
        <v>117</v>
      </c>
      <c r="F806" s="4" t="s">
        <v>96</v>
      </c>
      <c r="G806" s="4">
        <f t="shared" ca="1" si="36"/>
        <v>56</v>
      </c>
      <c r="H806" s="4">
        <v>3</v>
      </c>
      <c r="I806">
        <f t="shared" ca="1" si="37"/>
        <v>168</v>
      </c>
      <c r="J806">
        <f t="shared" si="38"/>
        <v>6</v>
      </c>
      <c r="K806" t="str">
        <f>VLOOKUP(E806,地区表!$A$2:$C$255,3,FALSE)</f>
        <v>东北</v>
      </c>
      <c r="L806" s="23" t="str" cm="1">
        <f t="array" ref="L806:N806">_xlfn.TEXTSPLIT(A806,"-")</f>
        <v>CN</v>
      </c>
      <c r="M806" s="22" t="str">
        <v>2548</v>
      </c>
      <c r="N806" s="22" t="str">
        <v>4395048</v>
      </c>
    </row>
    <row r="807" spans="1:14" ht="15.6">
      <c r="A807" s="4" t="s">
        <v>673</v>
      </c>
      <c r="B807" s="5">
        <v>45099.229274572797</v>
      </c>
      <c r="C807" s="5">
        <v>45103.565893905303</v>
      </c>
      <c r="D807" s="4" t="s">
        <v>98</v>
      </c>
      <c r="E807" s="4" t="s">
        <v>117</v>
      </c>
      <c r="F807" s="4" t="s">
        <v>101</v>
      </c>
      <c r="G807" s="4">
        <f t="shared" ca="1" si="36"/>
        <v>58</v>
      </c>
      <c r="H807" s="4">
        <v>7</v>
      </c>
      <c r="I807">
        <f t="shared" ca="1" si="37"/>
        <v>406</v>
      </c>
      <c r="J807">
        <f t="shared" si="38"/>
        <v>6</v>
      </c>
      <c r="K807" t="str">
        <f>VLOOKUP(E807,地区表!$A$2:$C$255,3,FALSE)</f>
        <v>东北</v>
      </c>
      <c r="L807" s="23" t="str" cm="1">
        <f t="array" ref="L807:N807">_xlfn.TEXTSPLIT(A807,"-")</f>
        <v>CN</v>
      </c>
      <c r="M807" s="22" t="str">
        <v>2548</v>
      </c>
      <c r="N807" s="22" t="str">
        <v>4395048</v>
      </c>
    </row>
    <row r="808" spans="1:14" ht="15.6">
      <c r="A808" s="4" t="s">
        <v>673</v>
      </c>
      <c r="B808" s="5">
        <v>45099.846072689397</v>
      </c>
      <c r="C808" s="5">
        <v>45103.113657706803</v>
      </c>
      <c r="D808" s="4" t="s">
        <v>98</v>
      </c>
      <c r="E808" s="4" t="s">
        <v>117</v>
      </c>
      <c r="F808" s="4" t="s">
        <v>106</v>
      </c>
      <c r="G808" s="4">
        <f t="shared" ca="1" si="36"/>
        <v>67</v>
      </c>
      <c r="H808" s="4">
        <v>3</v>
      </c>
      <c r="I808">
        <f t="shared" ca="1" si="37"/>
        <v>201</v>
      </c>
      <c r="J808">
        <f t="shared" si="38"/>
        <v>6</v>
      </c>
      <c r="K808" t="str">
        <f>VLOOKUP(E808,地区表!$A$2:$C$255,3,FALSE)</f>
        <v>东北</v>
      </c>
      <c r="L808" s="23" t="str" cm="1">
        <f t="array" ref="L808:N808">_xlfn.TEXTSPLIT(A808,"-")</f>
        <v>CN</v>
      </c>
      <c r="M808" s="22" t="str">
        <v>2548</v>
      </c>
      <c r="N808" s="22" t="str">
        <v>4395048</v>
      </c>
    </row>
    <row r="809" spans="1:14" ht="15.6">
      <c r="A809" s="4" t="s">
        <v>680</v>
      </c>
      <c r="B809" s="5">
        <v>44684.304254574199</v>
      </c>
      <c r="C809" s="5">
        <v>44689.848532790696</v>
      </c>
      <c r="D809" s="4" t="s">
        <v>94</v>
      </c>
      <c r="E809" s="4" t="s">
        <v>117</v>
      </c>
      <c r="F809" s="4" t="s">
        <v>100</v>
      </c>
      <c r="G809" s="4">
        <f t="shared" ca="1" si="36"/>
        <v>49</v>
      </c>
      <c r="H809" s="4">
        <v>5</v>
      </c>
      <c r="I809">
        <f t="shared" ca="1" si="37"/>
        <v>245</v>
      </c>
      <c r="J809">
        <f t="shared" si="38"/>
        <v>5</v>
      </c>
      <c r="K809" t="str">
        <f>VLOOKUP(E809,地区表!$A$2:$C$255,3,FALSE)</f>
        <v>东北</v>
      </c>
      <c r="L809" s="23" t="str" cm="1">
        <f t="array" ref="L809:N809">_xlfn.TEXTSPLIT(A809,"-")</f>
        <v>CN</v>
      </c>
      <c r="M809" s="22" t="str">
        <v>3228</v>
      </c>
      <c r="N809" s="22" t="str">
        <v>4682811</v>
      </c>
    </row>
    <row r="810" spans="1:14" ht="15.6">
      <c r="A810" s="4" t="s">
        <v>680</v>
      </c>
      <c r="B810" s="5">
        <v>44684.275056308201</v>
      </c>
      <c r="C810" s="5">
        <v>44689.24971846</v>
      </c>
      <c r="D810" s="4" t="s">
        <v>94</v>
      </c>
      <c r="E810" s="4" t="s">
        <v>117</v>
      </c>
      <c r="F810" s="4" t="s">
        <v>125</v>
      </c>
      <c r="G810" s="4">
        <f t="shared" ca="1" si="36"/>
        <v>63</v>
      </c>
      <c r="H810" s="4">
        <v>2</v>
      </c>
      <c r="I810">
        <f t="shared" ca="1" si="37"/>
        <v>126</v>
      </c>
      <c r="J810">
        <f t="shared" si="38"/>
        <v>5</v>
      </c>
      <c r="K810" t="str">
        <f>VLOOKUP(E810,地区表!$A$2:$C$255,3,FALSE)</f>
        <v>东北</v>
      </c>
      <c r="L810" s="23" t="str" cm="1">
        <f t="array" ref="L810:N810">_xlfn.TEXTSPLIT(A810,"-")</f>
        <v>CN</v>
      </c>
      <c r="M810" s="22" t="str">
        <v>3228</v>
      </c>
      <c r="N810" s="22" t="str">
        <v>4682811</v>
      </c>
    </row>
    <row r="811" spans="1:14" ht="15.6">
      <c r="A811" s="4" t="s">
        <v>680</v>
      </c>
      <c r="B811" s="5">
        <v>44684.834704332403</v>
      </c>
      <c r="C811" s="5">
        <v>44689.703170075998</v>
      </c>
      <c r="D811" s="4" t="s">
        <v>94</v>
      </c>
      <c r="E811" s="4" t="s">
        <v>117</v>
      </c>
      <c r="F811" s="4" t="s">
        <v>110</v>
      </c>
      <c r="G811" s="4">
        <f t="shared" ca="1" si="36"/>
        <v>11</v>
      </c>
      <c r="H811" s="4">
        <v>7</v>
      </c>
      <c r="I811">
        <f t="shared" ca="1" si="37"/>
        <v>77</v>
      </c>
      <c r="J811">
        <f t="shared" si="38"/>
        <v>5</v>
      </c>
      <c r="K811" t="str">
        <f>VLOOKUP(E811,地区表!$A$2:$C$255,3,FALSE)</f>
        <v>东北</v>
      </c>
      <c r="L811" s="23" t="str" cm="1">
        <f t="array" ref="L811:N811">_xlfn.TEXTSPLIT(A811,"-")</f>
        <v>CN</v>
      </c>
      <c r="M811" s="22" t="str">
        <v>3228</v>
      </c>
      <c r="N811" s="22" t="str">
        <v>4682811</v>
      </c>
    </row>
    <row r="812" spans="1:14" ht="15.6">
      <c r="A812" s="4" t="s">
        <v>731</v>
      </c>
      <c r="B812" s="5">
        <v>44942.664558017103</v>
      </c>
      <c r="C812" s="5">
        <v>44946.162885065001</v>
      </c>
      <c r="D812" s="4" t="s">
        <v>98</v>
      </c>
      <c r="E812" s="4" t="s">
        <v>117</v>
      </c>
      <c r="F812" s="4" t="s">
        <v>131</v>
      </c>
      <c r="G812" s="4">
        <f t="shared" ca="1" si="36"/>
        <v>71</v>
      </c>
      <c r="H812" s="4">
        <v>3</v>
      </c>
      <c r="I812">
        <f t="shared" ca="1" si="37"/>
        <v>213</v>
      </c>
      <c r="J812">
        <f t="shared" si="38"/>
        <v>1</v>
      </c>
      <c r="K812" t="str">
        <f>VLOOKUP(E812,地区表!$A$2:$C$255,3,FALSE)</f>
        <v>东北</v>
      </c>
      <c r="L812" s="23" t="str" cm="1">
        <f t="array" ref="L812:N812">_xlfn.TEXTSPLIT(A812,"-")</f>
        <v>CN</v>
      </c>
      <c r="M812" s="22" t="str">
        <v>2391</v>
      </c>
      <c r="N812" s="22" t="str">
        <v>4596452</v>
      </c>
    </row>
    <row r="813" spans="1:14" ht="15.6">
      <c r="A813" s="4" t="s">
        <v>632</v>
      </c>
      <c r="B813" s="5">
        <v>44634.212064882697</v>
      </c>
      <c r="C813" s="5">
        <v>44640.432619952</v>
      </c>
      <c r="D813" s="4" t="s">
        <v>94</v>
      </c>
      <c r="E813" s="4" t="s">
        <v>633</v>
      </c>
      <c r="F813" s="4" t="s">
        <v>112</v>
      </c>
      <c r="G813" s="4">
        <f t="shared" ca="1" si="36"/>
        <v>70</v>
      </c>
      <c r="H813" s="4">
        <v>2</v>
      </c>
      <c r="I813">
        <f t="shared" ca="1" si="37"/>
        <v>140</v>
      </c>
      <c r="J813">
        <f t="shared" si="38"/>
        <v>3</v>
      </c>
      <c r="K813" t="str">
        <f>VLOOKUP(E813,地区表!$A$2:$C$255,3,FALSE)</f>
        <v>西北</v>
      </c>
      <c r="L813" s="23" t="str" cm="1">
        <f t="array" ref="L813:N813">_xlfn.TEXTSPLIT(A813,"-")</f>
        <v>CN</v>
      </c>
      <c r="M813" s="22" t="str">
        <v>2083</v>
      </c>
      <c r="N813" s="22" t="str">
        <v>3874208</v>
      </c>
    </row>
    <row r="814" spans="1:14" ht="15.6">
      <c r="A814" s="4" t="s">
        <v>745</v>
      </c>
      <c r="B814" s="5">
        <v>44622.781742390602</v>
      </c>
      <c r="C814" s="5">
        <v>44626.735448610001</v>
      </c>
      <c r="D814" s="4" t="s">
        <v>94</v>
      </c>
      <c r="E814" s="4" t="s">
        <v>746</v>
      </c>
      <c r="F814" s="4" t="s">
        <v>109</v>
      </c>
      <c r="G814" s="4">
        <f t="shared" ca="1" si="36"/>
        <v>34</v>
      </c>
      <c r="H814" s="4">
        <v>5</v>
      </c>
      <c r="I814">
        <f t="shared" ca="1" si="37"/>
        <v>170</v>
      </c>
      <c r="J814">
        <f t="shared" si="38"/>
        <v>3</v>
      </c>
      <c r="K814" t="str">
        <f>VLOOKUP(E814,地区表!$A$2:$C$255,3,FALSE)</f>
        <v>华北</v>
      </c>
      <c r="L814" s="23" t="str" cm="1">
        <f t="array" ref="L814:N814">_xlfn.TEXTSPLIT(A814,"-")</f>
        <v>CN</v>
      </c>
      <c r="M814" s="22" t="str">
        <v>3166</v>
      </c>
      <c r="N814" s="22" t="str">
        <v>5445015</v>
      </c>
    </row>
    <row r="815" spans="1:14" ht="15.6">
      <c r="A815" s="4" t="s">
        <v>738</v>
      </c>
      <c r="B815" s="5">
        <v>44967.628799615697</v>
      </c>
      <c r="C815" s="5">
        <v>44969.068489761397</v>
      </c>
      <c r="D815" s="4" t="s">
        <v>94</v>
      </c>
      <c r="E815" s="4" t="s">
        <v>739</v>
      </c>
      <c r="F815" s="4" t="s">
        <v>144</v>
      </c>
      <c r="G815" s="4">
        <f t="shared" ca="1" si="36"/>
        <v>90</v>
      </c>
      <c r="H815" s="4">
        <v>1</v>
      </c>
      <c r="I815">
        <f t="shared" ca="1" si="37"/>
        <v>90</v>
      </c>
      <c r="J815">
        <f t="shared" si="38"/>
        <v>2</v>
      </c>
      <c r="K815" t="str">
        <f>VLOOKUP(E815,地区表!$A$2:$C$255,3,FALSE)</f>
        <v>西北</v>
      </c>
      <c r="L815" s="23" t="str" cm="1">
        <f t="array" ref="L815:N815">_xlfn.TEXTSPLIT(A815,"-")</f>
        <v>US</v>
      </c>
      <c r="M815" s="22" t="str">
        <v>2416</v>
      </c>
      <c r="N815" s="22" t="str">
        <v>1455125</v>
      </c>
    </row>
    <row r="816" spans="1:14" ht="15.6">
      <c r="A816" s="4" t="s">
        <v>310</v>
      </c>
      <c r="B816" s="5">
        <v>44582.276173438397</v>
      </c>
      <c r="C816" s="5">
        <v>44587.8545599801</v>
      </c>
      <c r="D816" s="4" t="s">
        <v>98</v>
      </c>
      <c r="E816" s="4" t="s">
        <v>311</v>
      </c>
      <c r="F816" s="4" t="s">
        <v>122</v>
      </c>
      <c r="G816" s="4">
        <f t="shared" ca="1" si="36"/>
        <v>33</v>
      </c>
      <c r="H816" s="4">
        <v>3</v>
      </c>
      <c r="I816">
        <f t="shared" ca="1" si="37"/>
        <v>99</v>
      </c>
      <c r="J816">
        <f t="shared" si="38"/>
        <v>1</v>
      </c>
      <c r="K816" t="str">
        <f>VLOOKUP(E816,地区表!$A$2:$C$255,3,FALSE)</f>
        <v>华北</v>
      </c>
      <c r="L816" s="23" t="str" cm="1">
        <f t="array" ref="L816:N816">_xlfn.TEXTSPLIT(A816,"-")</f>
        <v>US</v>
      </c>
      <c r="M816" s="22" t="str">
        <v>2030</v>
      </c>
      <c r="N816" s="22" t="str">
        <v>5555490</v>
      </c>
    </row>
    <row r="817" spans="1:14" ht="15.6">
      <c r="A817" s="4" t="s">
        <v>310</v>
      </c>
      <c r="B817" s="5">
        <v>44582.417760102398</v>
      </c>
      <c r="C817" s="5">
        <v>44587.724755079202</v>
      </c>
      <c r="D817" s="4" t="s">
        <v>98</v>
      </c>
      <c r="E817" s="4" t="s">
        <v>311</v>
      </c>
      <c r="F817" s="4" t="s">
        <v>125</v>
      </c>
      <c r="G817" s="4">
        <f t="shared" ca="1" si="36"/>
        <v>41</v>
      </c>
      <c r="H817" s="4">
        <v>1</v>
      </c>
      <c r="I817">
        <f t="shared" ca="1" si="37"/>
        <v>41</v>
      </c>
      <c r="J817">
        <f t="shared" si="38"/>
        <v>1</v>
      </c>
      <c r="K817" t="str">
        <f>VLOOKUP(E817,地区表!$A$2:$C$255,3,FALSE)</f>
        <v>华北</v>
      </c>
      <c r="L817" s="23" t="str" cm="1">
        <f t="array" ref="L817:N817">_xlfn.TEXTSPLIT(A817,"-")</f>
        <v>US</v>
      </c>
      <c r="M817" s="22" t="str">
        <v>2030</v>
      </c>
      <c r="N817" s="22" t="str">
        <v>5555490</v>
      </c>
    </row>
    <row r="818" spans="1:14" ht="15.6">
      <c r="A818" s="4" t="s">
        <v>365</v>
      </c>
      <c r="B818" s="5">
        <v>44288.092765752801</v>
      </c>
      <c r="C818" s="5">
        <v>44291.342187198097</v>
      </c>
      <c r="D818" s="4" t="s">
        <v>114</v>
      </c>
      <c r="E818" s="4" t="s">
        <v>366</v>
      </c>
      <c r="F818" s="4" t="s">
        <v>122</v>
      </c>
      <c r="G818" s="4">
        <f t="shared" ca="1" si="36"/>
        <v>27</v>
      </c>
      <c r="H818" s="4">
        <v>10</v>
      </c>
      <c r="I818">
        <f t="shared" ca="1" si="37"/>
        <v>270</v>
      </c>
      <c r="J818">
        <f t="shared" si="38"/>
        <v>4</v>
      </c>
      <c r="K818" t="str">
        <f>VLOOKUP(E818,地区表!$A$2:$C$255,3,FALSE)</f>
        <v>中南</v>
      </c>
      <c r="L818" s="23" t="str" cm="1">
        <f t="array" ref="L818:N818">_xlfn.TEXTSPLIT(A818,"-")</f>
        <v>CN</v>
      </c>
      <c r="M818" s="22" t="str">
        <v>2832</v>
      </c>
      <c r="N818" s="22" t="str">
        <v>4733722</v>
      </c>
    </row>
    <row r="819" spans="1:14" ht="15.6">
      <c r="A819" s="4" t="s">
        <v>365</v>
      </c>
      <c r="B819" s="5">
        <v>44288.159794822503</v>
      </c>
      <c r="C819" s="5">
        <v>44291.239875678199</v>
      </c>
      <c r="D819" s="4" t="s">
        <v>114</v>
      </c>
      <c r="E819" s="4" t="s">
        <v>366</v>
      </c>
      <c r="F819" s="4" t="s">
        <v>109</v>
      </c>
      <c r="G819" s="4">
        <f t="shared" ca="1" si="36"/>
        <v>59</v>
      </c>
      <c r="H819" s="4">
        <v>3</v>
      </c>
      <c r="I819">
        <f t="shared" ca="1" si="37"/>
        <v>177</v>
      </c>
      <c r="J819">
        <f t="shared" si="38"/>
        <v>4</v>
      </c>
      <c r="K819" t="str">
        <f>VLOOKUP(E819,地区表!$A$2:$C$255,3,FALSE)</f>
        <v>中南</v>
      </c>
      <c r="L819" s="23" t="str" cm="1">
        <f t="array" ref="L819:N819">_xlfn.TEXTSPLIT(A819,"-")</f>
        <v>CN</v>
      </c>
      <c r="M819" s="22" t="str">
        <v>2832</v>
      </c>
      <c r="N819" s="22" t="str">
        <v>4733722</v>
      </c>
    </row>
    <row r="820" spans="1:14" ht="15.6">
      <c r="A820" s="4" t="s">
        <v>365</v>
      </c>
      <c r="B820" s="5">
        <v>44288.602290045703</v>
      </c>
      <c r="C820" s="5">
        <v>44291.789955947803</v>
      </c>
      <c r="D820" s="4" t="s">
        <v>114</v>
      </c>
      <c r="E820" s="4" t="s">
        <v>366</v>
      </c>
      <c r="F820" s="4" t="s">
        <v>101</v>
      </c>
      <c r="G820" s="4">
        <f t="shared" ca="1" si="36"/>
        <v>82</v>
      </c>
      <c r="H820" s="4">
        <v>6</v>
      </c>
      <c r="I820">
        <f t="shared" ca="1" si="37"/>
        <v>492</v>
      </c>
      <c r="J820">
        <f t="shared" si="38"/>
        <v>4</v>
      </c>
      <c r="K820" t="str">
        <f>VLOOKUP(E820,地区表!$A$2:$C$255,3,FALSE)</f>
        <v>中南</v>
      </c>
      <c r="L820" s="23" t="str" cm="1">
        <f t="array" ref="L820:N820">_xlfn.TEXTSPLIT(A820,"-")</f>
        <v>CN</v>
      </c>
      <c r="M820" s="22" t="str">
        <v>2832</v>
      </c>
      <c r="N820" s="22" t="str">
        <v>4733722</v>
      </c>
    </row>
    <row r="821" spans="1:14" ht="15.6">
      <c r="A821" s="4" t="s">
        <v>365</v>
      </c>
      <c r="B821" s="5">
        <v>44288.148260414098</v>
      </c>
      <c r="C821" s="5">
        <v>44291.346280417398</v>
      </c>
      <c r="D821" s="4" t="s">
        <v>114</v>
      </c>
      <c r="E821" s="4" t="s">
        <v>366</v>
      </c>
      <c r="F821" s="4" t="s">
        <v>131</v>
      </c>
      <c r="G821" s="4">
        <f t="shared" ca="1" si="36"/>
        <v>16</v>
      </c>
      <c r="H821" s="4">
        <v>3</v>
      </c>
      <c r="I821">
        <f t="shared" ca="1" si="37"/>
        <v>48</v>
      </c>
      <c r="J821">
        <f t="shared" si="38"/>
        <v>4</v>
      </c>
      <c r="K821" t="str">
        <f>VLOOKUP(E821,地区表!$A$2:$C$255,3,FALSE)</f>
        <v>中南</v>
      </c>
      <c r="L821" s="23" t="str" cm="1">
        <f t="array" ref="L821:N821">_xlfn.TEXTSPLIT(A821,"-")</f>
        <v>CN</v>
      </c>
      <c r="M821" s="22" t="str">
        <v>2832</v>
      </c>
      <c r="N821" s="22" t="str">
        <v>4733722</v>
      </c>
    </row>
    <row r="822" spans="1:14" ht="15.6">
      <c r="A822" s="4" t="s">
        <v>365</v>
      </c>
      <c r="B822" s="5">
        <v>44288.551425739999</v>
      </c>
      <c r="C822" s="5">
        <v>44291.987466837803</v>
      </c>
      <c r="D822" s="4" t="s">
        <v>114</v>
      </c>
      <c r="E822" s="4" t="s">
        <v>366</v>
      </c>
      <c r="F822" s="4" t="s">
        <v>131</v>
      </c>
      <c r="G822" s="4">
        <f t="shared" ca="1" si="36"/>
        <v>28</v>
      </c>
      <c r="H822" s="4">
        <v>5</v>
      </c>
      <c r="I822">
        <f t="shared" ca="1" si="37"/>
        <v>140</v>
      </c>
      <c r="J822">
        <f t="shared" si="38"/>
        <v>4</v>
      </c>
      <c r="K822" t="str">
        <f>VLOOKUP(E822,地区表!$A$2:$C$255,3,FALSE)</f>
        <v>中南</v>
      </c>
      <c r="L822" s="23" t="str" cm="1">
        <f t="array" ref="L822:N822">_xlfn.TEXTSPLIT(A822,"-")</f>
        <v>CN</v>
      </c>
      <c r="M822" s="22" t="str">
        <v>2832</v>
      </c>
      <c r="N822" s="22" t="str">
        <v>4733722</v>
      </c>
    </row>
    <row r="823" spans="1:14" ht="15.6">
      <c r="A823" s="4" t="s">
        <v>365</v>
      </c>
      <c r="B823" s="5">
        <v>44288.288042582702</v>
      </c>
      <c r="C823" s="5">
        <v>44291.564952344401</v>
      </c>
      <c r="D823" s="4" t="s">
        <v>114</v>
      </c>
      <c r="E823" s="4" t="s">
        <v>366</v>
      </c>
      <c r="F823" s="4" t="s">
        <v>100</v>
      </c>
      <c r="G823" s="4">
        <f t="shared" ca="1" si="36"/>
        <v>68</v>
      </c>
      <c r="H823" s="4">
        <v>4</v>
      </c>
      <c r="I823">
        <f t="shared" ca="1" si="37"/>
        <v>272</v>
      </c>
      <c r="J823">
        <f t="shared" si="38"/>
        <v>4</v>
      </c>
      <c r="K823" t="str">
        <f>VLOOKUP(E823,地区表!$A$2:$C$255,3,FALSE)</f>
        <v>中南</v>
      </c>
      <c r="L823" s="23" t="str" cm="1">
        <f t="array" ref="L823:N823">_xlfn.TEXTSPLIT(A823,"-")</f>
        <v>CN</v>
      </c>
      <c r="M823" s="22" t="str">
        <v>2832</v>
      </c>
      <c r="N823" s="22" t="str">
        <v>4733722</v>
      </c>
    </row>
    <row r="824" spans="1:14" ht="15.6">
      <c r="A824" s="4" t="s">
        <v>431</v>
      </c>
      <c r="B824" s="5">
        <v>44647.5412784894</v>
      </c>
      <c r="C824" s="5">
        <v>44651.345290277997</v>
      </c>
      <c r="D824" s="4" t="s">
        <v>114</v>
      </c>
      <c r="E824" s="4" t="s">
        <v>432</v>
      </c>
      <c r="F824" s="4" t="s">
        <v>110</v>
      </c>
      <c r="G824" s="4">
        <f t="shared" ca="1" si="36"/>
        <v>39</v>
      </c>
      <c r="H824" s="4">
        <v>10</v>
      </c>
      <c r="I824">
        <f t="shared" ca="1" si="37"/>
        <v>390</v>
      </c>
      <c r="J824">
        <f t="shared" si="38"/>
        <v>3</v>
      </c>
      <c r="K824" t="str">
        <f>VLOOKUP(E824,地区表!$A$2:$C$255,3,FALSE)</f>
        <v>华东</v>
      </c>
      <c r="L824" s="23" t="str" cm="1">
        <f t="array" ref="L824:N824">_xlfn.TEXTSPLIT(A824,"-")</f>
        <v>US</v>
      </c>
      <c r="M824" s="22" t="str">
        <v>2096</v>
      </c>
      <c r="N824" s="22" t="str">
        <v>4525677</v>
      </c>
    </row>
    <row r="825" spans="1:14" ht="15.6">
      <c r="A825" s="4" t="s">
        <v>153</v>
      </c>
      <c r="B825" s="5">
        <v>45247.493239621697</v>
      </c>
      <c r="C825" s="5">
        <v>45251.200875473703</v>
      </c>
      <c r="D825" s="4" t="s">
        <v>98</v>
      </c>
      <c r="E825" s="4" t="s">
        <v>154</v>
      </c>
      <c r="F825" s="4" t="s">
        <v>101</v>
      </c>
      <c r="G825" s="4">
        <f t="shared" ca="1" si="36"/>
        <v>60</v>
      </c>
      <c r="H825" s="4">
        <v>5</v>
      </c>
      <c r="I825">
        <f t="shared" ca="1" si="37"/>
        <v>300</v>
      </c>
      <c r="J825">
        <f t="shared" si="38"/>
        <v>11</v>
      </c>
      <c r="K825" t="str">
        <f>VLOOKUP(E825,地区表!$A$2:$C$255,3,FALSE)</f>
        <v>华东</v>
      </c>
      <c r="L825" s="23" t="str" cm="1">
        <f t="array" ref="L825:N825">_xlfn.TEXTSPLIT(A825,"-")</f>
        <v>CN</v>
      </c>
      <c r="M825" s="22" t="str">
        <v>2696</v>
      </c>
      <c r="N825" s="22" t="str">
        <v>3476344</v>
      </c>
    </row>
    <row r="826" spans="1:14" ht="15.6">
      <c r="A826" s="4" t="s">
        <v>445</v>
      </c>
      <c r="B826" s="5">
        <v>44634.043068467603</v>
      </c>
      <c r="C826" s="5">
        <v>44638.103675562597</v>
      </c>
      <c r="D826" s="4" t="s">
        <v>114</v>
      </c>
      <c r="E826" s="4" t="s">
        <v>154</v>
      </c>
      <c r="F826" s="4" t="s">
        <v>101</v>
      </c>
      <c r="G826" s="4">
        <f t="shared" ca="1" si="36"/>
        <v>28</v>
      </c>
      <c r="H826" s="4">
        <v>2</v>
      </c>
      <c r="I826">
        <f t="shared" ca="1" si="37"/>
        <v>56</v>
      </c>
      <c r="J826">
        <f t="shared" si="38"/>
        <v>3</v>
      </c>
      <c r="K826" t="str">
        <f>VLOOKUP(E826,地区表!$A$2:$C$255,3,FALSE)</f>
        <v>华东</v>
      </c>
      <c r="L826" s="23" t="str" cm="1">
        <f t="array" ref="L826:N826">_xlfn.TEXTSPLIT(A826,"-")</f>
        <v>CN</v>
      </c>
      <c r="M826" s="22" t="str">
        <v>2083</v>
      </c>
      <c r="N826" s="22" t="str">
        <v>2477297</v>
      </c>
    </row>
    <row r="827" spans="1:14" ht="15.6">
      <c r="A827" s="4" t="s">
        <v>734</v>
      </c>
      <c r="B827" s="5">
        <v>44354.071376391301</v>
      </c>
      <c r="C827" s="5">
        <v>44359.599746164997</v>
      </c>
      <c r="D827" s="4" t="s">
        <v>98</v>
      </c>
      <c r="E827" s="4" t="s">
        <v>154</v>
      </c>
      <c r="F827" s="4" t="s">
        <v>96</v>
      </c>
      <c r="G827" s="4">
        <f t="shared" ca="1" si="36"/>
        <v>76</v>
      </c>
      <c r="H827" s="4">
        <v>4</v>
      </c>
      <c r="I827">
        <f t="shared" ca="1" si="37"/>
        <v>304</v>
      </c>
      <c r="J827">
        <f t="shared" si="38"/>
        <v>6</v>
      </c>
      <c r="K827" t="str">
        <f>VLOOKUP(E827,地区表!$A$2:$C$255,3,FALSE)</f>
        <v>华东</v>
      </c>
      <c r="L827" s="23" t="str" cm="1">
        <f t="array" ref="L827:N827">_xlfn.TEXTSPLIT(A827,"-")</f>
        <v>CN</v>
      </c>
      <c r="M827" s="22" t="str">
        <v>2898</v>
      </c>
      <c r="N827" s="22" t="str">
        <v>5146329</v>
      </c>
    </row>
    <row r="828" spans="1:14" ht="15.6">
      <c r="A828" s="4" t="s">
        <v>779</v>
      </c>
      <c r="B828" s="5">
        <v>44365.761628415101</v>
      </c>
      <c r="C828" s="5">
        <v>44372.472419095997</v>
      </c>
      <c r="D828" s="4" t="s">
        <v>98</v>
      </c>
      <c r="E828" s="4" t="s">
        <v>154</v>
      </c>
      <c r="F828" s="4" t="s">
        <v>122</v>
      </c>
      <c r="G828" s="4">
        <f t="shared" ca="1" si="36"/>
        <v>90</v>
      </c>
      <c r="H828" s="4">
        <v>1</v>
      </c>
      <c r="I828">
        <f t="shared" ca="1" si="37"/>
        <v>90</v>
      </c>
      <c r="J828">
        <f t="shared" si="38"/>
        <v>6</v>
      </c>
      <c r="K828" t="str">
        <f>VLOOKUP(E828,地区表!$A$2:$C$255,3,FALSE)</f>
        <v>华东</v>
      </c>
      <c r="L828" s="23" t="str" cm="1">
        <f t="array" ref="L828:N828">_xlfn.TEXTSPLIT(A828,"-")</f>
        <v>CN</v>
      </c>
      <c r="M828" s="22" t="str">
        <v>2909</v>
      </c>
      <c r="N828" s="22" t="str">
        <v>1891447</v>
      </c>
    </row>
    <row r="829" spans="1:14" ht="15.6">
      <c r="A829" s="4" t="s">
        <v>779</v>
      </c>
      <c r="B829" s="5">
        <v>44365.452402357601</v>
      </c>
      <c r="C829" s="5">
        <v>44372.4201695913</v>
      </c>
      <c r="D829" s="4" t="s">
        <v>98</v>
      </c>
      <c r="E829" s="4" t="s">
        <v>154</v>
      </c>
      <c r="F829" s="4" t="s">
        <v>141</v>
      </c>
      <c r="G829" s="4">
        <f t="shared" ca="1" si="36"/>
        <v>29</v>
      </c>
      <c r="H829" s="4">
        <v>2</v>
      </c>
      <c r="I829">
        <f t="shared" ca="1" si="37"/>
        <v>58</v>
      </c>
      <c r="J829">
        <f t="shared" si="38"/>
        <v>6</v>
      </c>
      <c r="K829" t="str">
        <f>VLOOKUP(E829,地区表!$A$2:$C$255,3,FALSE)</f>
        <v>华东</v>
      </c>
      <c r="L829" s="23" t="str" cm="1">
        <f t="array" ref="L829:N829">_xlfn.TEXTSPLIT(A829,"-")</f>
        <v>CN</v>
      </c>
      <c r="M829" s="22" t="str">
        <v>2909</v>
      </c>
      <c r="N829" s="22" t="str">
        <v>1891447</v>
      </c>
    </row>
    <row r="830" spans="1:14" ht="15.6">
      <c r="A830" s="4" t="s">
        <v>779</v>
      </c>
      <c r="B830" s="5">
        <v>44365.052807968801</v>
      </c>
      <c r="C830" s="5">
        <v>44372.789132071899</v>
      </c>
      <c r="D830" s="4" t="s">
        <v>98</v>
      </c>
      <c r="E830" s="4" t="s">
        <v>154</v>
      </c>
      <c r="F830" s="4" t="s">
        <v>100</v>
      </c>
      <c r="G830" s="4">
        <f t="shared" ca="1" si="36"/>
        <v>99</v>
      </c>
      <c r="H830" s="4">
        <v>2</v>
      </c>
      <c r="I830">
        <f t="shared" ca="1" si="37"/>
        <v>198</v>
      </c>
      <c r="J830">
        <f t="shared" si="38"/>
        <v>6</v>
      </c>
      <c r="K830" t="str">
        <f>VLOOKUP(E830,地区表!$A$2:$C$255,3,FALSE)</f>
        <v>华东</v>
      </c>
      <c r="L830" s="23" t="str" cm="1">
        <f t="array" ref="L830:N830">_xlfn.TEXTSPLIT(A830,"-")</f>
        <v>CN</v>
      </c>
      <c r="M830" s="22" t="str">
        <v>2909</v>
      </c>
      <c r="N830" s="22" t="str">
        <v>1891447</v>
      </c>
    </row>
    <row r="831" spans="1:14" ht="15.6">
      <c r="A831" s="4" t="s">
        <v>779</v>
      </c>
      <c r="B831" s="5">
        <v>44365.798259333998</v>
      </c>
      <c r="C831" s="5">
        <v>44372.838375077401</v>
      </c>
      <c r="D831" s="4" t="s">
        <v>98</v>
      </c>
      <c r="E831" s="4" t="s">
        <v>154</v>
      </c>
      <c r="F831" s="4" t="s">
        <v>131</v>
      </c>
      <c r="G831" s="4">
        <f t="shared" ca="1" si="36"/>
        <v>27</v>
      </c>
      <c r="H831" s="4">
        <v>2</v>
      </c>
      <c r="I831">
        <f t="shared" ca="1" si="37"/>
        <v>54</v>
      </c>
      <c r="J831">
        <f t="shared" si="38"/>
        <v>6</v>
      </c>
      <c r="K831" t="str">
        <f>VLOOKUP(E831,地区表!$A$2:$C$255,3,FALSE)</f>
        <v>华东</v>
      </c>
      <c r="L831" s="23" t="str" cm="1">
        <f t="array" ref="L831:N831">_xlfn.TEXTSPLIT(A831,"-")</f>
        <v>CN</v>
      </c>
      <c r="M831" s="22" t="str">
        <v>2909</v>
      </c>
      <c r="N831" s="22" t="str">
        <v>1891447</v>
      </c>
    </row>
    <row r="832" spans="1:14" ht="15.6">
      <c r="A832" s="4" t="s">
        <v>451</v>
      </c>
      <c r="B832" s="5">
        <v>44485.073862257203</v>
      </c>
      <c r="C832" s="5">
        <v>44487.307665986496</v>
      </c>
      <c r="D832" s="4" t="s">
        <v>98</v>
      </c>
      <c r="E832" s="4" t="s">
        <v>452</v>
      </c>
      <c r="F832" s="4" t="s">
        <v>122</v>
      </c>
      <c r="G832" s="4">
        <f t="shared" ca="1" si="36"/>
        <v>69</v>
      </c>
      <c r="H832" s="4">
        <v>5</v>
      </c>
      <c r="I832">
        <f t="shared" ca="1" si="37"/>
        <v>345</v>
      </c>
      <c r="J832">
        <f t="shared" si="38"/>
        <v>10</v>
      </c>
      <c r="K832" t="str">
        <f>VLOOKUP(E832,地区表!$A$2:$C$255,3,FALSE)</f>
        <v>西南</v>
      </c>
      <c r="L832" s="23" t="str" cm="1">
        <f t="array" ref="L832:N832">_xlfn.TEXTSPLIT(A832,"-")</f>
        <v>CN</v>
      </c>
      <c r="M832" s="22" t="str">
        <v>3029</v>
      </c>
      <c r="N832" s="22" t="str">
        <v>2805987</v>
      </c>
    </row>
    <row r="833" spans="1:14" ht="15.6">
      <c r="A833" s="4" t="s">
        <v>189</v>
      </c>
      <c r="B833" s="5">
        <v>44919.4551135566</v>
      </c>
      <c r="C833" s="5">
        <v>44924.235986416599</v>
      </c>
      <c r="D833" s="4" t="s">
        <v>114</v>
      </c>
      <c r="E833" s="4" t="s">
        <v>190</v>
      </c>
      <c r="F833" s="4" t="s">
        <v>118</v>
      </c>
      <c r="G833" s="4">
        <f t="shared" ca="1" si="36"/>
        <v>65</v>
      </c>
      <c r="H833" s="4">
        <v>2</v>
      </c>
      <c r="I833">
        <f t="shared" ca="1" si="37"/>
        <v>130</v>
      </c>
      <c r="J833">
        <f t="shared" si="38"/>
        <v>12</v>
      </c>
      <c r="K833" t="str">
        <f>VLOOKUP(E833,地区表!$A$2:$C$255,3,FALSE)</f>
        <v>东北</v>
      </c>
      <c r="L833" s="23" t="str" cm="1">
        <f t="array" ref="L833:N833">_xlfn.TEXTSPLIT(A833,"-")</f>
        <v>US</v>
      </c>
      <c r="M833" s="22" t="str">
        <v>2368</v>
      </c>
      <c r="N833" s="22" t="str">
        <v>1803838</v>
      </c>
    </row>
    <row r="834" spans="1:14" ht="15.6">
      <c r="A834" s="4" t="s">
        <v>189</v>
      </c>
      <c r="B834" s="5">
        <v>44919.649325720799</v>
      </c>
      <c r="C834" s="5">
        <v>44924.491069729702</v>
      </c>
      <c r="D834" s="4" t="s">
        <v>114</v>
      </c>
      <c r="E834" s="4" t="s">
        <v>190</v>
      </c>
      <c r="F834" s="4" t="s">
        <v>125</v>
      </c>
      <c r="G834" s="4">
        <f t="shared" ref="G834:G897" ca="1" si="39">RANDBETWEEN(10,100)</f>
        <v>12</v>
      </c>
      <c r="H834" s="4">
        <v>3</v>
      </c>
      <c r="I834">
        <f t="shared" ca="1" si="37"/>
        <v>36</v>
      </c>
      <c r="J834">
        <f t="shared" si="38"/>
        <v>12</v>
      </c>
      <c r="K834" t="str">
        <f>VLOOKUP(E834,地区表!$A$2:$C$255,3,FALSE)</f>
        <v>东北</v>
      </c>
      <c r="L834" s="23" t="str" cm="1">
        <f t="array" ref="L834:N834">_xlfn.TEXTSPLIT(A834,"-")</f>
        <v>US</v>
      </c>
      <c r="M834" s="22" t="str">
        <v>2368</v>
      </c>
      <c r="N834" s="22" t="str">
        <v>1803838</v>
      </c>
    </row>
    <row r="835" spans="1:14" ht="15.6">
      <c r="A835" s="4" t="s">
        <v>410</v>
      </c>
      <c r="B835" s="5">
        <v>44935.432347177302</v>
      </c>
      <c r="C835" s="5">
        <v>44939.046545024103</v>
      </c>
      <c r="D835" s="4" t="s">
        <v>98</v>
      </c>
      <c r="E835" s="4" t="s">
        <v>411</v>
      </c>
      <c r="F835" s="4" t="s">
        <v>135</v>
      </c>
      <c r="G835" s="4">
        <f t="shared" ca="1" si="39"/>
        <v>71</v>
      </c>
      <c r="H835" s="4">
        <v>2</v>
      </c>
      <c r="I835">
        <f t="shared" ref="I835:I898" ca="1" si="40">G835*H835</f>
        <v>142</v>
      </c>
      <c r="J835">
        <f t="shared" ref="J835:J898" si="41">MONTH(B835)</f>
        <v>1</v>
      </c>
      <c r="K835" t="str">
        <f>VLOOKUP(E835,地区表!$A$2:$C$255,3,FALSE)</f>
        <v>东北</v>
      </c>
      <c r="L835" s="23" t="str" cm="1">
        <f t="array" ref="L835:N835">_xlfn.TEXTSPLIT(A835,"-")</f>
        <v>CN</v>
      </c>
      <c r="M835" s="22" t="str">
        <v>2384</v>
      </c>
      <c r="N835" s="22" t="str">
        <v>1966706</v>
      </c>
    </row>
    <row r="836" spans="1:14" ht="15.6">
      <c r="A836" s="4" t="s">
        <v>410</v>
      </c>
      <c r="B836" s="5">
        <v>44935.920282410603</v>
      </c>
      <c r="C836" s="5">
        <v>44939.0413747825</v>
      </c>
      <c r="D836" s="4" t="s">
        <v>98</v>
      </c>
      <c r="E836" s="4" t="s">
        <v>411</v>
      </c>
      <c r="F836" s="4" t="s">
        <v>100</v>
      </c>
      <c r="G836" s="4">
        <f t="shared" ca="1" si="39"/>
        <v>44</v>
      </c>
      <c r="H836" s="4">
        <v>2</v>
      </c>
      <c r="I836">
        <f t="shared" ca="1" si="40"/>
        <v>88</v>
      </c>
      <c r="J836">
        <f t="shared" si="41"/>
        <v>1</v>
      </c>
      <c r="K836" t="str">
        <f>VLOOKUP(E836,地区表!$A$2:$C$255,3,FALSE)</f>
        <v>东北</v>
      </c>
      <c r="L836" s="23" t="str" cm="1">
        <f t="array" ref="L836:N836">_xlfn.TEXTSPLIT(A836,"-")</f>
        <v>CN</v>
      </c>
      <c r="M836" s="22" t="str">
        <v>2384</v>
      </c>
      <c r="N836" s="22" t="str">
        <v>1966706</v>
      </c>
    </row>
    <row r="837" spans="1:14" ht="15.6">
      <c r="A837" s="4" t="s">
        <v>419</v>
      </c>
      <c r="B837" s="5">
        <v>45284.663632334101</v>
      </c>
      <c r="C837" s="5">
        <v>45289.626260028599</v>
      </c>
      <c r="D837" s="4" t="s">
        <v>94</v>
      </c>
      <c r="E837" s="4" t="s">
        <v>411</v>
      </c>
      <c r="F837" s="4" t="s">
        <v>121</v>
      </c>
      <c r="G837" s="4">
        <f t="shared" ca="1" si="39"/>
        <v>35</v>
      </c>
      <c r="H837" s="4">
        <v>2</v>
      </c>
      <c r="I837">
        <f t="shared" ca="1" si="40"/>
        <v>70</v>
      </c>
      <c r="J837">
        <f t="shared" si="41"/>
        <v>12</v>
      </c>
      <c r="K837" t="str">
        <f>VLOOKUP(E837,地区表!$A$2:$C$255,3,FALSE)</f>
        <v>东北</v>
      </c>
      <c r="L837" s="23" t="str" cm="1">
        <f t="array" ref="L837:N837">_xlfn.TEXTSPLIT(A837,"-")</f>
        <v>CN</v>
      </c>
      <c r="M837" s="22" t="str">
        <v>2002</v>
      </c>
      <c r="N837" s="22" t="str">
        <v>2491194</v>
      </c>
    </row>
    <row r="838" spans="1:14" ht="15.6">
      <c r="A838" s="4" t="s">
        <v>419</v>
      </c>
      <c r="B838" s="5">
        <v>45284.408462945903</v>
      </c>
      <c r="C838" s="5">
        <v>45289.297933305301</v>
      </c>
      <c r="D838" s="4" t="s">
        <v>94</v>
      </c>
      <c r="E838" s="4" t="s">
        <v>411</v>
      </c>
      <c r="F838" s="4" t="s">
        <v>101</v>
      </c>
      <c r="G838" s="4">
        <f t="shared" ca="1" si="39"/>
        <v>100</v>
      </c>
      <c r="H838" s="4">
        <v>4</v>
      </c>
      <c r="I838">
        <f t="shared" ca="1" si="40"/>
        <v>400</v>
      </c>
      <c r="J838">
        <f t="shared" si="41"/>
        <v>12</v>
      </c>
      <c r="K838" t="str">
        <f>VLOOKUP(E838,地区表!$A$2:$C$255,3,FALSE)</f>
        <v>东北</v>
      </c>
      <c r="L838" s="23" t="str" cm="1">
        <f t="array" ref="L838:N838">_xlfn.TEXTSPLIT(A838,"-")</f>
        <v>CN</v>
      </c>
      <c r="M838" s="22" t="str">
        <v>2002</v>
      </c>
      <c r="N838" s="22" t="str">
        <v>2491194</v>
      </c>
    </row>
    <row r="839" spans="1:14" ht="15.6">
      <c r="A839" s="4" t="s">
        <v>139</v>
      </c>
      <c r="B839" s="5">
        <v>44201.551788492601</v>
      </c>
      <c r="C839" s="5">
        <v>44204.112093393203</v>
      </c>
      <c r="D839" s="4" t="s">
        <v>94</v>
      </c>
      <c r="E839" s="4" t="s">
        <v>140</v>
      </c>
      <c r="F839" s="4" t="s">
        <v>141</v>
      </c>
      <c r="G839" s="4">
        <f t="shared" ca="1" si="39"/>
        <v>39</v>
      </c>
      <c r="H839" s="4">
        <v>1</v>
      </c>
      <c r="I839">
        <f t="shared" ca="1" si="40"/>
        <v>39</v>
      </c>
      <c r="J839">
        <f t="shared" si="41"/>
        <v>1</v>
      </c>
      <c r="K839" t="str">
        <f>VLOOKUP(E839,地区表!$A$2:$C$255,3,FALSE)</f>
        <v>华东</v>
      </c>
      <c r="L839" s="23" t="str" cm="1">
        <f t="array" ref="L839:N839">_xlfn.TEXTSPLIT(A839,"-")</f>
        <v>CN</v>
      </c>
      <c r="M839" s="22" t="str">
        <v>2745</v>
      </c>
      <c r="N839" s="22" t="str">
        <v>3216455</v>
      </c>
    </row>
    <row r="840" spans="1:14" ht="15.6">
      <c r="A840" s="4" t="s">
        <v>358</v>
      </c>
      <c r="B840" s="5">
        <v>44588.828119797101</v>
      </c>
      <c r="C840" s="5">
        <v>44592.307835964602</v>
      </c>
      <c r="D840" s="4" t="s">
        <v>94</v>
      </c>
      <c r="E840" s="4" t="s">
        <v>140</v>
      </c>
      <c r="F840" s="4" t="s">
        <v>122</v>
      </c>
      <c r="G840" s="4">
        <f t="shared" ca="1" si="39"/>
        <v>16</v>
      </c>
      <c r="H840" s="4">
        <v>2</v>
      </c>
      <c r="I840">
        <f t="shared" ca="1" si="40"/>
        <v>32</v>
      </c>
      <c r="J840">
        <f t="shared" si="41"/>
        <v>1</v>
      </c>
      <c r="K840" t="str">
        <f>VLOOKUP(E840,地区表!$A$2:$C$255,3,FALSE)</f>
        <v>华东</v>
      </c>
      <c r="L840" s="23" t="str" cm="1">
        <f t="array" ref="L840:N840">_xlfn.TEXTSPLIT(A840,"-")</f>
        <v>CN</v>
      </c>
      <c r="M840" s="22" t="str">
        <v>2036</v>
      </c>
      <c r="N840" s="22" t="str">
        <v>5171199</v>
      </c>
    </row>
    <row r="841" spans="1:14" ht="15.6">
      <c r="A841" s="4" t="s">
        <v>358</v>
      </c>
      <c r="B841" s="5">
        <v>44588.435341926197</v>
      </c>
      <c r="C841" s="5">
        <v>44592.379877365602</v>
      </c>
      <c r="D841" s="4" t="s">
        <v>94</v>
      </c>
      <c r="E841" s="4" t="s">
        <v>140</v>
      </c>
      <c r="F841" s="4" t="s">
        <v>118</v>
      </c>
      <c r="G841" s="4">
        <f t="shared" ca="1" si="39"/>
        <v>96</v>
      </c>
      <c r="H841" s="4">
        <v>4</v>
      </c>
      <c r="I841">
        <f t="shared" ca="1" si="40"/>
        <v>384</v>
      </c>
      <c r="J841">
        <f t="shared" si="41"/>
        <v>1</v>
      </c>
      <c r="K841" t="str">
        <f>VLOOKUP(E841,地区表!$A$2:$C$255,3,FALSE)</f>
        <v>华东</v>
      </c>
      <c r="L841" s="23" t="str" cm="1">
        <f t="array" ref="L841:N841">_xlfn.TEXTSPLIT(A841,"-")</f>
        <v>CN</v>
      </c>
      <c r="M841" s="22" t="str">
        <v>2036</v>
      </c>
      <c r="N841" s="22" t="str">
        <v>5171199</v>
      </c>
    </row>
    <row r="842" spans="1:14" ht="15.6">
      <c r="A842" s="4" t="s">
        <v>358</v>
      </c>
      <c r="B842" s="5">
        <v>44588.701016284402</v>
      </c>
      <c r="C842" s="5">
        <v>44592.770444929003</v>
      </c>
      <c r="D842" s="4" t="s">
        <v>94</v>
      </c>
      <c r="E842" s="4" t="s">
        <v>140</v>
      </c>
      <c r="F842" s="4" t="s">
        <v>130</v>
      </c>
      <c r="G842" s="4">
        <f t="shared" ca="1" si="39"/>
        <v>91</v>
      </c>
      <c r="H842" s="4">
        <v>2</v>
      </c>
      <c r="I842">
        <f t="shared" ca="1" si="40"/>
        <v>182</v>
      </c>
      <c r="J842">
        <f t="shared" si="41"/>
        <v>1</v>
      </c>
      <c r="K842" t="str">
        <f>VLOOKUP(E842,地区表!$A$2:$C$255,3,FALSE)</f>
        <v>华东</v>
      </c>
      <c r="L842" s="23" t="str" cm="1">
        <f t="array" ref="L842:N842">_xlfn.TEXTSPLIT(A842,"-")</f>
        <v>CN</v>
      </c>
      <c r="M842" s="22" t="str">
        <v>2036</v>
      </c>
      <c r="N842" s="22" t="str">
        <v>5171199</v>
      </c>
    </row>
    <row r="843" spans="1:14" ht="15.6">
      <c r="A843" s="4" t="s">
        <v>358</v>
      </c>
      <c r="B843" s="5">
        <v>44588.979081220001</v>
      </c>
      <c r="C843" s="5">
        <v>44592.230697664498</v>
      </c>
      <c r="D843" s="4" t="s">
        <v>94</v>
      </c>
      <c r="E843" s="4" t="s">
        <v>140</v>
      </c>
      <c r="F843" s="4" t="s">
        <v>106</v>
      </c>
      <c r="G843" s="4">
        <f t="shared" ca="1" si="39"/>
        <v>46</v>
      </c>
      <c r="H843" s="4">
        <v>6</v>
      </c>
      <c r="I843">
        <f t="shared" ca="1" si="40"/>
        <v>276</v>
      </c>
      <c r="J843">
        <f t="shared" si="41"/>
        <v>1</v>
      </c>
      <c r="K843" t="str">
        <f>VLOOKUP(E843,地区表!$A$2:$C$255,3,FALSE)</f>
        <v>华东</v>
      </c>
      <c r="L843" s="23" t="str" cm="1">
        <f t="array" ref="L843:N843">_xlfn.TEXTSPLIT(A843,"-")</f>
        <v>CN</v>
      </c>
      <c r="M843" s="22" t="str">
        <v>2036</v>
      </c>
      <c r="N843" s="22" t="str">
        <v>5171199</v>
      </c>
    </row>
    <row r="844" spans="1:14" ht="15.6">
      <c r="A844" s="4" t="s">
        <v>358</v>
      </c>
      <c r="B844" s="5">
        <v>44588.503999133602</v>
      </c>
      <c r="C844" s="5">
        <v>44592.890451563901</v>
      </c>
      <c r="D844" s="4" t="s">
        <v>94</v>
      </c>
      <c r="E844" s="4" t="s">
        <v>140</v>
      </c>
      <c r="F844" s="4" t="s">
        <v>112</v>
      </c>
      <c r="G844" s="4">
        <f t="shared" ca="1" si="39"/>
        <v>83</v>
      </c>
      <c r="H844" s="4">
        <v>2</v>
      </c>
      <c r="I844">
        <f t="shared" ca="1" si="40"/>
        <v>166</v>
      </c>
      <c r="J844">
        <f t="shared" si="41"/>
        <v>1</v>
      </c>
      <c r="K844" t="str">
        <f>VLOOKUP(E844,地区表!$A$2:$C$255,3,FALSE)</f>
        <v>华东</v>
      </c>
      <c r="L844" s="23" t="str" cm="1">
        <f t="array" ref="L844:N844">_xlfn.TEXTSPLIT(A844,"-")</f>
        <v>CN</v>
      </c>
      <c r="M844" s="22" t="str">
        <v>2036</v>
      </c>
      <c r="N844" s="22" t="str">
        <v>5171199</v>
      </c>
    </row>
    <row r="845" spans="1:14" ht="15.6">
      <c r="A845" s="4" t="s">
        <v>358</v>
      </c>
      <c r="B845" s="5">
        <v>44588.946788219597</v>
      </c>
      <c r="C845" s="5">
        <v>44592.908071785998</v>
      </c>
      <c r="D845" s="4" t="s">
        <v>94</v>
      </c>
      <c r="E845" s="4" t="s">
        <v>140</v>
      </c>
      <c r="F845" s="4" t="s">
        <v>135</v>
      </c>
      <c r="G845" s="4">
        <f t="shared" ca="1" si="39"/>
        <v>32</v>
      </c>
      <c r="H845" s="4">
        <v>3</v>
      </c>
      <c r="I845">
        <f t="shared" ca="1" si="40"/>
        <v>96</v>
      </c>
      <c r="J845">
        <f t="shared" si="41"/>
        <v>1</v>
      </c>
      <c r="K845" t="str">
        <f>VLOOKUP(E845,地区表!$A$2:$C$255,3,FALSE)</f>
        <v>华东</v>
      </c>
      <c r="L845" s="23" t="str" cm="1">
        <f t="array" ref="L845:N845">_xlfn.TEXTSPLIT(A845,"-")</f>
        <v>CN</v>
      </c>
      <c r="M845" s="22" t="str">
        <v>2036</v>
      </c>
      <c r="N845" s="22" t="str">
        <v>5171199</v>
      </c>
    </row>
    <row r="846" spans="1:14" ht="15.6">
      <c r="A846" s="4" t="s">
        <v>358</v>
      </c>
      <c r="B846" s="5">
        <v>44588.382169110097</v>
      </c>
      <c r="C846" s="5">
        <v>44592.698009232598</v>
      </c>
      <c r="D846" s="4" t="s">
        <v>94</v>
      </c>
      <c r="E846" s="4" t="s">
        <v>140</v>
      </c>
      <c r="F846" s="4" t="s">
        <v>110</v>
      </c>
      <c r="G846" s="4">
        <f t="shared" ca="1" si="39"/>
        <v>87</v>
      </c>
      <c r="H846" s="4">
        <v>7</v>
      </c>
      <c r="I846">
        <f t="shared" ca="1" si="40"/>
        <v>609</v>
      </c>
      <c r="J846">
        <f t="shared" si="41"/>
        <v>1</v>
      </c>
      <c r="K846" t="str">
        <f>VLOOKUP(E846,地区表!$A$2:$C$255,3,FALSE)</f>
        <v>华东</v>
      </c>
      <c r="L846" s="23" t="str" cm="1">
        <f t="array" ref="L846:N846">_xlfn.TEXTSPLIT(A846,"-")</f>
        <v>CN</v>
      </c>
      <c r="M846" s="22" t="str">
        <v>2036</v>
      </c>
      <c r="N846" s="22" t="str">
        <v>5171199</v>
      </c>
    </row>
    <row r="847" spans="1:14" ht="15.6">
      <c r="A847" s="4" t="s">
        <v>358</v>
      </c>
      <c r="B847" s="5">
        <v>44588.8394525779</v>
      </c>
      <c r="C847" s="5">
        <v>44592.2747959177</v>
      </c>
      <c r="D847" s="4" t="s">
        <v>94</v>
      </c>
      <c r="E847" s="4" t="s">
        <v>140</v>
      </c>
      <c r="F847" s="4" t="s">
        <v>135</v>
      </c>
      <c r="G847" s="4">
        <f t="shared" ca="1" si="39"/>
        <v>71</v>
      </c>
      <c r="H847" s="4">
        <v>3</v>
      </c>
      <c r="I847">
        <f t="shared" ca="1" si="40"/>
        <v>213</v>
      </c>
      <c r="J847">
        <f t="shared" si="41"/>
        <v>1</v>
      </c>
      <c r="K847" t="str">
        <f>VLOOKUP(E847,地区表!$A$2:$C$255,3,FALSE)</f>
        <v>华东</v>
      </c>
      <c r="L847" s="23" t="str" cm="1">
        <f t="array" ref="L847:N847">_xlfn.TEXTSPLIT(A847,"-")</f>
        <v>CN</v>
      </c>
      <c r="M847" s="22" t="str">
        <v>2036</v>
      </c>
      <c r="N847" s="22" t="str">
        <v>5171199</v>
      </c>
    </row>
    <row r="848" spans="1:14" ht="15.6">
      <c r="A848" s="4" t="s">
        <v>544</v>
      </c>
      <c r="B848" s="5">
        <v>44778.562363177101</v>
      </c>
      <c r="C848" s="5">
        <v>44780.886299656901</v>
      </c>
      <c r="D848" s="4" t="s">
        <v>98</v>
      </c>
      <c r="E848" s="4" t="s">
        <v>140</v>
      </c>
      <c r="F848" s="4" t="s">
        <v>109</v>
      </c>
      <c r="G848" s="4">
        <f t="shared" ca="1" si="39"/>
        <v>43</v>
      </c>
      <c r="H848" s="4">
        <v>4</v>
      </c>
      <c r="I848">
        <f t="shared" ca="1" si="40"/>
        <v>172</v>
      </c>
      <c r="J848">
        <f t="shared" si="41"/>
        <v>8</v>
      </c>
      <c r="K848" t="str">
        <f>VLOOKUP(E848,地区表!$A$2:$C$255,3,FALSE)</f>
        <v>华东</v>
      </c>
      <c r="L848" s="23" t="str" cm="1">
        <f t="array" ref="L848:N848">_xlfn.TEXTSPLIT(A848,"-")</f>
        <v>CN</v>
      </c>
      <c r="M848" s="22" t="str">
        <v>2227</v>
      </c>
      <c r="N848" s="22" t="str">
        <v>2919347</v>
      </c>
    </row>
    <row r="849" spans="1:14" ht="15.6">
      <c r="A849" s="4" t="s">
        <v>817</v>
      </c>
      <c r="B849" s="5">
        <v>44435.0701870021</v>
      </c>
      <c r="C849" s="5">
        <v>44437.934574183797</v>
      </c>
      <c r="D849" s="4" t="s">
        <v>94</v>
      </c>
      <c r="E849" s="4" t="s">
        <v>140</v>
      </c>
      <c r="F849" s="4" t="s">
        <v>131</v>
      </c>
      <c r="G849" s="4">
        <f t="shared" ca="1" si="39"/>
        <v>99</v>
      </c>
      <c r="H849" s="4">
        <v>6</v>
      </c>
      <c r="I849">
        <f t="shared" ca="1" si="40"/>
        <v>594</v>
      </c>
      <c r="J849">
        <f t="shared" si="41"/>
        <v>8</v>
      </c>
      <c r="K849" t="str">
        <f>VLOOKUP(E849,地区表!$A$2:$C$255,3,FALSE)</f>
        <v>华东</v>
      </c>
      <c r="L849" s="23" t="str" cm="1">
        <f t="array" ref="L849:N849">_xlfn.TEXTSPLIT(A849,"-")</f>
        <v>CN</v>
      </c>
      <c r="M849" s="22" t="str">
        <v>2979</v>
      </c>
      <c r="N849" s="22" t="str">
        <v>3240329</v>
      </c>
    </row>
    <row r="850" spans="1:14" ht="15.6">
      <c r="A850" s="4" t="s">
        <v>817</v>
      </c>
      <c r="B850" s="5">
        <v>44435.9597354121</v>
      </c>
      <c r="C850" s="5">
        <v>44437.2236702062</v>
      </c>
      <c r="D850" s="4" t="s">
        <v>94</v>
      </c>
      <c r="E850" s="4" t="s">
        <v>140</v>
      </c>
      <c r="F850" s="4" t="s">
        <v>109</v>
      </c>
      <c r="G850" s="4">
        <f t="shared" ca="1" si="39"/>
        <v>17</v>
      </c>
      <c r="H850" s="4">
        <v>6</v>
      </c>
      <c r="I850">
        <f t="shared" ca="1" si="40"/>
        <v>102</v>
      </c>
      <c r="J850">
        <f t="shared" si="41"/>
        <v>8</v>
      </c>
      <c r="K850" t="str">
        <f>VLOOKUP(E850,地区表!$A$2:$C$255,3,FALSE)</f>
        <v>华东</v>
      </c>
      <c r="L850" s="23" t="str" cm="1">
        <f t="array" ref="L850:N850">_xlfn.TEXTSPLIT(A850,"-")</f>
        <v>CN</v>
      </c>
      <c r="M850" s="22" t="str">
        <v>2979</v>
      </c>
      <c r="N850" s="22" t="str">
        <v>3240329</v>
      </c>
    </row>
    <row r="851" spans="1:14" ht="15.6">
      <c r="A851" s="4" t="s">
        <v>558</v>
      </c>
      <c r="B851" s="5">
        <v>44203.932701329402</v>
      </c>
      <c r="C851" s="5">
        <v>44207.908423435903</v>
      </c>
      <c r="D851" s="4" t="s">
        <v>114</v>
      </c>
      <c r="E851" s="4" t="s">
        <v>559</v>
      </c>
      <c r="F851" s="4" t="s">
        <v>100</v>
      </c>
      <c r="G851" s="4">
        <f t="shared" ca="1" si="39"/>
        <v>18</v>
      </c>
      <c r="H851" s="4">
        <v>5</v>
      </c>
      <c r="I851">
        <f t="shared" ca="1" si="40"/>
        <v>90</v>
      </c>
      <c r="J851">
        <f t="shared" si="41"/>
        <v>1</v>
      </c>
      <c r="K851" t="str">
        <f>VLOOKUP(E851,地区表!$A$2:$C$255,3,FALSE)</f>
        <v>西南</v>
      </c>
      <c r="L851" s="23" t="str" cm="1">
        <f t="array" ref="L851:N851">_xlfn.TEXTSPLIT(A851,"-")</f>
        <v>CN</v>
      </c>
      <c r="M851" s="22" t="str">
        <v>2747</v>
      </c>
      <c r="N851" s="22" t="str">
        <v>3767771</v>
      </c>
    </row>
    <row r="852" spans="1:14" ht="15.6">
      <c r="A852" s="4" t="s">
        <v>546</v>
      </c>
      <c r="B852" s="5">
        <v>45290.975040691403</v>
      </c>
      <c r="C852" s="5">
        <v>44200.753218208702</v>
      </c>
      <c r="D852" s="4" t="s">
        <v>94</v>
      </c>
      <c r="E852" s="4" t="s">
        <v>547</v>
      </c>
      <c r="F852" s="4" t="s">
        <v>121</v>
      </c>
      <c r="G852" s="4">
        <f t="shared" ca="1" si="39"/>
        <v>25</v>
      </c>
      <c r="H852" s="4">
        <v>3</v>
      </c>
      <c r="I852">
        <f t="shared" ca="1" si="40"/>
        <v>75</v>
      </c>
      <c r="J852">
        <f t="shared" si="41"/>
        <v>12</v>
      </c>
      <c r="K852" t="str">
        <f>VLOOKUP(E852,地区表!$A$2:$C$255,3,FALSE)</f>
        <v>华东</v>
      </c>
      <c r="L852" s="23" t="str" cm="1">
        <f t="array" ref="L852:N852">_xlfn.TEXTSPLIT(A852,"-")</f>
        <v>US</v>
      </c>
      <c r="M852" s="22" t="str">
        <v>2739</v>
      </c>
      <c r="N852" s="22" t="str">
        <v>3678373</v>
      </c>
    </row>
    <row r="853" spans="1:14" ht="15.6">
      <c r="A853" s="4" t="s">
        <v>546</v>
      </c>
      <c r="B853" s="5">
        <v>45290.686887846299</v>
      </c>
      <c r="C853" s="5">
        <v>44200.847176162002</v>
      </c>
      <c r="D853" s="4" t="s">
        <v>94</v>
      </c>
      <c r="E853" s="4" t="s">
        <v>547</v>
      </c>
      <c r="F853" s="4" t="s">
        <v>106</v>
      </c>
      <c r="G853" s="4">
        <f t="shared" ca="1" si="39"/>
        <v>67</v>
      </c>
      <c r="H853" s="4">
        <v>5</v>
      </c>
      <c r="I853">
        <f t="shared" ca="1" si="40"/>
        <v>335</v>
      </c>
      <c r="J853">
        <f t="shared" si="41"/>
        <v>12</v>
      </c>
      <c r="K853" t="str">
        <f>VLOOKUP(E853,地区表!$A$2:$C$255,3,FALSE)</f>
        <v>华东</v>
      </c>
      <c r="L853" s="23" t="str" cm="1">
        <f t="array" ref="L853:N853">_xlfn.TEXTSPLIT(A853,"-")</f>
        <v>US</v>
      </c>
      <c r="M853" s="22" t="str">
        <v>2739</v>
      </c>
      <c r="N853" s="22" t="str">
        <v>3678373</v>
      </c>
    </row>
    <row r="854" spans="1:14" ht="15.6">
      <c r="A854" s="4" t="s">
        <v>151</v>
      </c>
      <c r="B854" s="5">
        <v>45187.0437722555</v>
      </c>
      <c r="C854" s="5">
        <v>45192.614903503199</v>
      </c>
      <c r="D854" s="4" t="s">
        <v>114</v>
      </c>
      <c r="E854" s="4" t="s">
        <v>152</v>
      </c>
      <c r="F854" s="4" t="s">
        <v>135</v>
      </c>
      <c r="G854" s="4">
        <f t="shared" ca="1" si="39"/>
        <v>89</v>
      </c>
      <c r="H854" s="4">
        <v>2</v>
      </c>
      <c r="I854">
        <f t="shared" ca="1" si="40"/>
        <v>178</v>
      </c>
      <c r="J854">
        <f t="shared" si="41"/>
        <v>9</v>
      </c>
      <c r="K854" t="str">
        <f>VLOOKUP(E854,地区表!$A$2:$C$255,3,FALSE)</f>
        <v>华东</v>
      </c>
      <c r="L854" s="23" t="str" cm="1">
        <f t="array" ref="L854:N854">_xlfn.TEXTSPLIT(A854,"-")</f>
        <v>CN</v>
      </c>
      <c r="M854" s="22" t="str">
        <v>1905</v>
      </c>
      <c r="N854" s="22" t="str">
        <v>2932548</v>
      </c>
    </row>
    <row r="855" spans="1:14" ht="15.6">
      <c r="A855" s="4" t="s">
        <v>151</v>
      </c>
      <c r="B855" s="5">
        <v>45187.9776890711</v>
      </c>
      <c r="C855" s="5">
        <v>45192.748093042501</v>
      </c>
      <c r="D855" s="4" t="s">
        <v>114</v>
      </c>
      <c r="E855" s="4" t="s">
        <v>152</v>
      </c>
      <c r="F855" s="4" t="s">
        <v>141</v>
      </c>
      <c r="G855" s="4">
        <f t="shared" ca="1" si="39"/>
        <v>66</v>
      </c>
      <c r="H855" s="4">
        <v>4</v>
      </c>
      <c r="I855">
        <f t="shared" ca="1" si="40"/>
        <v>264</v>
      </c>
      <c r="J855">
        <f t="shared" si="41"/>
        <v>9</v>
      </c>
      <c r="K855" t="str">
        <f>VLOOKUP(E855,地区表!$A$2:$C$255,3,FALSE)</f>
        <v>华东</v>
      </c>
      <c r="L855" s="23" t="str" cm="1">
        <f t="array" ref="L855:N855">_xlfn.TEXTSPLIT(A855,"-")</f>
        <v>CN</v>
      </c>
      <c r="M855" s="22" t="str">
        <v>1905</v>
      </c>
      <c r="N855" s="22" t="str">
        <v>2932548</v>
      </c>
    </row>
    <row r="856" spans="1:14" ht="15.6">
      <c r="A856" s="4" t="s">
        <v>187</v>
      </c>
      <c r="B856" s="5">
        <v>45120.788946189001</v>
      </c>
      <c r="C856" s="5">
        <v>45125.266760031103</v>
      </c>
      <c r="D856" s="4" t="s">
        <v>94</v>
      </c>
      <c r="E856" s="4" t="s">
        <v>152</v>
      </c>
      <c r="F856" s="4" t="s">
        <v>125</v>
      </c>
      <c r="G856" s="4">
        <f t="shared" ca="1" si="39"/>
        <v>54</v>
      </c>
      <c r="H856" s="4">
        <v>14</v>
      </c>
      <c r="I856">
        <f t="shared" ca="1" si="40"/>
        <v>756</v>
      </c>
      <c r="J856">
        <f t="shared" si="41"/>
        <v>7</v>
      </c>
      <c r="K856" t="str">
        <f>VLOOKUP(E856,地区表!$A$2:$C$255,3,FALSE)</f>
        <v>华东</v>
      </c>
      <c r="L856" s="23" t="str" cm="1">
        <f t="array" ref="L856:N856">_xlfn.TEXTSPLIT(A856,"-")</f>
        <v>CN</v>
      </c>
      <c r="M856" s="22" t="str">
        <v>2569</v>
      </c>
      <c r="N856" s="22" t="str">
        <v>4126497</v>
      </c>
    </row>
    <row r="857" spans="1:14" ht="15.6">
      <c r="A857" s="4" t="s">
        <v>187</v>
      </c>
      <c r="B857" s="5">
        <v>45120.9525842</v>
      </c>
      <c r="C857" s="5">
        <v>45125.513270351403</v>
      </c>
      <c r="D857" s="4" t="s">
        <v>94</v>
      </c>
      <c r="E857" s="4" t="s">
        <v>152</v>
      </c>
      <c r="F857" s="4" t="s">
        <v>96</v>
      </c>
      <c r="G857" s="4">
        <f t="shared" ca="1" si="39"/>
        <v>99</v>
      </c>
      <c r="H857" s="4">
        <v>2</v>
      </c>
      <c r="I857">
        <f t="shared" ca="1" si="40"/>
        <v>198</v>
      </c>
      <c r="J857">
        <f t="shared" si="41"/>
        <v>7</v>
      </c>
      <c r="K857" t="str">
        <f>VLOOKUP(E857,地区表!$A$2:$C$255,3,FALSE)</f>
        <v>华东</v>
      </c>
      <c r="L857" s="23" t="str" cm="1">
        <f t="array" ref="L857:N857">_xlfn.TEXTSPLIT(A857,"-")</f>
        <v>CN</v>
      </c>
      <c r="M857" s="22" t="str">
        <v>2569</v>
      </c>
      <c r="N857" s="22" t="str">
        <v>4126497</v>
      </c>
    </row>
    <row r="858" spans="1:14" ht="15.6">
      <c r="A858" s="4" t="s">
        <v>275</v>
      </c>
      <c r="B858" s="5">
        <v>45192.864110965304</v>
      </c>
      <c r="C858" s="5">
        <v>45196.416639177303</v>
      </c>
      <c r="D858" s="4" t="s">
        <v>114</v>
      </c>
      <c r="E858" s="4" t="s">
        <v>152</v>
      </c>
      <c r="F858" s="4" t="s">
        <v>109</v>
      </c>
      <c r="G858" s="4">
        <f t="shared" ca="1" si="39"/>
        <v>81</v>
      </c>
      <c r="H858" s="4">
        <v>2</v>
      </c>
      <c r="I858">
        <f t="shared" ca="1" si="40"/>
        <v>162</v>
      </c>
      <c r="J858">
        <f t="shared" si="41"/>
        <v>9</v>
      </c>
      <c r="K858" t="str">
        <f>VLOOKUP(E858,地区表!$A$2:$C$255,3,FALSE)</f>
        <v>华东</v>
      </c>
      <c r="L858" s="23" t="str" cm="1">
        <f t="array" ref="L858:N858">_xlfn.TEXTSPLIT(A858,"-")</f>
        <v>CN</v>
      </c>
      <c r="M858" s="22" t="str">
        <v>2641</v>
      </c>
      <c r="N858" s="22" t="str">
        <v>2062805</v>
      </c>
    </row>
    <row r="859" spans="1:14" ht="15.6">
      <c r="A859" s="4" t="s">
        <v>334</v>
      </c>
      <c r="B859" s="5">
        <v>44599.0691519385</v>
      </c>
      <c r="C859" s="5">
        <v>44602.380845500003</v>
      </c>
      <c r="D859" s="4" t="s">
        <v>98</v>
      </c>
      <c r="E859" s="4" t="s">
        <v>152</v>
      </c>
      <c r="F859" s="4" t="s">
        <v>109</v>
      </c>
      <c r="G859" s="4">
        <f t="shared" ca="1" si="39"/>
        <v>99</v>
      </c>
      <c r="H859" s="4">
        <v>3</v>
      </c>
      <c r="I859">
        <f t="shared" ca="1" si="40"/>
        <v>297</v>
      </c>
      <c r="J859">
        <f t="shared" si="41"/>
        <v>2</v>
      </c>
      <c r="K859" t="str">
        <f>VLOOKUP(E859,地区表!$A$2:$C$255,3,FALSE)</f>
        <v>华东</v>
      </c>
      <c r="L859" s="23" t="str" cm="1">
        <f t="array" ref="L859:N859">_xlfn.TEXTSPLIT(A859,"-")</f>
        <v>CN</v>
      </c>
      <c r="M859" s="22" t="str">
        <v>3143</v>
      </c>
      <c r="N859" s="22" t="str">
        <v>2577941</v>
      </c>
    </row>
    <row r="860" spans="1:14" ht="15.6">
      <c r="A860" s="4" t="s">
        <v>334</v>
      </c>
      <c r="B860" s="5">
        <v>44599.613093112202</v>
      </c>
      <c r="C860" s="5">
        <v>44602.745798804601</v>
      </c>
      <c r="D860" s="4" t="s">
        <v>98</v>
      </c>
      <c r="E860" s="4" t="s">
        <v>152</v>
      </c>
      <c r="F860" s="4" t="s">
        <v>121</v>
      </c>
      <c r="G860" s="4">
        <f t="shared" ca="1" si="39"/>
        <v>64</v>
      </c>
      <c r="H860" s="4">
        <v>2</v>
      </c>
      <c r="I860">
        <f t="shared" ca="1" si="40"/>
        <v>128</v>
      </c>
      <c r="J860">
        <f t="shared" si="41"/>
        <v>2</v>
      </c>
      <c r="K860" t="str">
        <f>VLOOKUP(E860,地区表!$A$2:$C$255,3,FALSE)</f>
        <v>华东</v>
      </c>
      <c r="L860" s="23" t="str" cm="1">
        <f t="array" ref="L860:N860">_xlfn.TEXTSPLIT(A860,"-")</f>
        <v>CN</v>
      </c>
      <c r="M860" s="22" t="str">
        <v>3143</v>
      </c>
      <c r="N860" s="22" t="str">
        <v>2577941</v>
      </c>
    </row>
    <row r="861" spans="1:14" ht="15.6">
      <c r="A861" s="4" t="s">
        <v>364</v>
      </c>
      <c r="B861" s="5">
        <v>45170.486278250602</v>
      </c>
      <c r="C861" s="5">
        <v>45177.883987556699</v>
      </c>
      <c r="D861" s="4" t="s">
        <v>94</v>
      </c>
      <c r="E861" s="4" t="s">
        <v>152</v>
      </c>
      <c r="F861" s="4" t="s">
        <v>125</v>
      </c>
      <c r="G861" s="4">
        <f t="shared" ca="1" si="39"/>
        <v>51</v>
      </c>
      <c r="H861" s="4">
        <v>6</v>
      </c>
      <c r="I861">
        <f t="shared" ca="1" si="40"/>
        <v>306</v>
      </c>
      <c r="J861">
        <f t="shared" si="41"/>
        <v>9</v>
      </c>
      <c r="K861" t="str">
        <f>VLOOKUP(E861,地区表!$A$2:$C$255,3,FALSE)</f>
        <v>华东</v>
      </c>
      <c r="L861" s="23" t="str" cm="1">
        <f t="array" ref="L861:N861">_xlfn.TEXTSPLIT(A861,"-")</f>
        <v>CN</v>
      </c>
      <c r="M861" s="22" t="str">
        <v>2619</v>
      </c>
      <c r="N861" s="22" t="str">
        <v>1108121</v>
      </c>
    </row>
    <row r="862" spans="1:14" ht="15.6">
      <c r="A862" s="4" t="s">
        <v>364</v>
      </c>
      <c r="B862" s="5">
        <v>45170.673219283897</v>
      </c>
      <c r="C862" s="5">
        <v>45177.811885486299</v>
      </c>
      <c r="D862" s="4" t="s">
        <v>94</v>
      </c>
      <c r="E862" s="4" t="s">
        <v>152</v>
      </c>
      <c r="F862" s="4" t="s">
        <v>110</v>
      </c>
      <c r="G862" s="4">
        <f t="shared" ca="1" si="39"/>
        <v>24</v>
      </c>
      <c r="H862" s="4">
        <v>3</v>
      </c>
      <c r="I862">
        <f t="shared" ca="1" si="40"/>
        <v>72</v>
      </c>
      <c r="J862">
        <f t="shared" si="41"/>
        <v>9</v>
      </c>
      <c r="K862" t="str">
        <f>VLOOKUP(E862,地区表!$A$2:$C$255,3,FALSE)</f>
        <v>华东</v>
      </c>
      <c r="L862" s="23" t="str" cm="1">
        <f t="array" ref="L862:N862">_xlfn.TEXTSPLIT(A862,"-")</f>
        <v>CN</v>
      </c>
      <c r="M862" s="22" t="str">
        <v>2619</v>
      </c>
      <c r="N862" s="22" t="str">
        <v>1108121</v>
      </c>
    </row>
    <row r="863" spans="1:14" ht="15.6">
      <c r="A863" s="4" t="s">
        <v>412</v>
      </c>
      <c r="B863" s="5">
        <v>44454.575170470896</v>
      </c>
      <c r="C863" s="5">
        <v>44459.875001835302</v>
      </c>
      <c r="D863" s="4" t="s">
        <v>98</v>
      </c>
      <c r="E863" s="4" t="s">
        <v>152</v>
      </c>
      <c r="F863" s="4" t="s">
        <v>112</v>
      </c>
      <c r="G863" s="4">
        <f t="shared" ca="1" si="39"/>
        <v>27</v>
      </c>
      <c r="H863" s="4">
        <v>1</v>
      </c>
      <c r="I863">
        <f t="shared" ca="1" si="40"/>
        <v>27</v>
      </c>
      <c r="J863">
        <f t="shared" si="41"/>
        <v>9</v>
      </c>
      <c r="K863" t="str">
        <f>VLOOKUP(E863,地区表!$A$2:$C$255,3,FALSE)</f>
        <v>华东</v>
      </c>
      <c r="L863" s="23" t="str" cm="1">
        <f t="array" ref="L863:N863">_xlfn.TEXTSPLIT(A863,"-")</f>
        <v>CN</v>
      </c>
      <c r="M863" s="22" t="str">
        <v>2998</v>
      </c>
      <c r="N863" s="22" t="str">
        <v>4800042</v>
      </c>
    </row>
    <row r="864" spans="1:14" ht="15.6">
      <c r="A864" s="4" t="s">
        <v>464</v>
      </c>
      <c r="B864" s="5">
        <v>44648.590622503099</v>
      </c>
      <c r="C864" s="5">
        <v>44654.628097889101</v>
      </c>
      <c r="D864" s="4" t="s">
        <v>94</v>
      </c>
      <c r="E864" s="4" t="s">
        <v>152</v>
      </c>
      <c r="F864" s="4" t="s">
        <v>141</v>
      </c>
      <c r="G864" s="4">
        <f t="shared" ca="1" si="39"/>
        <v>16</v>
      </c>
      <c r="H864" s="4">
        <v>13</v>
      </c>
      <c r="I864">
        <f t="shared" ca="1" si="40"/>
        <v>208</v>
      </c>
      <c r="J864">
        <f t="shared" si="41"/>
        <v>3</v>
      </c>
      <c r="K864" t="str">
        <f>VLOOKUP(E864,地区表!$A$2:$C$255,3,FALSE)</f>
        <v>华东</v>
      </c>
      <c r="L864" s="23" t="str" cm="1">
        <f t="array" ref="L864:N864">_xlfn.TEXTSPLIT(A864,"-")</f>
        <v>CN</v>
      </c>
      <c r="M864" s="22" t="str">
        <v>2097</v>
      </c>
      <c r="N864" s="22" t="str">
        <v>3883671</v>
      </c>
    </row>
    <row r="865" spans="1:14" ht="15.6">
      <c r="A865" s="4" t="s">
        <v>464</v>
      </c>
      <c r="B865" s="5">
        <v>44648.455299847599</v>
      </c>
      <c r="C865" s="5">
        <v>44654.072150570799</v>
      </c>
      <c r="D865" s="4" t="s">
        <v>94</v>
      </c>
      <c r="E865" s="4" t="s">
        <v>152</v>
      </c>
      <c r="F865" s="4" t="s">
        <v>118</v>
      </c>
      <c r="G865" s="4">
        <f t="shared" ca="1" si="39"/>
        <v>31</v>
      </c>
      <c r="H865" s="4">
        <v>3</v>
      </c>
      <c r="I865">
        <f t="shared" ca="1" si="40"/>
        <v>93</v>
      </c>
      <c r="J865">
        <f t="shared" si="41"/>
        <v>3</v>
      </c>
      <c r="K865" t="str">
        <f>VLOOKUP(E865,地区表!$A$2:$C$255,3,FALSE)</f>
        <v>华东</v>
      </c>
      <c r="L865" s="23" t="str" cm="1">
        <f t="array" ref="L865:N865">_xlfn.TEXTSPLIT(A865,"-")</f>
        <v>CN</v>
      </c>
      <c r="M865" s="22" t="str">
        <v>2097</v>
      </c>
      <c r="N865" s="22" t="str">
        <v>3883671</v>
      </c>
    </row>
    <row r="866" spans="1:14" ht="15.6">
      <c r="A866" s="4" t="s">
        <v>819</v>
      </c>
      <c r="B866" s="5">
        <v>44849.627435547998</v>
      </c>
      <c r="C866" s="5">
        <v>44853.7231769344</v>
      </c>
      <c r="D866" s="4" t="s">
        <v>98</v>
      </c>
      <c r="E866" s="4" t="s">
        <v>152</v>
      </c>
      <c r="F866" s="4" t="s">
        <v>131</v>
      </c>
      <c r="G866" s="4">
        <f t="shared" ca="1" si="39"/>
        <v>44</v>
      </c>
      <c r="H866" s="4">
        <v>3</v>
      </c>
      <c r="I866">
        <f t="shared" ca="1" si="40"/>
        <v>132</v>
      </c>
      <c r="J866">
        <f t="shared" si="41"/>
        <v>10</v>
      </c>
      <c r="K866" t="str">
        <f>VLOOKUP(E866,地区表!$A$2:$C$255,3,FALSE)</f>
        <v>华东</v>
      </c>
      <c r="L866" s="23" t="str" cm="1">
        <f t="array" ref="L866:N866">_xlfn.TEXTSPLIT(A866,"-")</f>
        <v>CN</v>
      </c>
      <c r="M866" s="22" t="str">
        <v>2298</v>
      </c>
      <c r="N866" s="22" t="str">
        <v>5731370</v>
      </c>
    </row>
    <row r="867" spans="1:14" ht="15.6">
      <c r="A867" s="4" t="s">
        <v>596</v>
      </c>
      <c r="B867" s="5">
        <v>44607.306410101599</v>
      </c>
      <c r="C867" s="5">
        <v>44609.340400776302</v>
      </c>
      <c r="D867" s="4" t="s">
        <v>98</v>
      </c>
      <c r="E867" s="4" t="s">
        <v>597</v>
      </c>
      <c r="F867" s="4" t="s">
        <v>135</v>
      </c>
      <c r="G867" s="4">
        <f t="shared" ca="1" si="39"/>
        <v>18</v>
      </c>
      <c r="H867" s="4">
        <v>2</v>
      </c>
      <c r="I867">
        <f t="shared" ca="1" si="40"/>
        <v>36</v>
      </c>
      <c r="J867">
        <f t="shared" si="41"/>
        <v>2</v>
      </c>
      <c r="K867" t="str">
        <f>VLOOKUP(E867,地区表!$A$2:$C$255,3,FALSE)</f>
        <v>华东</v>
      </c>
      <c r="L867" s="23" t="str" cm="1">
        <f t="array" ref="L867:N867">_xlfn.TEXTSPLIT(A867,"-")</f>
        <v>CN</v>
      </c>
      <c r="M867" s="22" t="str">
        <v>3151</v>
      </c>
      <c r="N867" s="22" t="str">
        <v>2211607</v>
      </c>
    </row>
    <row r="868" spans="1:14" ht="15.6">
      <c r="A868" s="4" t="s">
        <v>596</v>
      </c>
      <c r="B868" s="5">
        <v>44607.950655807901</v>
      </c>
      <c r="C868" s="5">
        <v>44609.836208246197</v>
      </c>
      <c r="D868" s="4" t="s">
        <v>98</v>
      </c>
      <c r="E868" s="4" t="s">
        <v>597</v>
      </c>
      <c r="F868" s="4" t="s">
        <v>135</v>
      </c>
      <c r="G868" s="4">
        <f t="shared" ca="1" si="39"/>
        <v>45</v>
      </c>
      <c r="H868" s="4">
        <v>2</v>
      </c>
      <c r="I868">
        <f t="shared" ca="1" si="40"/>
        <v>90</v>
      </c>
      <c r="J868">
        <f t="shared" si="41"/>
        <v>2</v>
      </c>
      <c r="K868" t="str">
        <f>VLOOKUP(E868,地区表!$A$2:$C$255,3,FALSE)</f>
        <v>华东</v>
      </c>
      <c r="L868" s="23" t="str" cm="1">
        <f t="array" ref="L868:N868">_xlfn.TEXTSPLIT(A868,"-")</f>
        <v>CN</v>
      </c>
      <c r="M868" s="22" t="str">
        <v>3151</v>
      </c>
      <c r="N868" s="22" t="str">
        <v>2211607</v>
      </c>
    </row>
    <row r="869" spans="1:14" ht="15.6">
      <c r="A869" s="4" t="s">
        <v>801</v>
      </c>
      <c r="B869" s="5">
        <v>45215.2284633319</v>
      </c>
      <c r="C869" s="5">
        <v>45220.7379374007</v>
      </c>
      <c r="D869" s="4" t="s">
        <v>98</v>
      </c>
      <c r="E869" s="4" t="s">
        <v>597</v>
      </c>
      <c r="F869" s="4" t="s">
        <v>112</v>
      </c>
      <c r="G869" s="4">
        <f t="shared" ca="1" si="39"/>
        <v>71</v>
      </c>
      <c r="H869" s="4">
        <v>2</v>
      </c>
      <c r="I869">
        <f t="shared" ca="1" si="40"/>
        <v>142</v>
      </c>
      <c r="J869">
        <f t="shared" si="41"/>
        <v>10</v>
      </c>
      <c r="K869" t="str">
        <f>VLOOKUP(E869,地区表!$A$2:$C$255,3,FALSE)</f>
        <v>华东</v>
      </c>
      <c r="L869" s="23" t="str" cm="1">
        <f t="array" ref="L869:N869">_xlfn.TEXTSPLIT(A869,"-")</f>
        <v>CN</v>
      </c>
      <c r="M869" s="22" t="str">
        <v>1933</v>
      </c>
      <c r="N869" s="22" t="str">
        <v>4870971</v>
      </c>
    </row>
    <row r="870" spans="1:14" ht="15.6">
      <c r="A870" s="4" t="s">
        <v>801</v>
      </c>
      <c r="B870" s="5">
        <v>45215.3111691991</v>
      </c>
      <c r="C870" s="5">
        <v>45220.290418771197</v>
      </c>
      <c r="D870" s="4" t="s">
        <v>98</v>
      </c>
      <c r="E870" s="4" t="s">
        <v>597</v>
      </c>
      <c r="F870" s="4" t="s">
        <v>121</v>
      </c>
      <c r="G870" s="4">
        <f t="shared" ca="1" si="39"/>
        <v>36</v>
      </c>
      <c r="H870" s="4">
        <v>3</v>
      </c>
      <c r="I870">
        <f t="shared" ca="1" si="40"/>
        <v>108</v>
      </c>
      <c r="J870">
        <f t="shared" si="41"/>
        <v>10</v>
      </c>
      <c r="K870" t="str">
        <f>VLOOKUP(E870,地区表!$A$2:$C$255,3,FALSE)</f>
        <v>华东</v>
      </c>
      <c r="L870" s="23" t="str" cm="1">
        <f t="array" ref="L870:N870">_xlfn.TEXTSPLIT(A870,"-")</f>
        <v>CN</v>
      </c>
      <c r="M870" s="22" t="str">
        <v>1933</v>
      </c>
      <c r="N870" s="22" t="str">
        <v>4870971</v>
      </c>
    </row>
    <row r="871" spans="1:14" ht="15.6">
      <c r="A871" s="4" t="s">
        <v>202</v>
      </c>
      <c r="B871" s="5">
        <v>44635.549496347398</v>
      </c>
      <c r="C871" s="5">
        <v>44639.623431211803</v>
      </c>
      <c r="D871" s="4" t="s">
        <v>94</v>
      </c>
      <c r="E871" s="4" t="s">
        <v>203</v>
      </c>
      <c r="F871" s="4" t="s">
        <v>109</v>
      </c>
      <c r="G871" s="4">
        <f t="shared" ca="1" si="39"/>
        <v>87</v>
      </c>
      <c r="H871" s="4">
        <v>4</v>
      </c>
      <c r="I871">
        <f t="shared" ca="1" si="40"/>
        <v>348</v>
      </c>
      <c r="J871">
        <f t="shared" si="41"/>
        <v>3</v>
      </c>
      <c r="K871" t="str">
        <f>VLOOKUP(E871,地区表!$A$2:$C$255,3,FALSE)</f>
        <v>中南</v>
      </c>
      <c r="L871" s="23" t="str" cm="1">
        <f t="array" ref="L871:N871">_xlfn.TEXTSPLIT(A871,"-")</f>
        <v>CN</v>
      </c>
      <c r="M871" s="22" t="str">
        <v>3179</v>
      </c>
      <c r="N871" s="22" t="str">
        <v>5834341</v>
      </c>
    </row>
    <row r="872" spans="1:14" ht="15.6">
      <c r="A872" s="4" t="s">
        <v>594</v>
      </c>
      <c r="B872" s="5">
        <v>45022.787213393203</v>
      </c>
      <c r="C872" s="5">
        <v>45027.014902379</v>
      </c>
      <c r="D872" s="4" t="s">
        <v>94</v>
      </c>
      <c r="E872" s="4" t="s">
        <v>203</v>
      </c>
      <c r="F872" s="4" t="s">
        <v>100</v>
      </c>
      <c r="G872" s="4">
        <f t="shared" ca="1" si="39"/>
        <v>44</v>
      </c>
      <c r="H872" s="4">
        <v>3</v>
      </c>
      <c r="I872">
        <f t="shared" ca="1" si="40"/>
        <v>132</v>
      </c>
      <c r="J872">
        <f t="shared" si="41"/>
        <v>4</v>
      </c>
      <c r="K872" t="str">
        <f>VLOOKUP(E872,地区表!$A$2:$C$255,3,FALSE)</f>
        <v>中南</v>
      </c>
      <c r="L872" s="23" t="str" cm="1">
        <f t="array" ref="L872:N872">_xlfn.TEXTSPLIT(A872,"-")</f>
        <v>CN</v>
      </c>
      <c r="M872" s="22" t="str">
        <v>2471</v>
      </c>
      <c r="N872" s="22" t="str">
        <v>5450028</v>
      </c>
    </row>
    <row r="873" spans="1:14" ht="15.6">
      <c r="A873" s="4" t="s">
        <v>594</v>
      </c>
      <c r="B873" s="5">
        <v>45022.398774796296</v>
      </c>
      <c r="C873" s="5">
        <v>45027.718431597801</v>
      </c>
      <c r="D873" s="4" t="s">
        <v>94</v>
      </c>
      <c r="E873" s="4" t="s">
        <v>203</v>
      </c>
      <c r="F873" s="4" t="s">
        <v>125</v>
      </c>
      <c r="G873" s="4">
        <f t="shared" ca="1" si="39"/>
        <v>26</v>
      </c>
      <c r="H873" s="4">
        <v>7</v>
      </c>
      <c r="I873">
        <f t="shared" ca="1" si="40"/>
        <v>182</v>
      </c>
      <c r="J873">
        <f t="shared" si="41"/>
        <v>4</v>
      </c>
      <c r="K873" t="str">
        <f>VLOOKUP(E873,地区表!$A$2:$C$255,3,FALSE)</f>
        <v>中南</v>
      </c>
      <c r="L873" s="23" t="str" cm="1">
        <f t="array" ref="L873:N873">_xlfn.TEXTSPLIT(A873,"-")</f>
        <v>CN</v>
      </c>
      <c r="M873" s="22" t="str">
        <v>2471</v>
      </c>
      <c r="N873" s="22" t="str">
        <v>5450028</v>
      </c>
    </row>
    <row r="874" spans="1:14" ht="15.6">
      <c r="A874" s="4" t="s">
        <v>796</v>
      </c>
      <c r="B874" s="5">
        <v>45289.5623729621</v>
      </c>
      <c r="C874" s="5">
        <v>45291.112130632901</v>
      </c>
      <c r="D874" s="4" t="s">
        <v>94</v>
      </c>
      <c r="E874" s="4" t="s">
        <v>203</v>
      </c>
      <c r="F874" s="4" t="s">
        <v>130</v>
      </c>
      <c r="G874" s="4">
        <f t="shared" ca="1" si="39"/>
        <v>57</v>
      </c>
      <c r="H874" s="4">
        <v>5</v>
      </c>
      <c r="I874">
        <f t="shared" ca="1" si="40"/>
        <v>285</v>
      </c>
      <c r="J874">
        <f t="shared" si="41"/>
        <v>12</v>
      </c>
      <c r="K874" t="str">
        <f>VLOOKUP(E874,地区表!$A$2:$C$255,3,FALSE)</f>
        <v>中南</v>
      </c>
      <c r="L874" s="23" t="str" cm="1">
        <f t="array" ref="L874:N874">_xlfn.TEXTSPLIT(A874,"-")</f>
        <v>CN</v>
      </c>
      <c r="M874" s="22" t="str">
        <v>2738</v>
      </c>
      <c r="N874" s="22" t="str">
        <v>1597520</v>
      </c>
    </row>
    <row r="875" spans="1:14" ht="15.6">
      <c r="A875" s="4" t="s">
        <v>180</v>
      </c>
      <c r="B875" s="5">
        <v>44943.657569695803</v>
      </c>
      <c r="C875" s="5">
        <v>44946.710449909799</v>
      </c>
      <c r="D875" s="4" t="s">
        <v>114</v>
      </c>
      <c r="E875" s="4" t="s">
        <v>181</v>
      </c>
      <c r="F875" s="4" t="s">
        <v>100</v>
      </c>
      <c r="G875" s="4">
        <f t="shared" ca="1" si="39"/>
        <v>84</v>
      </c>
      <c r="H875" s="4">
        <v>5</v>
      </c>
      <c r="I875">
        <f t="shared" ca="1" si="40"/>
        <v>420</v>
      </c>
      <c r="J875">
        <f t="shared" si="41"/>
        <v>1</v>
      </c>
      <c r="K875" t="str">
        <f>VLOOKUP(E875,地区表!$A$2:$C$255,3,FALSE)</f>
        <v>华北</v>
      </c>
      <c r="L875" s="23" t="str" cm="1">
        <f t="array" ref="L875:N875">_xlfn.TEXTSPLIT(A875,"-")</f>
        <v>CN</v>
      </c>
      <c r="M875" s="22" t="str">
        <v>2392</v>
      </c>
      <c r="N875" s="22" t="str">
        <v>5717181</v>
      </c>
    </row>
    <row r="876" spans="1:14" ht="15.6">
      <c r="A876" s="4" t="s">
        <v>180</v>
      </c>
      <c r="B876" s="5">
        <v>44943.757039059201</v>
      </c>
      <c r="C876" s="5">
        <v>44946.738106301098</v>
      </c>
      <c r="D876" s="4" t="s">
        <v>114</v>
      </c>
      <c r="E876" s="4" t="s">
        <v>181</v>
      </c>
      <c r="F876" s="4" t="s">
        <v>130</v>
      </c>
      <c r="G876" s="4">
        <f t="shared" ca="1" si="39"/>
        <v>83</v>
      </c>
      <c r="H876" s="4">
        <v>1</v>
      </c>
      <c r="I876">
        <f t="shared" ca="1" si="40"/>
        <v>83</v>
      </c>
      <c r="J876">
        <f t="shared" si="41"/>
        <v>1</v>
      </c>
      <c r="K876" t="str">
        <f>VLOOKUP(E876,地区表!$A$2:$C$255,3,FALSE)</f>
        <v>华北</v>
      </c>
      <c r="L876" s="23" t="str" cm="1">
        <f t="array" ref="L876:N876">_xlfn.TEXTSPLIT(A876,"-")</f>
        <v>CN</v>
      </c>
      <c r="M876" s="22" t="str">
        <v>2392</v>
      </c>
      <c r="N876" s="22" t="str">
        <v>5717181</v>
      </c>
    </row>
    <row r="877" spans="1:14" ht="15.6">
      <c r="A877" s="4" t="s">
        <v>214</v>
      </c>
      <c r="B877" s="5">
        <v>45267.4197769487</v>
      </c>
      <c r="C877" s="5">
        <v>45269.036132127701</v>
      </c>
      <c r="D877" s="4" t="s">
        <v>94</v>
      </c>
      <c r="E877" s="4" t="s">
        <v>181</v>
      </c>
      <c r="F877" s="4" t="s">
        <v>101</v>
      </c>
      <c r="G877" s="4">
        <f t="shared" ca="1" si="39"/>
        <v>65</v>
      </c>
      <c r="H877" s="4">
        <v>3</v>
      </c>
      <c r="I877">
        <f t="shared" ca="1" si="40"/>
        <v>195</v>
      </c>
      <c r="J877">
        <f t="shared" si="41"/>
        <v>12</v>
      </c>
      <c r="K877" t="str">
        <f>VLOOKUP(E877,地区表!$A$2:$C$255,3,FALSE)</f>
        <v>华北</v>
      </c>
      <c r="L877" s="23" t="str" cm="1">
        <f t="array" ref="L877:N877">_xlfn.TEXTSPLIT(A877,"-")</f>
        <v>CN</v>
      </c>
      <c r="M877" s="22" t="str">
        <v>2716</v>
      </c>
      <c r="N877" s="22" t="str">
        <v>3984376</v>
      </c>
    </row>
    <row r="878" spans="1:14" ht="15.6">
      <c r="A878" s="4" t="s">
        <v>350</v>
      </c>
      <c r="B878" s="5">
        <v>44608.046030897101</v>
      </c>
      <c r="C878" s="5">
        <v>44612.055019433901</v>
      </c>
      <c r="D878" s="4" t="s">
        <v>98</v>
      </c>
      <c r="E878" s="4" t="s">
        <v>181</v>
      </c>
      <c r="F878" s="4" t="s">
        <v>112</v>
      </c>
      <c r="G878" s="4">
        <f t="shared" ca="1" si="39"/>
        <v>66</v>
      </c>
      <c r="H878" s="4">
        <v>2</v>
      </c>
      <c r="I878">
        <f t="shared" ca="1" si="40"/>
        <v>132</v>
      </c>
      <c r="J878">
        <f t="shared" si="41"/>
        <v>2</v>
      </c>
      <c r="K878" t="str">
        <f>VLOOKUP(E878,地区表!$A$2:$C$255,3,FALSE)</f>
        <v>华北</v>
      </c>
      <c r="L878" s="23" t="str" cm="1">
        <f t="array" ref="L878:N878">_xlfn.TEXTSPLIT(A878,"-")</f>
        <v>CN</v>
      </c>
      <c r="M878" s="22" t="str">
        <v>3152</v>
      </c>
      <c r="N878" s="22" t="str">
        <v>1267778</v>
      </c>
    </row>
    <row r="879" spans="1:14" ht="15.6">
      <c r="A879" s="4" t="s">
        <v>350</v>
      </c>
      <c r="B879" s="5">
        <v>44608.056999300803</v>
      </c>
      <c r="C879" s="5">
        <v>44612.638781105103</v>
      </c>
      <c r="D879" s="4" t="s">
        <v>98</v>
      </c>
      <c r="E879" s="4" t="s">
        <v>181</v>
      </c>
      <c r="F879" s="4" t="s">
        <v>130</v>
      </c>
      <c r="G879" s="4">
        <f t="shared" ca="1" si="39"/>
        <v>41</v>
      </c>
      <c r="H879" s="4">
        <v>2</v>
      </c>
      <c r="I879">
        <f t="shared" ca="1" si="40"/>
        <v>82</v>
      </c>
      <c r="J879">
        <f t="shared" si="41"/>
        <v>2</v>
      </c>
      <c r="K879" t="str">
        <f>VLOOKUP(E879,地区表!$A$2:$C$255,3,FALSE)</f>
        <v>华北</v>
      </c>
      <c r="L879" s="23" t="str" cm="1">
        <f t="array" ref="L879:N879">_xlfn.TEXTSPLIT(A879,"-")</f>
        <v>CN</v>
      </c>
      <c r="M879" s="22" t="str">
        <v>3152</v>
      </c>
      <c r="N879" s="22" t="str">
        <v>1267778</v>
      </c>
    </row>
    <row r="880" spans="1:14" ht="15.6">
      <c r="A880" s="4" t="s">
        <v>383</v>
      </c>
      <c r="B880" s="5">
        <v>44466.0162827432</v>
      </c>
      <c r="C880" s="5">
        <v>44471.363192394798</v>
      </c>
      <c r="D880" s="4" t="s">
        <v>98</v>
      </c>
      <c r="E880" s="4" t="s">
        <v>181</v>
      </c>
      <c r="F880" s="4" t="s">
        <v>111</v>
      </c>
      <c r="G880" s="4">
        <f t="shared" ca="1" si="39"/>
        <v>17</v>
      </c>
      <c r="H880" s="4">
        <v>6</v>
      </c>
      <c r="I880">
        <f t="shared" ca="1" si="40"/>
        <v>102</v>
      </c>
      <c r="J880">
        <f t="shared" si="41"/>
        <v>9</v>
      </c>
      <c r="K880" t="str">
        <f>VLOOKUP(E880,地区表!$A$2:$C$255,3,FALSE)</f>
        <v>华北</v>
      </c>
      <c r="L880" s="23" t="str" cm="1">
        <f t="array" ref="L880:N880">_xlfn.TEXTSPLIT(A880,"-")</f>
        <v>CN</v>
      </c>
      <c r="M880" s="22" t="str">
        <v>3010</v>
      </c>
      <c r="N880" s="22" t="str">
        <v>4833083</v>
      </c>
    </row>
    <row r="881" spans="1:14" ht="15.6">
      <c r="A881" s="4" t="s">
        <v>565</v>
      </c>
      <c r="B881" s="5">
        <v>44653.607911897998</v>
      </c>
      <c r="C881" s="5">
        <v>44657.872130992</v>
      </c>
      <c r="D881" s="4" t="s">
        <v>94</v>
      </c>
      <c r="E881" s="4" t="s">
        <v>181</v>
      </c>
      <c r="F881" s="4" t="s">
        <v>112</v>
      </c>
      <c r="G881" s="4">
        <f t="shared" ca="1" si="39"/>
        <v>11</v>
      </c>
      <c r="H881" s="4">
        <v>6</v>
      </c>
      <c r="I881">
        <f t="shared" ca="1" si="40"/>
        <v>66</v>
      </c>
      <c r="J881">
        <f t="shared" si="41"/>
        <v>4</v>
      </c>
      <c r="K881" t="str">
        <f>VLOOKUP(E881,地区表!$A$2:$C$255,3,FALSE)</f>
        <v>华北</v>
      </c>
      <c r="L881" s="23" t="str" cm="1">
        <f t="array" ref="L881:N881">_xlfn.TEXTSPLIT(A881,"-")</f>
        <v>CN</v>
      </c>
      <c r="M881" s="22" t="str">
        <v>3197</v>
      </c>
      <c r="N881" s="22" t="str">
        <v>5844177</v>
      </c>
    </row>
    <row r="882" spans="1:14" ht="15.6">
      <c r="A882" s="4" t="s">
        <v>565</v>
      </c>
      <c r="B882" s="5">
        <v>44653.046505159698</v>
      </c>
      <c r="C882" s="5">
        <v>44657.833644255101</v>
      </c>
      <c r="D882" s="4" t="s">
        <v>94</v>
      </c>
      <c r="E882" s="4" t="s">
        <v>181</v>
      </c>
      <c r="F882" s="4" t="s">
        <v>101</v>
      </c>
      <c r="G882" s="4">
        <f t="shared" ca="1" si="39"/>
        <v>98</v>
      </c>
      <c r="H882" s="4">
        <v>2</v>
      </c>
      <c r="I882">
        <f t="shared" ca="1" si="40"/>
        <v>196</v>
      </c>
      <c r="J882">
        <f t="shared" si="41"/>
        <v>4</v>
      </c>
      <c r="K882" t="str">
        <f>VLOOKUP(E882,地区表!$A$2:$C$255,3,FALSE)</f>
        <v>华北</v>
      </c>
      <c r="L882" s="23" t="str" cm="1">
        <f t="array" ref="L882:N882">_xlfn.TEXTSPLIT(A882,"-")</f>
        <v>CN</v>
      </c>
      <c r="M882" s="22" t="str">
        <v>3197</v>
      </c>
      <c r="N882" s="22" t="str">
        <v>5844177</v>
      </c>
    </row>
    <row r="883" spans="1:14" ht="15.6">
      <c r="A883" s="4" t="s">
        <v>591</v>
      </c>
      <c r="B883" s="5">
        <v>44948.024195977101</v>
      </c>
      <c r="C883" s="5">
        <v>44950.350035289797</v>
      </c>
      <c r="D883" s="4" t="s">
        <v>94</v>
      </c>
      <c r="E883" s="4" t="s">
        <v>181</v>
      </c>
      <c r="F883" s="4" t="s">
        <v>135</v>
      </c>
      <c r="G883" s="4">
        <f t="shared" ca="1" si="39"/>
        <v>68</v>
      </c>
      <c r="H883" s="4">
        <v>5</v>
      </c>
      <c r="I883">
        <f t="shared" ca="1" si="40"/>
        <v>340</v>
      </c>
      <c r="J883">
        <f t="shared" si="41"/>
        <v>1</v>
      </c>
      <c r="K883" t="str">
        <f>VLOOKUP(E883,地区表!$A$2:$C$255,3,FALSE)</f>
        <v>华北</v>
      </c>
      <c r="L883" s="23" t="str" cm="1">
        <f t="array" ref="L883:N883">_xlfn.TEXTSPLIT(A883,"-")</f>
        <v>CN</v>
      </c>
      <c r="M883" s="22" t="str">
        <v>2397</v>
      </c>
      <c r="N883" s="22" t="str">
        <v>3378788</v>
      </c>
    </row>
    <row r="884" spans="1:14" ht="15.6">
      <c r="A884" s="4" t="s">
        <v>591</v>
      </c>
      <c r="B884" s="5">
        <v>44948.744470687903</v>
      </c>
      <c r="C884" s="5">
        <v>44950.114592657999</v>
      </c>
      <c r="D884" s="4" t="s">
        <v>94</v>
      </c>
      <c r="E884" s="4" t="s">
        <v>181</v>
      </c>
      <c r="F884" s="4" t="s">
        <v>135</v>
      </c>
      <c r="G884" s="4">
        <f t="shared" ca="1" si="39"/>
        <v>98</v>
      </c>
      <c r="H884" s="4">
        <v>2</v>
      </c>
      <c r="I884">
        <f t="shared" ca="1" si="40"/>
        <v>196</v>
      </c>
      <c r="J884">
        <f t="shared" si="41"/>
        <v>1</v>
      </c>
      <c r="K884" t="str">
        <f>VLOOKUP(E884,地区表!$A$2:$C$255,3,FALSE)</f>
        <v>华北</v>
      </c>
      <c r="L884" s="23" t="str" cm="1">
        <f t="array" ref="L884:N884">_xlfn.TEXTSPLIT(A884,"-")</f>
        <v>CN</v>
      </c>
      <c r="M884" s="22" t="str">
        <v>2397</v>
      </c>
      <c r="N884" s="22" t="str">
        <v>3378788</v>
      </c>
    </row>
    <row r="885" spans="1:14" ht="15.6">
      <c r="A885" s="4" t="s">
        <v>591</v>
      </c>
      <c r="B885" s="5">
        <v>44948.7475035077</v>
      </c>
      <c r="C885" s="5">
        <v>44950.433271235801</v>
      </c>
      <c r="D885" s="4" t="s">
        <v>94</v>
      </c>
      <c r="E885" s="4" t="s">
        <v>181</v>
      </c>
      <c r="F885" s="4" t="s">
        <v>122</v>
      </c>
      <c r="G885" s="4">
        <f t="shared" ca="1" si="39"/>
        <v>56</v>
      </c>
      <c r="H885" s="4">
        <v>2</v>
      </c>
      <c r="I885">
        <f t="shared" ca="1" si="40"/>
        <v>112</v>
      </c>
      <c r="J885">
        <f t="shared" si="41"/>
        <v>1</v>
      </c>
      <c r="K885" t="str">
        <f>VLOOKUP(E885,地区表!$A$2:$C$255,3,FALSE)</f>
        <v>华北</v>
      </c>
      <c r="L885" s="23" t="str" cm="1">
        <f t="array" ref="L885:N885">_xlfn.TEXTSPLIT(A885,"-")</f>
        <v>CN</v>
      </c>
      <c r="M885" s="22" t="str">
        <v>2397</v>
      </c>
      <c r="N885" s="22" t="str">
        <v>3378788</v>
      </c>
    </row>
    <row r="886" spans="1:14" ht="15.6">
      <c r="A886" s="4" t="s">
        <v>631</v>
      </c>
      <c r="B886" s="5">
        <v>44503.928920485698</v>
      </c>
      <c r="C886" s="5">
        <v>44505.350264061199</v>
      </c>
      <c r="D886" s="4" t="s">
        <v>98</v>
      </c>
      <c r="E886" s="4" t="s">
        <v>181</v>
      </c>
      <c r="F886" s="4" t="s">
        <v>141</v>
      </c>
      <c r="G886" s="4">
        <f t="shared" ca="1" si="39"/>
        <v>21</v>
      </c>
      <c r="H886" s="4">
        <v>4</v>
      </c>
      <c r="I886">
        <f t="shared" ca="1" si="40"/>
        <v>84</v>
      </c>
      <c r="J886">
        <f t="shared" si="41"/>
        <v>11</v>
      </c>
      <c r="K886" t="str">
        <f>VLOOKUP(E886,地区表!$A$2:$C$255,3,FALSE)</f>
        <v>华北</v>
      </c>
      <c r="L886" s="23" t="str" cm="1">
        <f t="array" ref="L886:N886">_xlfn.TEXTSPLIT(A886,"-")</f>
        <v>CN</v>
      </c>
      <c r="M886" s="22" t="str">
        <v>3047</v>
      </c>
      <c r="N886" s="22" t="str">
        <v>3367931</v>
      </c>
    </row>
    <row r="887" spans="1:14" ht="15.6">
      <c r="A887" s="4" t="s">
        <v>285</v>
      </c>
      <c r="B887" s="5">
        <v>44679.696778137702</v>
      </c>
      <c r="C887" s="5">
        <v>44684.189285479297</v>
      </c>
      <c r="D887" s="4" t="s">
        <v>114</v>
      </c>
      <c r="E887" s="4" t="s">
        <v>286</v>
      </c>
      <c r="F887" s="4" t="s">
        <v>112</v>
      </c>
      <c r="G887" s="4">
        <f t="shared" ca="1" si="39"/>
        <v>86</v>
      </c>
      <c r="H887" s="4">
        <v>3</v>
      </c>
      <c r="I887">
        <f t="shared" ca="1" si="40"/>
        <v>258</v>
      </c>
      <c r="J887">
        <f t="shared" si="41"/>
        <v>4</v>
      </c>
      <c r="K887" t="str">
        <f>VLOOKUP(E887,地区表!$A$2:$C$255,3,FALSE)</f>
        <v>华北</v>
      </c>
      <c r="L887" s="23" t="str" cm="1">
        <f t="array" ref="L887:N887">_xlfn.TEXTSPLIT(A887,"-")</f>
        <v>US</v>
      </c>
      <c r="M887" s="22" t="str">
        <v>2128</v>
      </c>
      <c r="N887" s="22" t="str">
        <v>1900777</v>
      </c>
    </row>
    <row r="888" spans="1:14" ht="15.6">
      <c r="A888" s="4" t="s">
        <v>285</v>
      </c>
      <c r="B888" s="5">
        <v>44679.052745105597</v>
      </c>
      <c r="C888" s="5">
        <v>44684.010906980802</v>
      </c>
      <c r="D888" s="4" t="s">
        <v>114</v>
      </c>
      <c r="E888" s="4" t="s">
        <v>286</v>
      </c>
      <c r="F888" s="4" t="s">
        <v>101</v>
      </c>
      <c r="G888" s="4">
        <f t="shared" ca="1" si="39"/>
        <v>54</v>
      </c>
      <c r="H888" s="4">
        <v>3</v>
      </c>
      <c r="I888">
        <f t="shared" ca="1" si="40"/>
        <v>162</v>
      </c>
      <c r="J888">
        <f t="shared" si="41"/>
        <v>4</v>
      </c>
      <c r="K888" t="str">
        <f>VLOOKUP(E888,地区表!$A$2:$C$255,3,FALSE)</f>
        <v>华北</v>
      </c>
      <c r="L888" s="23" t="str" cm="1">
        <f t="array" ref="L888:N888">_xlfn.TEXTSPLIT(A888,"-")</f>
        <v>US</v>
      </c>
      <c r="M888" s="22" t="str">
        <v>2128</v>
      </c>
      <c r="N888" s="22" t="str">
        <v>1900777</v>
      </c>
    </row>
    <row r="889" spans="1:14" ht="15.6">
      <c r="A889" s="4" t="s">
        <v>285</v>
      </c>
      <c r="B889" s="5">
        <v>44679.984409883698</v>
      </c>
      <c r="C889" s="5">
        <v>44684.769566257601</v>
      </c>
      <c r="D889" s="4" t="s">
        <v>114</v>
      </c>
      <c r="E889" s="4" t="s">
        <v>286</v>
      </c>
      <c r="F889" s="4" t="s">
        <v>135</v>
      </c>
      <c r="G889" s="4">
        <f t="shared" ca="1" si="39"/>
        <v>12</v>
      </c>
      <c r="H889" s="4">
        <v>2</v>
      </c>
      <c r="I889">
        <f t="shared" ca="1" si="40"/>
        <v>24</v>
      </c>
      <c r="J889">
        <f t="shared" si="41"/>
        <v>4</v>
      </c>
      <c r="K889" t="str">
        <f>VLOOKUP(E889,地区表!$A$2:$C$255,3,FALSE)</f>
        <v>华北</v>
      </c>
      <c r="L889" s="23" t="str" cm="1">
        <f t="array" ref="L889:N889">_xlfn.TEXTSPLIT(A889,"-")</f>
        <v>US</v>
      </c>
      <c r="M889" s="22" t="str">
        <v>2128</v>
      </c>
      <c r="N889" s="22" t="str">
        <v>1900777</v>
      </c>
    </row>
    <row r="890" spans="1:14" ht="15.6">
      <c r="A890" s="4" t="s">
        <v>285</v>
      </c>
      <c r="B890" s="5">
        <v>44679.343824759701</v>
      </c>
      <c r="C890" s="5">
        <v>44684.0251744048</v>
      </c>
      <c r="D890" s="4" t="s">
        <v>114</v>
      </c>
      <c r="E890" s="4" t="s">
        <v>286</v>
      </c>
      <c r="F890" s="4" t="s">
        <v>135</v>
      </c>
      <c r="G890" s="4">
        <f t="shared" ca="1" si="39"/>
        <v>60</v>
      </c>
      <c r="H890" s="4">
        <v>5</v>
      </c>
      <c r="I890">
        <f t="shared" ca="1" si="40"/>
        <v>300</v>
      </c>
      <c r="J890">
        <f t="shared" si="41"/>
        <v>4</v>
      </c>
      <c r="K890" t="str">
        <f>VLOOKUP(E890,地区表!$A$2:$C$255,3,FALSE)</f>
        <v>华北</v>
      </c>
      <c r="L890" s="23" t="str" cm="1">
        <f t="array" ref="L890:N890">_xlfn.TEXTSPLIT(A890,"-")</f>
        <v>US</v>
      </c>
      <c r="M890" s="22" t="str">
        <v>2128</v>
      </c>
      <c r="N890" s="22" t="str">
        <v>1900777</v>
      </c>
    </row>
    <row r="891" spans="1:14" ht="15.6">
      <c r="A891" s="4" t="s">
        <v>285</v>
      </c>
      <c r="B891" s="5">
        <v>44679.054136006802</v>
      </c>
      <c r="C891" s="5">
        <v>44684.3373692389</v>
      </c>
      <c r="D891" s="4" t="s">
        <v>114</v>
      </c>
      <c r="E891" s="4" t="s">
        <v>286</v>
      </c>
      <c r="F891" s="4" t="s">
        <v>100</v>
      </c>
      <c r="G891" s="4">
        <f t="shared" ca="1" si="39"/>
        <v>11</v>
      </c>
      <c r="H891" s="4">
        <v>5</v>
      </c>
      <c r="I891">
        <f t="shared" ca="1" si="40"/>
        <v>55</v>
      </c>
      <c r="J891">
        <f t="shared" si="41"/>
        <v>4</v>
      </c>
      <c r="K891" t="str">
        <f>VLOOKUP(E891,地区表!$A$2:$C$255,3,FALSE)</f>
        <v>华北</v>
      </c>
      <c r="L891" s="23" t="str" cm="1">
        <f t="array" ref="L891:N891">_xlfn.TEXTSPLIT(A891,"-")</f>
        <v>US</v>
      </c>
      <c r="M891" s="22" t="str">
        <v>2128</v>
      </c>
      <c r="N891" s="22" t="str">
        <v>1900777</v>
      </c>
    </row>
    <row r="892" spans="1:14" ht="15.6">
      <c r="A892" s="4" t="s">
        <v>285</v>
      </c>
      <c r="B892" s="5">
        <v>44679.952585411498</v>
      </c>
      <c r="C892" s="5">
        <v>44684.954955392401</v>
      </c>
      <c r="D892" s="4" t="s">
        <v>114</v>
      </c>
      <c r="E892" s="4" t="s">
        <v>286</v>
      </c>
      <c r="F892" s="4" t="s">
        <v>109</v>
      </c>
      <c r="G892" s="4">
        <f t="shared" ca="1" si="39"/>
        <v>65</v>
      </c>
      <c r="H892" s="4">
        <v>1</v>
      </c>
      <c r="I892">
        <f t="shared" ca="1" si="40"/>
        <v>65</v>
      </c>
      <c r="J892">
        <f t="shared" si="41"/>
        <v>4</v>
      </c>
      <c r="K892" t="str">
        <f>VLOOKUP(E892,地区表!$A$2:$C$255,3,FALSE)</f>
        <v>华北</v>
      </c>
      <c r="L892" s="23" t="str" cm="1">
        <f t="array" ref="L892:N892">_xlfn.TEXTSPLIT(A892,"-")</f>
        <v>US</v>
      </c>
      <c r="M892" s="22" t="str">
        <v>2128</v>
      </c>
      <c r="N892" s="22" t="str">
        <v>1900777</v>
      </c>
    </row>
    <row r="893" spans="1:14" ht="15.6">
      <c r="A893" s="4" t="s">
        <v>401</v>
      </c>
      <c r="B893" s="5">
        <v>45065.933352296401</v>
      </c>
      <c r="C893" s="5">
        <v>45070.288141358396</v>
      </c>
      <c r="D893" s="4" t="s">
        <v>114</v>
      </c>
      <c r="E893" s="4" t="s">
        <v>286</v>
      </c>
      <c r="F893" s="4" t="s">
        <v>101</v>
      </c>
      <c r="G893" s="4">
        <f t="shared" ca="1" si="39"/>
        <v>57</v>
      </c>
      <c r="H893" s="4">
        <v>3</v>
      </c>
      <c r="I893">
        <f t="shared" ca="1" si="40"/>
        <v>171</v>
      </c>
      <c r="J893">
        <f t="shared" si="41"/>
        <v>5</v>
      </c>
      <c r="K893" t="str">
        <f>VLOOKUP(E893,地区表!$A$2:$C$255,3,FALSE)</f>
        <v>华北</v>
      </c>
      <c r="L893" s="23" t="str" cm="1">
        <f t="array" ref="L893:N893">_xlfn.TEXTSPLIT(A893,"-")</f>
        <v>US</v>
      </c>
      <c r="M893" s="22" t="str">
        <v>2514</v>
      </c>
      <c r="N893" s="22" t="str">
        <v>3381572</v>
      </c>
    </row>
    <row r="894" spans="1:14" ht="15.6">
      <c r="A894" s="4" t="s">
        <v>401</v>
      </c>
      <c r="B894" s="5">
        <v>45065.454168028104</v>
      </c>
      <c r="C894" s="5">
        <v>45070.026972429398</v>
      </c>
      <c r="D894" s="4" t="s">
        <v>114</v>
      </c>
      <c r="E894" s="4" t="s">
        <v>286</v>
      </c>
      <c r="F894" s="4" t="s">
        <v>131</v>
      </c>
      <c r="G894" s="4">
        <f t="shared" ca="1" si="39"/>
        <v>44</v>
      </c>
      <c r="H894" s="4">
        <v>1</v>
      </c>
      <c r="I894">
        <f t="shared" ca="1" si="40"/>
        <v>44</v>
      </c>
      <c r="J894">
        <f t="shared" si="41"/>
        <v>5</v>
      </c>
      <c r="K894" t="str">
        <f>VLOOKUP(E894,地区表!$A$2:$C$255,3,FALSE)</f>
        <v>华北</v>
      </c>
      <c r="L894" s="23" t="str" cm="1">
        <f t="array" ref="L894:N894">_xlfn.TEXTSPLIT(A894,"-")</f>
        <v>US</v>
      </c>
      <c r="M894" s="22" t="str">
        <v>2514</v>
      </c>
      <c r="N894" s="22" t="str">
        <v>3381572</v>
      </c>
    </row>
    <row r="895" spans="1:14" ht="15.6">
      <c r="A895" s="4" t="s">
        <v>578</v>
      </c>
      <c r="B895" s="5">
        <v>45265.286151333297</v>
      </c>
      <c r="C895" s="5">
        <v>45271.158656523803</v>
      </c>
      <c r="D895" s="4" t="s">
        <v>94</v>
      </c>
      <c r="E895" s="4" t="s">
        <v>286</v>
      </c>
      <c r="F895" s="4" t="s">
        <v>135</v>
      </c>
      <c r="G895" s="4">
        <f t="shared" ca="1" si="39"/>
        <v>58</v>
      </c>
      <c r="H895" s="4">
        <v>3</v>
      </c>
      <c r="I895">
        <f t="shared" ca="1" si="40"/>
        <v>174</v>
      </c>
      <c r="J895">
        <f t="shared" si="41"/>
        <v>12</v>
      </c>
      <c r="K895" t="str">
        <f>VLOOKUP(E895,地区表!$A$2:$C$255,3,FALSE)</f>
        <v>华北</v>
      </c>
      <c r="L895" s="23" t="str" cm="1">
        <f t="array" ref="L895:N895">_xlfn.TEXTSPLIT(A895,"-")</f>
        <v>CN</v>
      </c>
      <c r="M895" s="22" t="str">
        <v>2714</v>
      </c>
      <c r="N895" s="22" t="str">
        <v>1424056</v>
      </c>
    </row>
    <row r="896" spans="1:14" ht="15.6">
      <c r="A896" s="4" t="s">
        <v>578</v>
      </c>
      <c r="B896" s="5">
        <v>45265.062101301002</v>
      </c>
      <c r="C896" s="5">
        <v>45271.986714178704</v>
      </c>
      <c r="D896" s="4" t="s">
        <v>94</v>
      </c>
      <c r="E896" s="4" t="s">
        <v>286</v>
      </c>
      <c r="F896" s="4" t="s">
        <v>109</v>
      </c>
      <c r="G896" s="4">
        <f t="shared" ca="1" si="39"/>
        <v>73</v>
      </c>
      <c r="H896" s="4">
        <v>2</v>
      </c>
      <c r="I896">
        <f t="shared" ca="1" si="40"/>
        <v>146</v>
      </c>
      <c r="J896">
        <f t="shared" si="41"/>
        <v>12</v>
      </c>
      <c r="K896" t="str">
        <f>VLOOKUP(E896,地区表!$A$2:$C$255,3,FALSE)</f>
        <v>华北</v>
      </c>
      <c r="L896" s="23" t="str" cm="1">
        <f t="array" ref="L896:N896">_xlfn.TEXTSPLIT(A896,"-")</f>
        <v>CN</v>
      </c>
      <c r="M896" s="22" t="str">
        <v>2714</v>
      </c>
      <c r="N896" s="22" t="str">
        <v>1424056</v>
      </c>
    </row>
    <row r="897" spans="1:14" ht="15.6">
      <c r="A897" s="4" t="s">
        <v>578</v>
      </c>
      <c r="B897" s="5">
        <v>45265.574612767297</v>
      </c>
      <c r="C897" s="5">
        <v>45271.206519282197</v>
      </c>
      <c r="D897" s="4" t="s">
        <v>94</v>
      </c>
      <c r="E897" s="4" t="s">
        <v>286</v>
      </c>
      <c r="F897" s="4" t="s">
        <v>110</v>
      </c>
      <c r="G897" s="4">
        <f t="shared" ca="1" si="39"/>
        <v>76</v>
      </c>
      <c r="H897" s="4">
        <v>2</v>
      </c>
      <c r="I897">
        <f t="shared" ca="1" si="40"/>
        <v>152</v>
      </c>
      <c r="J897">
        <f t="shared" si="41"/>
        <v>12</v>
      </c>
      <c r="K897" t="str">
        <f>VLOOKUP(E897,地区表!$A$2:$C$255,3,FALSE)</f>
        <v>华北</v>
      </c>
      <c r="L897" s="23" t="str" cm="1">
        <f t="array" ref="L897:N897">_xlfn.TEXTSPLIT(A897,"-")</f>
        <v>CN</v>
      </c>
      <c r="M897" s="22" t="str">
        <v>2714</v>
      </c>
      <c r="N897" s="22" t="str">
        <v>1424056</v>
      </c>
    </row>
    <row r="898" spans="1:14" ht="15.6">
      <c r="A898" s="4" t="s">
        <v>399</v>
      </c>
      <c r="B898" s="5">
        <v>44644.703568302903</v>
      </c>
      <c r="C898" s="5">
        <v>44646.099310477897</v>
      </c>
      <c r="D898" s="4" t="s">
        <v>98</v>
      </c>
      <c r="E898" s="4" t="s">
        <v>400</v>
      </c>
      <c r="F898" s="4" t="s">
        <v>130</v>
      </c>
      <c r="G898" s="4">
        <f t="shared" ref="G898:G961" ca="1" si="42">RANDBETWEEN(10,100)</f>
        <v>60</v>
      </c>
      <c r="H898" s="4">
        <v>3</v>
      </c>
      <c r="I898">
        <f t="shared" ca="1" si="40"/>
        <v>180</v>
      </c>
      <c r="J898">
        <f t="shared" si="41"/>
        <v>3</v>
      </c>
      <c r="K898" t="str">
        <f>VLOOKUP(E898,地区表!$A$2:$C$255,3,FALSE)</f>
        <v>东北</v>
      </c>
      <c r="L898" s="23" t="str" cm="1">
        <f t="array" ref="L898:N898">_xlfn.TEXTSPLIT(A898,"-")</f>
        <v>US</v>
      </c>
      <c r="M898" s="22" t="str">
        <v>3188</v>
      </c>
      <c r="N898" s="22" t="str">
        <v>5835982</v>
      </c>
    </row>
    <row r="899" spans="1:14" ht="15.6">
      <c r="A899" s="4" t="s">
        <v>399</v>
      </c>
      <c r="B899" s="5">
        <v>44644.213159010302</v>
      </c>
      <c r="C899" s="5">
        <v>44646.6055654757</v>
      </c>
      <c r="D899" s="4" t="s">
        <v>98</v>
      </c>
      <c r="E899" s="4" t="s">
        <v>400</v>
      </c>
      <c r="F899" s="4" t="s">
        <v>109</v>
      </c>
      <c r="G899" s="4">
        <f t="shared" ca="1" si="42"/>
        <v>16</v>
      </c>
      <c r="H899" s="4">
        <v>2</v>
      </c>
      <c r="I899">
        <f t="shared" ref="I899:I962" ca="1" si="43">G899*H899</f>
        <v>32</v>
      </c>
      <c r="J899">
        <f t="shared" ref="J899:J962" si="44">MONTH(B899)</f>
        <v>3</v>
      </c>
      <c r="K899" t="str">
        <f>VLOOKUP(E899,地区表!$A$2:$C$255,3,FALSE)</f>
        <v>东北</v>
      </c>
      <c r="L899" s="23" t="str" cm="1">
        <f t="array" ref="L899:N899">_xlfn.TEXTSPLIT(A899,"-")</f>
        <v>US</v>
      </c>
      <c r="M899" s="22" t="str">
        <v>3188</v>
      </c>
      <c r="N899" s="22" t="str">
        <v>5835982</v>
      </c>
    </row>
    <row r="900" spans="1:14" ht="15.6">
      <c r="A900" s="4" t="s">
        <v>97</v>
      </c>
      <c r="B900" s="5">
        <v>44487.674599152997</v>
      </c>
      <c r="C900" s="5">
        <v>44491.388291616597</v>
      </c>
      <c r="D900" s="4" t="s">
        <v>98</v>
      </c>
      <c r="E900" s="4" t="s">
        <v>99</v>
      </c>
      <c r="F900" s="4" t="s">
        <v>100</v>
      </c>
      <c r="G900" s="4">
        <f t="shared" ca="1" si="42"/>
        <v>70</v>
      </c>
      <c r="H900" s="4">
        <v>2</v>
      </c>
      <c r="I900">
        <f t="shared" ca="1" si="43"/>
        <v>140</v>
      </c>
      <c r="J900">
        <f t="shared" si="44"/>
        <v>10</v>
      </c>
      <c r="K900" t="str">
        <f>VLOOKUP(E900,地区表!$A$2:$C$255,3,FALSE)</f>
        <v>西南</v>
      </c>
      <c r="L900" s="23" t="str" cm="1">
        <f t="array" ref="L900:N900">_xlfn.TEXTSPLIT(A900,"-")</f>
        <v>CN</v>
      </c>
      <c r="M900" s="22" t="str">
        <v>3031</v>
      </c>
      <c r="N900" s="22" t="str">
        <v>1973789</v>
      </c>
    </row>
    <row r="901" spans="1:14" ht="15.6">
      <c r="A901" s="4" t="s">
        <v>97</v>
      </c>
      <c r="B901" s="5">
        <v>44487.429724455702</v>
      </c>
      <c r="C901" s="5">
        <v>44491.647587706299</v>
      </c>
      <c r="D901" s="4" t="s">
        <v>98</v>
      </c>
      <c r="E901" s="4" t="s">
        <v>99</v>
      </c>
      <c r="F901" s="4" t="s">
        <v>101</v>
      </c>
      <c r="G901" s="4">
        <f t="shared" ca="1" si="42"/>
        <v>44</v>
      </c>
      <c r="H901" s="4">
        <v>2</v>
      </c>
      <c r="I901">
        <f t="shared" ca="1" si="43"/>
        <v>88</v>
      </c>
      <c r="J901">
        <f t="shared" si="44"/>
        <v>10</v>
      </c>
      <c r="K901" t="str">
        <f>VLOOKUP(E901,地区表!$A$2:$C$255,3,FALSE)</f>
        <v>西南</v>
      </c>
      <c r="L901" s="23" t="str" cm="1">
        <f t="array" ref="L901:N901">_xlfn.TEXTSPLIT(A901,"-")</f>
        <v>CN</v>
      </c>
      <c r="M901" s="22" t="str">
        <v>3031</v>
      </c>
      <c r="N901" s="22" t="str">
        <v>1973789</v>
      </c>
    </row>
    <row r="902" spans="1:14" ht="15.6">
      <c r="A902" s="4" t="s">
        <v>155</v>
      </c>
      <c r="B902" s="5">
        <v>45217.953487594001</v>
      </c>
      <c r="C902" s="5">
        <v>45219.9556024013</v>
      </c>
      <c r="D902" s="4" t="s">
        <v>94</v>
      </c>
      <c r="E902" s="4" t="s">
        <v>99</v>
      </c>
      <c r="F902" s="4" t="s">
        <v>141</v>
      </c>
      <c r="G902" s="4">
        <f t="shared" ca="1" si="42"/>
        <v>46</v>
      </c>
      <c r="H902" s="4">
        <v>6</v>
      </c>
      <c r="I902">
        <f t="shared" ca="1" si="43"/>
        <v>276</v>
      </c>
      <c r="J902">
        <f t="shared" si="44"/>
        <v>10</v>
      </c>
      <c r="K902" t="str">
        <f>VLOOKUP(E902,地区表!$A$2:$C$255,3,FALSE)</f>
        <v>西南</v>
      </c>
      <c r="L902" s="23" t="str" cm="1">
        <f t="array" ref="L902:N902">_xlfn.TEXTSPLIT(A902,"-")</f>
        <v>US</v>
      </c>
      <c r="M902" s="22" t="str">
        <v>2666</v>
      </c>
      <c r="N902" s="22" t="str">
        <v>5956361</v>
      </c>
    </row>
    <row r="903" spans="1:14" ht="15.6">
      <c r="A903" s="4" t="s">
        <v>155</v>
      </c>
      <c r="B903" s="5">
        <v>45217.697776657697</v>
      </c>
      <c r="C903" s="5">
        <v>45219.252156240902</v>
      </c>
      <c r="D903" s="4" t="s">
        <v>94</v>
      </c>
      <c r="E903" s="4" t="s">
        <v>99</v>
      </c>
      <c r="F903" s="4" t="s">
        <v>122</v>
      </c>
      <c r="G903" s="4">
        <f t="shared" ca="1" si="42"/>
        <v>31</v>
      </c>
      <c r="H903" s="4">
        <v>1</v>
      </c>
      <c r="I903">
        <f t="shared" ca="1" si="43"/>
        <v>31</v>
      </c>
      <c r="J903">
        <f t="shared" si="44"/>
        <v>10</v>
      </c>
      <c r="K903" t="str">
        <f>VLOOKUP(E903,地区表!$A$2:$C$255,3,FALSE)</f>
        <v>西南</v>
      </c>
      <c r="L903" s="23" t="str" cm="1">
        <f t="array" ref="L903:N903">_xlfn.TEXTSPLIT(A903,"-")</f>
        <v>US</v>
      </c>
      <c r="M903" s="22" t="str">
        <v>2666</v>
      </c>
      <c r="N903" s="22" t="str">
        <v>5956361</v>
      </c>
    </row>
    <row r="904" spans="1:14" ht="15.6">
      <c r="A904" s="4" t="s">
        <v>155</v>
      </c>
      <c r="B904" s="5">
        <v>45217.790525301003</v>
      </c>
      <c r="C904" s="5">
        <v>45219.4648360227</v>
      </c>
      <c r="D904" s="4" t="s">
        <v>94</v>
      </c>
      <c r="E904" s="4" t="s">
        <v>99</v>
      </c>
      <c r="F904" s="4" t="s">
        <v>100</v>
      </c>
      <c r="G904" s="4">
        <f t="shared" ca="1" si="42"/>
        <v>40</v>
      </c>
      <c r="H904" s="4">
        <v>2</v>
      </c>
      <c r="I904">
        <f t="shared" ca="1" si="43"/>
        <v>80</v>
      </c>
      <c r="J904">
        <f t="shared" si="44"/>
        <v>10</v>
      </c>
      <c r="K904" t="str">
        <f>VLOOKUP(E904,地区表!$A$2:$C$255,3,FALSE)</f>
        <v>西南</v>
      </c>
      <c r="L904" s="23" t="str" cm="1">
        <f t="array" ref="L904:N904">_xlfn.TEXTSPLIT(A904,"-")</f>
        <v>US</v>
      </c>
      <c r="M904" s="22" t="str">
        <v>2666</v>
      </c>
      <c r="N904" s="22" t="str">
        <v>5956361</v>
      </c>
    </row>
    <row r="905" spans="1:14" ht="15.6">
      <c r="A905" s="4" t="s">
        <v>355</v>
      </c>
      <c r="B905" s="5">
        <v>45171.754475974398</v>
      </c>
      <c r="C905" s="5">
        <v>45173.771562301299</v>
      </c>
      <c r="D905" s="4" t="s">
        <v>98</v>
      </c>
      <c r="E905" s="4" t="s">
        <v>99</v>
      </c>
      <c r="F905" s="4" t="s">
        <v>111</v>
      </c>
      <c r="G905" s="4">
        <f t="shared" ca="1" si="42"/>
        <v>84</v>
      </c>
      <c r="H905" s="4">
        <v>2</v>
      </c>
      <c r="I905">
        <f t="shared" ca="1" si="43"/>
        <v>168</v>
      </c>
      <c r="J905">
        <f t="shared" si="44"/>
        <v>9</v>
      </c>
      <c r="K905" t="str">
        <f>VLOOKUP(E905,地区表!$A$2:$C$255,3,FALSE)</f>
        <v>西南</v>
      </c>
      <c r="L905" s="23" t="str" cm="1">
        <f t="array" ref="L905:N905">_xlfn.TEXTSPLIT(A905,"-")</f>
        <v>CN</v>
      </c>
      <c r="M905" s="22" t="str">
        <v>2620</v>
      </c>
      <c r="N905" s="22" t="str">
        <v>1424056</v>
      </c>
    </row>
    <row r="906" spans="1:14" ht="15.6">
      <c r="A906" s="4" t="s">
        <v>355</v>
      </c>
      <c r="B906" s="5">
        <v>45171.346381843498</v>
      </c>
      <c r="C906" s="5">
        <v>45173.288711322697</v>
      </c>
      <c r="D906" s="4" t="s">
        <v>98</v>
      </c>
      <c r="E906" s="4" t="s">
        <v>99</v>
      </c>
      <c r="F906" s="4" t="s">
        <v>101</v>
      </c>
      <c r="G906" s="4">
        <f t="shared" ca="1" si="42"/>
        <v>88</v>
      </c>
      <c r="H906" s="4">
        <v>3</v>
      </c>
      <c r="I906">
        <f t="shared" ca="1" si="43"/>
        <v>264</v>
      </c>
      <c r="J906">
        <f t="shared" si="44"/>
        <v>9</v>
      </c>
      <c r="K906" t="str">
        <f>VLOOKUP(E906,地区表!$A$2:$C$255,3,FALSE)</f>
        <v>西南</v>
      </c>
      <c r="L906" s="23" t="str" cm="1">
        <f t="array" ref="L906:N906">_xlfn.TEXTSPLIT(A906,"-")</f>
        <v>CN</v>
      </c>
      <c r="M906" s="22" t="str">
        <v>2620</v>
      </c>
      <c r="N906" s="22" t="str">
        <v>1424056</v>
      </c>
    </row>
    <row r="907" spans="1:14" ht="15.6">
      <c r="A907" s="4" t="s">
        <v>827</v>
      </c>
      <c r="B907" s="5">
        <v>44308.1208268669</v>
      </c>
      <c r="C907" s="5">
        <v>44312.628700178902</v>
      </c>
      <c r="D907" s="4" t="s">
        <v>98</v>
      </c>
      <c r="E907" s="4" t="s">
        <v>828</v>
      </c>
      <c r="F907" s="4" t="s">
        <v>106</v>
      </c>
      <c r="G907" s="4">
        <f t="shared" ca="1" si="42"/>
        <v>93</v>
      </c>
      <c r="H907" s="4">
        <v>4</v>
      </c>
      <c r="I907">
        <f t="shared" ca="1" si="43"/>
        <v>372</v>
      </c>
      <c r="J907">
        <f t="shared" si="44"/>
        <v>4</v>
      </c>
      <c r="K907" t="str">
        <f>VLOOKUP(E907,地区表!$A$2:$C$255,3,FALSE)</f>
        <v>东北</v>
      </c>
      <c r="L907" s="23" t="str" cm="1">
        <f t="array" ref="L907:N907">_xlfn.TEXTSPLIT(A907,"-")</f>
        <v>CN</v>
      </c>
      <c r="M907" s="22" t="str">
        <v>2852</v>
      </c>
      <c r="N907" s="22" t="str">
        <v>3704015</v>
      </c>
    </row>
    <row r="908" spans="1:14" ht="15.6">
      <c r="A908" s="4" t="s">
        <v>145</v>
      </c>
      <c r="B908" s="5">
        <v>45233.790404614403</v>
      </c>
      <c r="C908" s="5">
        <v>45236.353226410698</v>
      </c>
      <c r="D908" s="4" t="s">
        <v>94</v>
      </c>
      <c r="E908" s="4" t="s">
        <v>146</v>
      </c>
      <c r="F908" s="4" t="s">
        <v>111</v>
      </c>
      <c r="G908" s="4">
        <f t="shared" ca="1" si="42"/>
        <v>12</v>
      </c>
      <c r="H908" s="4">
        <v>3</v>
      </c>
      <c r="I908">
        <f t="shared" ca="1" si="43"/>
        <v>36</v>
      </c>
      <c r="J908">
        <f t="shared" si="44"/>
        <v>11</v>
      </c>
      <c r="K908" t="str">
        <f>VLOOKUP(E908,地区表!$A$2:$C$255,3,FALSE)</f>
        <v>西北</v>
      </c>
      <c r="L908" s="23" t="str" cm="1">
        <f t="array" ref="L908:N908">_xlfn.TEXTSPLIT(A908,"-")</f>
        <v>CN</v>
      </c>
      <c r="M908" s="22" t="str">
        <v>2682</v>
      </c>
      <c r="N908" s="22" t="str">
        <v>4674220</v>
      </c>
    </row>
    <row r="909" spans="1:14" ht="15.6">
      <c r="A909" s="4" t="s">
        <v>280</v>
      </c>
      <c r="B909" s="5">
        <v>44576.868628036602</v>
      </c>
      <c r="C909" s="5">
        <v>44577.935647797101</v>
      </c>
      <c r="D909" s="4" t="s">
        <v>98</v>
      </c>
      <c r="E909" s="4" t="s">
        <v>146</v>
      </c>
      <c r="F909" s="4" t="s">
        <v>100</v>
      </c>
      <c r="G909" s="4">
        <f t="shared" ca="1" si="42"/>
        <v>49</v>
      </c>
      <c r="H909" s="4">
        <v>2</v>
      </c>
      <c r="I909">
        <f t="shared" ca="1" si="43"/>
        <v>98</v>
      </c>
      <c r="J909">
        <f t="shared" si="44"/>
        <v>1</v>
      </c>
      <c r="K909" t="str">
        <f>VLOOKUP(E909,地区表!$A$2:$C$255,3,FALSE)</f>
        <v>西北</v>
      </c>
      <c r="L909" s="23" t="str" cm="1">
        <f t="array" ref="L909:N909">_xlfn.TEXTSPLIT(A909,"-")</f>
        <v>CN</v>
      </c>
      <c r="M909" s="22" t="str">
        <v>2024</v>
      </c>
      <c r="N909" s="22" t="str">
        <v>1928578</v>
      </c>
    </row>
    <row r="910" spans="1:14" ht="15.6">
      <c r="A910" s="4" t="s">
        <v>280</v>
      </c>
      <c r="B910" s="5">
        <v>44576.631112696203</v>
      </c>
      <c r="C910" s="5">
        <v>44577.069289546002</v>
      </c>
      <c r="D910" s="4" t="s">
        <v>98</v>
      </c>
      <c r="E910" s="4" t="s">
        <v>146</v>
      </c>
      <c r="F910" s="4" t="s">
        <v>112</v>
      </c>
      <c r="G910" s="4">
        <f t="shared" ca="1" si="42"/>
        <v>58</v>
      </c>
      <c r="H910" s="4">
        <v>10</v>
      </c>
      <c r="I910">
        <f t="shared" ca="1" si="43"/>
        <v>580</v>
      </c>
      <c r="J910">
        <f t="shared" si="44"/>
        <v>1</v>
      </c>
      <c r="K910" t="str">
        <f>VLOOKUP(E910,地区表!$A$2:$C$255,3,FALSE)</f>
        <v>西北</v>
      </c>
      <c r="L910" s="23" t="str" cm="1">
        <f t="array" ref="L910:N910">_xlfn.TEXTSPLIT(A910,"-")</f>
        <v>CN</v>
      </c>
      <c r="M910" s="22" t="str">
        <v>2024</v>
      </c>
      <c r="N910" s="22" t="str">
        <v>1928578</v>
      </c>
    </row>
    <row r="911" spans="1:14" ht="15.6">
      <c r="A911" s="4" t="s">
        <v>280</v>
      </c>
      <c r="B911" s="5">
        <v>44576.081903027101</v>
      </c>
      <c r="C911" s="5">
        <v>44577.214097488701</v>
      </c>
      <c r="D911" s="4" t="s">
        <v>98</v>
      </c>
      <c r="E911" s="4" t="s">
        <v>146</v>
      </c>
      <c r="F911" s="4" t="s">
        <v>101</v>
      </c>
      <c r="G911" s="4">
        <f t="shared" ca="1" si="42"/>
        <v>98</v>
      </c>
      <c r="H911" s="4">
        <v>3</v>
      </c>
      <c r="I911">
        <f t="shared" ca="1" si="43"/>
        <v>294</v>
      </c>
      <c r="J911">
        <f t="shared" si="44"/>
        <v>1</v>
      </c>
      <c r="K911" t="str">
        <f>VLOOKUP(E911,地区表!$A$2:$C$255,3,FALSE)</f>
        <v>西北</v>
      </c>
      <c r="L911" s="23" t="str" cm="1">
        <f t="array" ref="L911:N911">_xlfn.TEXTSPLIT(A911,"-")</f>
        <v>CN</v>
      </c>
      <c r="M911" s="22" t="str">
        <v>2024</v>
      </c>
      <c r="N911" s="22" t="str">
        <v>1928578</v>
      </c>
    </row>
    <row r="912" spans="1:14" ht="15.6">
      <c r="A912" s="4" t="s">
        <v>545</v>
      </c>
      <c r="B912" s="5">
        <v>45275.722244024197</v>
      </c>
      <c r="C912" s="5">
        <v>45281.884053251903</v>
      </c>
      <c r="D912" s="4" t="s">
        <v>98</v>
      </c>
      <c r="E912" s="4" t="s">
        <v>146</v>
      </c>
      <c r="F912" s="4" t="s">
        <v>110</v>
      </c>
      <c r="G912" s="4">
        <f t="shared" ca="1" si="42"/>
        <v>50</v>
      </c>
      <c r="H912" s="4">
        <v>5</v>
      </c>
      <c r="I912">
        <f t="shared" ca="1" si="43"/>
        <v>250</v>
      </c>
      <c r="J912">
        <f t="shared" si="44"/>
        <v>12</v>
      </c>
      <c r="K912" t="str">
        <f>VLOOKUP(E912,地区表!$A$2:$C$255,3,FALSE)</f>
        <v>西北</v>
      </c>
      <c r="L912" s="23" t="str" cm="1">
        <f t="array" ref="L912:N912">_xlfn.TEXTSPLIT(A912,"-")</f>
        <v>CN</v>
      </c>
      <c r="M912" s="22" t="str">
        <v>2724</v>
      </c>
      <c r="N912" s="22" t="str">
        <v>3434056</v>
      </c>
    </row>
    <row r="913" spans="1:14" ht="15.6">
      <c r="A913" s="4" t="s">
        <v>560</v>
      </c>
      <c r="B913" s="5">
        <v>44422.231612431999</v>
      </c>
      <c r="C913" s="5">
        <v>44427.204192334299</v>
      </c>
      <c r="D913" s="4" t="s">
        <v>98</v>
      </c>
      <c r="E913" s="4" t="s">
        <v>146</v>
      </c>
      <c r="F913" s="4" t="s">
        <v>122</v>
      </c>
      <c r="G913" s="4">
        <f t="shared" ca="1" si="42"/>
        <v>83</v>
      </c>
      <c r="H913" s="4">
        <v>2</v>
      </c>
      <c r="I913">
        <f t="shared" ca="1" si="43"/>
        <v>166</v>
      </c>
      <c r="J913">
        <f t="shared" si="44"/>
        <v>8</v>
      </c>
      <c r="K913" t="str">
        <f>VLOOKUP(E913,地区表!$A$2:$C$255,3,FALSE)</f>
        <v>西北</v>
      </c>
      <c r="L913" s="23" t="str" cm="1">
        <f t="array" ref="L913:N913">_xlfn.TEXTSPLIT(A913,"-")</f>
        <v>US</v>
      </c>
      <c r="M913" s="22" t="str">
        <v>2966</v>
      </c>
      <c r="N913" s="22" t="str">
        <v>4339927</v>
      </c>
    </row>
    <row r="914" spans="1:14" ht="15.6">
      <c r="A914" s="4" t="s">
        <v>609</v>
      </c>
      <c r="B914" s="5">
        <v>44630.682933768803</v>
      </c>
      <c r="C914" s="5">
        <v>44634.599595524502</v>
      </c>
      <c r="D914" s="4" t="s">
        <v>94</v>
      </c>
      <c r="E914" s="4" t="s">
        <v>146</v>
      </c>
      <c r="F914" s="4" t="s">
        <v>111</v>
      </c>
      <c r="G914" s="4">
        <f t="shared" ca="1" si="42"/>
        <v>80</v>
      </c>
      <c r="H914" s="4">
        <v>4</v>
      </c>
      <c r="I914">
        <f t="shared" ca="1" si="43"/>
        <v>320</v>
      </c>
      <c r="J914">
        <f t="shared" si="44"/>
        <v>3</v>
      </c>
      <c r="K914" t="str">
        <f>VLOOKUP(E914,地区表!$A$2:$C$255,3,FALSE)</f>
        <v>西北</v>
      </c>
      <c r="L914" s="23" t="str" cm="1">
        <f t="array" ref="L914:N914">_xlfn.TEXTSPLIT(A914,"-")</f>
        <v>CN</v>
      </c>
      <c r="M914" s="22" t="str">
        <v>2079</v>
      </c>
      <c r="N914" s="22" t="str">
        <v>3834707</v>
      </c>
    </row>
    <row r="915" spans="1:14" ht="15.6">
      <c r="A915" s="4" t="s">
        <v>609</v>
      </c>
      <c r="B915" s="5">
        <v>44630.500940610997</v>
      </c>
      <c r="C915" s="5">
        <v>44634.145827645298</v>
      </c>
      <c r="D915" s="4" t="s">
        <v>94</v>
      </c>
      <c r="E915" s="4" t="s">
        <v>146</v>
      </c>
      <c r="F915" s="4" t="s">
        <v>110</v>
      </c>
      <c r="G915" s="4">
        <f t="shared" ca="1" si="42"/>
        <v>36</v>
      </c>
      <c r="H915" s="4">
        <v>1</v>
      </c>
      <c r="I915">
        <f t="shared" ca="1" si="43"/>
        <v>36</v>
      </c>
      <c r="J915">
        <f t="shared" si="44"/>
        <v>3</v>
      </c>
      <c r="K915" t="str">
        <f>VLOOKUP(E915,地区表!$A$2:$C$255,3,FALSE)</f>
        <v>西北</v>
      </c>
      <c r="L915" s="23" t="str" cm="1">
        <f t="array" ref="L915:N915">_xlfn.TEXTSPLIT(A915,"-")</f>
        <v>CN</v>
      </c>
      <c r="M915" s="22" t="str">
        <v>2079</v>
      </c>
      <c r="N915" s="22" t="str">
        <v>3834707</v>
      </c>
    </row>
    <row r="916" spans="1:14" ht="15.6">
      <c r="A916" s="4" t="s">
        <v>630</v>
      </c>
      <c r="B916" s="5">
        <v>44455.546293476997</v>
      </c>
      <c r="C916" s="5">
        <v>44457.237884653601</v>
      </c>
      <c r="D916" s="4" t="s">
        <v>98</v>
      </c>
      <c r="E916" s="4" t="s">
        <v>146</v>
      </c>
      <c r="F916" s="4" t="s">
        <v>141</v>
      </c>
      <c r="G916" s="4">
        <f t="shared" ca="1" si="42"/>
        <v>44</v>
      </c>
      <c r="H916" s="4">
        <v>2</v>
      </c>
      <c r="I916">
        <f t="shared" ca="1" si="43"/>
        <v>88</v>
      </c>
      <c r="J916">
        <f t="shared" si="44"/>
        <v>9</v>
      </c>
      <c r="K916" t="str">
        <f>VLOOKUP(E916,地区表!$A$2:$C$255,3,FALSE)</f>
        <v>西北</v>
      </c>
      <c r="L916" s="23" t="str" cm="1">
        <f t="array" ref="L916:N916">_xlfn.TEXTSPLIT(A916,"-")</f>
        <v>US</v>
      </c>
      <c r="M916" s="22" t="str">
        <v>2999</v>
      </c>
      <c r="N916" s="22" t="str">
        <v>3769666</v>
      </c>
    </row>
    <row r="917" spans="1:14" ht="15.6">
      <c r="A917" s="4" t="s">
        <v>816</v>
      </c>
      <c r="B917" s="5">
        <v>44899.3543491124</v>
      </c>
      <c r="C917" s="5">
        <v>44901.455165237698</v>
      </c>
      <c r="D917" s="4" t="s">
        <v>98</v>
      </c>
      <c r="E917" s="4" t="s">
        <v>146</v>
      </c>
      <c r="F917" s="4" t="s">
        <v>122</v>
      </c>
      <c r="G917" s="4">
        <f t="shared" ca="1" si="42"/>
        <v>32</v>
      </c>
      <c r="H917" s="4">
        <v>5</v>
      </c>
      <c r="I917">
        <f t="shared" ca="1" si="43"/>
        <v>160</v>
      </c>
      <c r="J917">
        <f t="shared" si="44"/>
        <v>12</v>
      </c>
      <c r="K917" t="str">
        <f>VLOOKUP(E917,地区表!$A$2:$C$255,3,FALSE)</f>
        <v>西北</v>
      </c>
      <c r="L917" s="23" t="str" cm="1">
        <f t="array" ref="L917:N917">_xlfn.TEXTSPLIT(A917,"-")</f>
        <v>CN</v>
      </c>
      <c r="M917" s="22" t="str">
        <v>2348</v>
      </c>
      <c r="N917" s="22" t="str">
        <v>3122687</v>
      </c>
    </row>
    <row r="918" spans="1:14" ht="15.6">
      <c r="A918" s="4" t="s">
        <v>574</v>
      </c>
      <c r="B918" s="5">
        <v>45225.640809950601</v>
      </c>
      <c r="C918" s="5">
        <v>45231.086037086803</v>
      </c>
      <c r="D918" s="4" t="s">
        <v>98</v>
      </c>
      <c r="E918" s="4" t="s">
        <v>575</v>
      </c>
      <c r="F918" s="4" t="s">
        <v>101</v>
      </c>
      <c r="G918" s="4">
        <f t="shared" ca="1" si="42"/>
        <v>75</v>
      </c>
      <c r="H918" s="4">
        <v>9</v>
      </c>
      <c r="I918">
        <f t="shared" ca="1" si="43"/>
        <v>675</v>
      </c>
      <c r="J918">
        <f t="shared" si="44"/>
        <v>10</v>
      </c>
      <c r="K918" t="str">
        <f>VLOOKUP(E918,地区表!$A$2:$C$255,3,FALSE)</f>
        <v>中南</v>
      </c>
      <c r="L918" s="23" t="str" cm="1">
        <f t="array" ref="L918:N918">_xlfn.TEXTSPLIT(A918,"-")</f>
        <v>CN</v>
      </c>
      <c r="M918" s="22" t="str">
        <v>2674</v>
      </c>
      <c r="N918" s="22" t="str">
        <v>5908054</v>
      </c>
    </row>
    <row r="919" spans="1:14" ht="15.6">
      <c r="A919" s="4" t="s">
        <v>434</v>
      </c>
      <c r="B919" s="5">
        <v>44539.100507270101</v>
      </c>
      <c r="C919" s="5">
        <v>44544.676045349297</v>
      </c>
      <c r="D919" s="4" t="s">
        <v>114</v>
      </c>
      <c r="E919" s="4" t="s">
        <v>435</v>
      </c>
      <c r="F919" s="4" t="s">
        <v>141</v>
      </c>
      <c r="G919" s="4">
        <f t="shared" ca="1" si="42"/>
        <v>84</v>
      </c>
      <c r="H919" s="4">
        <v>7</v>
      </c>
      <c r="I919">
        <f t="shared" ca="1" si="43"/>
        <v>588</v>
      </c>
      <c r="J919">
        <f t="shared" si="44"/>
        <v>12</v>
      </c>
      <c r="K919" t="str">
        <f>VLOOKUP(E919,地区表!$A$2:$C$255,3,FALSE)</f>
        <v>东北</v>
      </c>
      <c r="L919" s="23" t="str" cm="1">
        <f t="array" ref="L919:N919">_xlfn.TEXTSPLIT(A919,"-")</f>
        <v>CN</v>
      </c>
      <c r="M919" s="22" t="str">
        <v>3083</v>
      </c>
      <c r="N919" s="22" t="str">
        <v>2098822</v>
      </c>
    </row>
    <row r="920" spans="1:14" ht="15.6">
      <c r="A920" s="4" t="s">
        <v>434</v>
      </c>
      <c r="B920" s="5">
        <v>44539.457147907196</v>
      </c>
      <c r="C920" s="5">
        <v>44544.503062236399</v>
      </c>
      <c r="D920" s="4" t="s">
        <v>114</v>
      </c>
      <c r="E920" s="4" t="s">
        <v>435</v>
      </c>
      <c r="F920" s="4" t="s">
        <v>106</v>
      </c>
      <c r="G920" s="4">
        <f t="shared" ca="1" si="42"/>
        <v>27</v>
      </c>
      <c r="H920" s="4">
        <v>9</v>
      </c>
      <c r="I920">
        <f t="shared" ca="1" si="43"/>
        <v>243</v>
      </c>
      <c r="J920">
        <f t="shared" si="44"/>
        <v>12</v>
      </c>
      <c r="K920" t="str">
        <f>VLOOKUP(E920,地区表!$A$2:$C$255,3,FALSE)</f>
        <v>东北</v>
      </c>
      <c r="L920" s="23" t="str" cm="1">
        <f t="array" ref="L920:N920">_xlfn.TEXTSPLIT(A920,"-")</f>
        <v>CN</v>
      </c>
      <c r="M920" s="22" t="str">
        <v>3083</v>
      </c>
      <c r="N920" s="22" t="str">
        <v>2098822</v>
      </c>
    </row>
    <row r="921" spans="1:14" ht="15.6">
      <c r="A921" s="4" t="s">
        <v>434</v>
      </c>
      <c r="B921" s="5">
        <v>44539.342765143403</v>
      </c>
      <c r="C921" s="5">
        <v>44544.554451813397</v>
      </c>
      <c r="D921" s="4" t="s">
        <v>114</v>
      </c>
      <c r="E921" s="4" t="s">
        <v>435</v>
      </c>
      <c r="F921" s="4" t="s">
        <v>101</v>
      </c>
      <c r="G921" s="4">
        <f t="shared" ca="1" si="42"/>
        <v>95</v>
      </c>
      <c r="H921" s="4">
        <v>3</v>
      </c>
      <c r="I921">
        <f t="shared" ca="1" si="43"/>
        <v>285</v>
      </c>
      <c r="J921">
        <f t="shared" si="44"/>
        <v>12</v>
      </c>
      <c r="K921" t="str">
        <f>VLOOKUP(E921,地区表!$A$2:$C$255,3,FALSE)</f>
        <v>东北</v>
      </c>
      <c r="L921" s="23" t="str" cm="1">
        <f t="array" ref="L921:N921">_xlfn.TEXTSPLIT(A921,"-")</f>
        <v>CN</v>
      </c>
      <c r="M921" s="22" t="str">
        <v>3083</v>
      </c>
      <c r="N921" s="22" t="str">
        <v>2098822</v>
      </c>
    </row>
    <row r="922" spans="1:14" ht="15.6">
      <c r="A922" s="4" t="s">
        <v>728</v>
      </c>
      <c r="B922" s="5">
        <v>44680.221488876203</v>
      </c>
      <c r="C922" s="5">
        <v>44684.353403982597</v>
      </c>
      <c r="D922" s="4" t="s">
        <v>98</v>
      </c>
      <c r="E922" s="4" t="s">
        <v>435</v>
      </c>
      <c r="F922" s="4" t="s">
        <v>100</v>
      </c>
      <c r="G922" s="4">
        <f t="shared" ca="1" si="42"/>
        <v>99</v>
      </c>
      <c r="H922" s="4">
        <v>3</v>
      </c>
      <c r="I922">
        <f t="shared" ca="1" si="43"/>
        <v>297</v>
      </c>
      <c r="J922">
        <f t="shared" si="44"/>
        <v>4</v>
      </c>
      <c r="K922" t="str">
        <f>VLOOKUP(E922,地区表!$A$2:$C$255,3,FALSE)</f>
        <v>东北</v>
      </c>
      <c r="L922" s="23" t="str" cm="1">
        <f t="array" ref="L922:N922">_xlfn.TEXTSPLIT(A922,"-")</f>
        <v>CN</v>
      </c>
      <c r="M922" s="22" t="str">
        <v>2129</v>
      </c>
      <c r="N922" s="22" t="str">
        <v>5278891</v>
      </c>
    </row>
    <row r="923" spans="1:14" ht="15.6">
      <c r="A923" s="4" t="s">
        <v>221</v>
      </c>
      <c r="B923" s="5">
        <v>44372.161604820198</v>
      </c>
      <c r="C923" s="5">
        <v>44375.949090896698</v>
      </c>
      <c r="D923" s="4" t="s">
        <v>94</v>
      </c>
      <c r="E923" s="4" t="s">
        <v>222</v>
      </c>
      <c r="F923" s="4" t="s">
        <v>141</v>
      </c>
      <c r="G923" s="4">
        <f t="shared" ca="1" si="42"/>
        <v>90</v>
      </c>
      <c r="H923" s="4">
        <v>6</v>
      </c>
      <c r="I923">
        <f t="shared" ca="1" si="43"/>
        <v>540</v>
      </c>
      <c r="J923">
        <f t="shared" si="44"/>
        <v>6</v>
      </c>
      <c r="K923" t="str">
        <f>VLOOKUP(E923,地区表!$A$2:$C$255,3,FALSE)</f>
        <v>华东</v>
      </c>
      <c r="L923" s="23" t="str" cm="1">
        <f t="array" ref="L923:N923">_xlfn.TEXTSPLIT(A923,"-")</f>
        <v>US</v>
      </c>
      <c r="M923" s="22" t="str">
        <v>2916</v>
      </c>
      <c r="N923" s="22" t="str">
        <v>4595101</v>
      </c>
    </row>
    <row r="924" spans="1:14" ht="15.6">
      <c r="A924" s="4" t="s">
        <v>221</v>
      </c>
      <c r="B924" s="5">
        <v>44372.834146884903</v>
      </c>
      <c r="C924" s="5">
        <v>44375.023775096401</v>
      </c>
      <c r="D924" s="4" t="s">
        <v>94</v>
      </c>
      <c r="E924" s="4" t="s">
        <v>222</v>
      </c>
      <c r="F924" s="4" t="s">
        <v>101</v>
      </c>
      <c r="G924" s="4">
        <f t="shared" ca="1" si="42"/>
        <v>100</v>
      </c>
      <c r="H924" s="4">
        <v>3</v>
      </c>
      <c r="I924">
        <f t="shared" ca="1" si="43"/>
        <v>300</v>
      </c>
      <c r="J924">
        <f t="shared" si="44"/>
        <v>6</v>
      </c>
      <c r="K924" t="str">
        <f>VLOOKUP(E924,地区表!$A$2:$C$255,3,FALSE)</f>
        <v>华东</v>
      </c>
      <c r="L924" s="23" t="str" cm="1">
        <f t="array" ref="L924:N924">_xlfn.TEXTSPLIT(A924,"-")</f>
        <v>US</v>
      </c>
      <c r="M924" s="22" t="str">
        <v>2916</v>
      </c>
      <c r="N924" s="22" t="str">
        <v>4595101</v>
      </c>
    </row>
    <row r="925" spans="1:14" ht="15.6">
      <c r="A925" s="4" t="s">
        <v>843</v>
      </c>
      <c r="B925" s="5">
        <v>44396.254694849304</v>
      </c>
      <c r="C925" s="5">
        <v>44402.3904090777</v>
      </c>
      <c r="D925" s="4" t="s">
        <v>94</v>
      </c>
      <c r="E925" s="4" t="s">
        <v>844</v>
      </c>
      <c r="F925" s="4" t="s">
        <v>96</v>
      </c>
      <c r="G925" s="4">
        <f t="shared" ca="1" si="42"/>
        <v>42</v>
      </c>
      <c r="H925" s="4">
        <v>3</v>
      </c>
      <c r="I925">
        <f t="shared" ca="1" si="43"/>
        <v>126</v>
      </c>
      <c r="J925">
        <f t="shared" si="44"/>
        <v>7</v>
      </c>
      <c r="K925" t="str">
        <f>VLOOKUP(E925,地区表!$A$2:$C$255,3,FALSE)</f>
        <v>中南</v>
      </c>
      <c r="L925" s="23" t="str" cm="1">
        <f t="array" ref="L925:N925">_xlfn.TEXTSPLIT(A925,"-")</f>
        <v>CN</v>
      </c>
      <c r="M925" s="22" t="str">
        <v>2940</v>
      </c>
      <c r="N925" s="22" t="str">
        <v>3226363</v>
      </c>
    </row>
    <row r="926" spans="1:14" ht="15.6">
      <c r="A926" s="4" t="s">
        <v>703</v>
      </c>
      <c r="B926" s="5">
        <v>45185.821296108603</v>
      </c>
      <c r="C926" s="5">
        <v>45191.569276943199</v>
      </c>
      <c r="D926" s="4" t="s">
        <v>98</v>
      </c>
      <c r="E926" s="4" t="s">
        <v>704</v>
      </c>
      <c r="F926" s="4" t="s">
        <v>122</v>
      </c>
      <c r="G926" s="4">
        <f t="shared" ca="1" si="42"/>
        <v>13</v>
      </c>
      <c r="H926" s="4">
        <v>5</v>
      </c>
      <c r="I926">
        <f t="shared" ca="1" si="43"/>
        <v>65</v>
      </c>
      <c r="J926">
        <f t="shared" si="44"/>
        <v>9</v>
      </c>
      <c r="K926" t="str">
        <f>VLOOKUP(E926,地区表!$A$2:$C$255,3,FALSE)</f>
        <v>华东</v>
      </c>
      <c r="L926" s="23" t="str" cm="1">
        <f t="array" ref="L926:N926">_xlfn.TEXTSPLIT(A926,"-")</f>
        <v>CN</v>
      </c>
      <c r="M926" s="22" t="str">
        <v>2634</v>
      </c>
      <c r="N926" s="22" t="str">
        <v>2979175</v>
      </c>
    </row>
    <row r="927" spans="1:14" ht="15.6">
      <c r="A927" s="4" t="s">
        <v>719</v>
      </c>
      <c r="B927" s="5">
        <v>44564.857356996101</v>
      </c>
      <c r="C927" s="5">
        <v>44566.947814959902</v>
      </c>
      <c r="D927" s="4" t="s">
        <v>98</v>
      </c>
      <c r="E927" s="4" t="s">
        <v>720</v>
      </c>
      <c r="F927" s="4" t="s">
        <v>110</v>
      </c>
      <c r="G927" s="4">
        <f t="shared" ca="1" si="42"/>
        <v>41</v>
      </c>
      <c r="H927" s="4">
        <v>11</v>
      </c>
      <c r="I927">
        <f t="shared" ca="1" si="43"/>
        <v>451</v>
      </c>
      <c r="J927">
        <f t="shared" si="44"/>
        <v>1</v>
      </c>
      <c r="K927" t="str">
        <f>VLOOKUP(E927,地区表!$A$2:$C$255,3,FALSE)</f>
        <v>华北</v>
      </c>
      <c r="L927" s="23" t="str" cm="1">
        <f t="array" ref="L927:N927">_xlfn.TEXTSPLIT(A927,"-")</f>
        <v>US</v>
      </c>
      <c r="M927" s="22" t="str">
        <v>3108</v>
      </c>
      <c r="N927" s="22" t="str">
        <v>3504524</v>
      </c>
    </row>
    <row r="928" spans="1:14" ht="15.6">
      <c r="A928" s="4" t="s">
        <v>719</v>
      </c>
      <c r="B928" s="5">
        <v>44564.552194725104</v>
      </c>
      <c r="C928" s="5">
        <v>44566.5786215915</v>
      </c>
      <c r="D928" s="4" t="s">
        <v>98</v>
      </c>
      <c r="E928" s="4" t="s">
        <v>720</v>
      </c>
      <c r="F928" s="4" t="s">
        <v>110</v>
      </c>
      <c r="G928" s="4">
        <f t="shared" ca="1" si="42"/>
        <v>94</v>
      </c>
      <c r="H928" s="4">
        <v>6</v>
      </c>
      <c r="I928">
        <f t="shared" ca="1" si="43"/>
        <v>564</v>
      </c>
      <c r="J928">
        <f t="shared" si="44"/>
        <v>1</v>
      </c>
      <c r="K928" t="str">
        <f>VLOOKUP(E928,地区表!$A$2:$C$255,3,FALSE)</f>
        <v>华北</v>
      </c>
      <c r="L928" s="23" t="str" cm="1">
        <f t="array" ref="L928:N928">_xlfn.TEXTSPLIT(A928,"-")</f>
        <v>US</v>
      </c>
      <c r="M928" s="22" t="str">
        <v>3108</v>
      </c>
      <c r="N928" s="22" t="str">
        <v>3504524</v>
      </c>
    </row>
    <row r="929" spans="1:14" ht="15.6">
      <c r="A929" s="4" t="s">
        <v>719</v>
      </c>
      <c r="B929" s="5">
        <v>44564.404879167101</v>
      </c>
      <c r="C929" s="5">
        <v>44566.812312149901</v>
      </c>
      <c r="D929" s="4" t="s">
        <v>98</v>
      </c>
      <c r="E929" s="4" t="s">
        <v>720</v>
      </c>
      <c r="F929" s="4" t="s">
        <v>130</v>
      </c>
      <c r="G929" s="4">
        <f t="shared" ca="1" si="42"/>
        <v>72</v>
      </c>
      <c r="H929" s="4">
        <v>1</v>
      </c>
      <c r="I929">
        <f t="shared" ca="1" si="43"/>
        <v>72</v>
      </c>
      <c r="J929">
        <f t="shared" si="44"/>
        <v>1</v>
      </c>
      <c r="K929" t="str">
        <f>VLOOKUP(E929,地区表!$A$2:$C$255,3,FALSE)</f>
        <v>华北</v>
      </c>
      <c r="L929" s="23" t="str" cm="1">
        <f t="array" ref="L929:N929">_xlfn.TEXTSPLIT(A929,"-")</f>
        <v>US</v>
      </c>
      <c r="M929" s="22" t="str">
        <v>3108</v>
      </c>
      <c r="N929" s="22" t="str">
        <v>3504524</v>
      </c>
    </row>
    <row r="930" spans="1:14" ht="15.6">
      <c r="A930" s="4" t="s">
        <v>719</v>
      </c>
      <c r="B930" s="5">
        <v>44564.981277088496</v>
      </c>
      <c r="C930" s="5">
        <v>44566.379215907698</v>
      </c>
      <c r="D930" s="4" t="s">
        <v>98</v>
      </c>
      <c r="E930" s="4" t="s">
        <v>720</v>
      </c>
      <c r="F930" s="4" t="s">
        <v>110</v>
      </c>
      <c r="G930" s="4">
        <f t="shared" ca="1" si="42"/>
        <v>40</v>
      </c>
      <c r="H930" s="4">
        <v>3</v>
      </c>
      <c r="I930">
        <f t="shared" ca="1" si="43"/>
        <v>120</v>
      </c>
      <c r="J930">
        <f t="shared" si="44"/>
        <v>1</v>
      </c>
      <c r="K930" t="str">
        <f>VLOOKUP(E930,地区表!$A$2:$C$255,3,FALSE)</f>
        <v>华北</v>
      </c>
      <c r="L930" s="23" t="str" cm="1">
        <f t="array" ref="L930:N930">_xlfn.TEXTSPLIT(A930,"-")</f>
        <v>US</v>
      </c>
      <c r="M930" s="22" t="str">
        <v>3108</v>
      </c>
      <c r="N930" s="22" t="str">
        <v>3504524</v>
      </c>
    </row>
    <row r="931" spans="1:14" ht="15.6">
      <c r="A931" s="4" t="s">
        <v>778</v>
      </c>
      <c r="B931" s="5">
        <v>44634.860091807401</v>
      </c>
      <c r="C931" s="5">
        <v>44639.061019142602</v>
      </c>
      <c r="D931" s="4" t="s">
        <v>98</v>
      </c>
      <c r="E931" s="4" t="s">
        <v>720</v>
      </c>
      <c r="F931" s="4" t="s">
        <v>100</v>
      </c>
      <c r="G931" s="4">
        <f t="shared" ca="1" si="42"/>
        <v>72</v>
      </c>
      <c r="H931" s="4">
        <v>2</v>
      </c>
      <c r="I931">
        <f t="shared" ca="1" si="43"/>
        <v>144</v>
      </c>
      <c r="J931">
        <f t="shared" si="44"/>
        <v>3</v>
      </c>
      <c r="K931" t="str">
        <f>VLOOKUP(E931,地区表!$A$2:$C$255,3,FALSE)</f>
        <v>华北</v>
      </c>
      <c r="L931" s="23" t="str" cm="1">
        <f t="array" ref="L931:N931">_xlfn.TEXTSPLIT(A931,"-")</f>
        <v>CN</v>
      </c>
      <c r="M931" s="22" t="str">
        <v>2083</v>
      </c>
      <c r="N931" s="22" t="str">
        <v>2501800</v>
      </c>
    </row>
    <row r="932" spans="1:14" ht="15.6">
      <c r="A932" s="4" t="s">
        <v>666</v>
      </c>
      <c r="B932" s="5">
        <v>44356.362770851803</v>
      </c>
      <c r="C932" s="5">
        <v>44361.096229328898</v>
      </c>
      <c r="D932" s="4" t="s">
        <v>98</v>
      </c>
      <c r="E932" s="4" t="s">
        <v>667</v>
      </c>
      <c r="F932" s="4" t="s">
        <v>122</v>
      </c>
      <c r="G932" s="4">
        <f t="shared" ca="1" si="42"/>
        <v>28</v>
      </c>
      <c r="H932" s="4">
        <v>2</v>
      </c>
      <c r="I932">
        <f t="shared" ca="1" si="43"/>
        <v>56</v>
      </c>
      <c r="J932">
        <f t="shared" si="44"/>
        <v>6</v>
      </c>
      <c r="K932" t="str">
        <f>VLOOKUP(E932,地区表!$A$2:$C$255,3,FALSE)</f>
        <v>华东</v>
      </c>
      <c r="L932" s="23" t="str" cm="1">
        <f t="array" ref="L932:N932">_xlfn.TEXTSPLIT(A932,"-")</f>
        <v>US</v>
      </c>
      <c r="M932" s="22" t="str">
        <v>2900</v>
      </c>
      <c r="N932" s="22" t="str">
        <v>3210061</v>
      </c>
    </row>
    <row r="933" spans="1:14" ht="15.6">
      <c r="A933" s="4" t="s">
        <v>322</v>
      </c>
      <c r="B933" s="5">
        <v>44538.645151212499</v>
      </c>
      <c r="C933" s="5">
        <v>44542.913438187898</v>
      </c>
      <c r="D933" s="4" t="s">
        <v>94</v>
      </c>
      <c r="E933" s="4" t="s">
        <v>323</v>
      </c>
      <c r="F933" s="4" t="s">
        <v>106</v>
      </c>
      <c r="G933" s="4">
        <f t="shared" ca="1" si="42"/>
        <v>86</v>
      </c>
      <c r="H933" s="4">
        <v>2</v>
      </c>
      <c r="I933">
        <f t="shared" ca="1" si="43"/>
        <v>172</v>
      </c>
      <c r="J933">
        <f t="shared" si="44"/>
        <v>12</v>
      </c>
      <c r="K933" t="str">
        <f>VLOOKUP(E933,地区表!$A$2:$C$255,3,FALSE)</f>
        <v>东北</v>
      </c>
      <c r="L933" s="23" t="str" cm="1">
        <f t="array" ref="L933:N933">_xlfn.TEXTSPLIT(A933,"-")</f>
        <v>US</v>
      </c>
      <c r="M933" s="22" t="str">
        <v>3082</v>
      </c>
      <c r="N933" s="22" t="str">
        <v>3189070</v>
      </c>
    </row>
    <row r="934" spans="1:14" ht="15.6">
      <c r="A934" s="4" t="s">
        <v>555</v>
      </c>
      <c r="B934" s="5">
        <v>44862.941044690997</v>
      </c>
      <c r="C934" s="5">
        <v>44864.0466294035</v>
      </c>
      <c r="D934" s="4" t="s">
        <v>94</v>
      </c>
      <c r="E934" s="4" t="s">
        <v>556</v>
      </c>
      <c r="F934" s="4" t="s">
        <v>106</v>
      </c>
      <c r="G934" s="4">
        <f t="shared" ca="1" si="42"/>
        <v>47</v>
      </c>
      <c r="H934" s="4">
        <v>2</v>
      </c>
      <c r="I934">
        <f t="shared" ca="1" si="43"/>
        <v>94</v>
      </c>
      <c r="J934">
        <f t="shared" si="44"/>
        <v>10</v>
      </c>
      <c r="K934" t="str">
        <f>VLOOKUP(E934,地区表!$A$2:$C$255,3,FALSE)</f>
        <v>华东</v>
      </c>
      <c r="L934" s="23" t="str" cm="1">
        <f t="array" ref="L934:N934">_xlfn.TEXTSPLIT(A934,"-")</f>
        <v>CN</v>
      </c>
      <c r="M934" s="22" t="str">
        <v>2311</v>
      </c>
      <c r="N934" s="22" t="str">
        <v>4292548</v>
      </c>
    </row>
    <row r="935" spans="1:14" ht="15.6">
      <c r="A935" s="4" t="s">
        <v>555</v>
      </c>
      <c r="B935" s="5">
        <v>44862.9091876522</v>
      </c>
      <c r="C935" s="5">
        <v>44864.839496847002</v>
      </c>
      <c r="D935" s="4" t="s">
        <v>94</v>
      </c>
      <c r="E935" s="4" t="s">
        <v>556</v>
      </c>
      <c r="F935" s="4" t="s">
        <v>141</v>
      </c>
      <c r="G935" s="4">
        <f t="shared" ca="1" si="42"/>
        <v>42</v>
      </c>
      <c r="H935" s="4">
        <v>2</v>
      </c>
      <c r="I935">
        <f t="shared" ca="1" si="43"/>
        <v>84</v>
      </c>
      <c r="J935">
        <f t="shared" si="44"/>
        <v>10</v>
      </c>
      <c r="K935" t="str">
        <f>VLOOKUP(E935,地区表!$A$2:$C$255,3,FALSE)</f>
        <v>华东</v>
      </c>
      <c r="L935" s="23" t="str" cm="1">
        <f t="array" ref="L935:N935">_xlfn.TEXTSPLIT(A935,"-")</f>
        <v>CN</v>
      </c>
      <c r="M935" s="22" t="str">
        <v>2311</v>
      </c>
      <c r="N935" s="22" t="str">
        <v>4292548</v>
      </c>
    </row>
    <row r="936" spans="1:14" ht="15.6">
      <c r="A936" s="4" t="s">
        <v>555</v>
      </c>
      <c r="B936" s="5">
        <v>44862.5151094127</v>
      </c>
      <c r="C936" s="5">
        <v>44864.597071719698</v>
      </c>
      <c r="D936" s="4" t="s">
        <v>94</v>
      </c>
      <c r="E936" s="4" t="s">
        <v>556</v>
      </c>
      <c r="F936" s="4" t="s">
        <v>131</v>
      </c>
      <c r="G936" s="4">
        <f t="shared" ca="1" si="42"/>
        <v>38</v>
      </c>
      <c r="H936" s="4">
        <v>3</v>
      </c>
      <c r="I936">
        <f t="shared" ca="1" si="43"/>
        <v>114</v>
      </c>
      <c r="J936">
        <f t="shared" si="44"/>
        <v>10</v>
      </c>
      <c r="K936" t="str">
        <f>VLOOKUP(E936,地区表!$A$2:$C$255,3,FALSE)</f>
        <v>华东</v>
      </c>
      <c r="L936" s="23" t="str" cm="1">
        <f t="array" ref="L936:N936">_xlfn.TEXTSPLIT(A936,"-")</f>
        <v>CN</v>
      </c>
      <c r="M936" s="22" t="str">
        <v>2311</v>
      </c>
      <c r="N936" s="22" t="str">
        <v>4292548</v>
      </c>
    </row>
    <row r="937" spans="1:14" ht="15.6">
      <c r="A937" s="4" t="s">
        <v>555</v>
      </c>
      <c r="B937" s="5">
        <v>44862.982234347299</v>
      </c>
      <c r="C937" s="5">
        <v>44864.493965705798</v>
      </c>
      <c r="D937" s="4" t="s">
        <v>94</v>
      </c>
      <c r="E937" s="4" t="s">
        <v>556</v>
      </c>
      <c r="F937" s="4" t="s">
        <v>130</v>
      </c>
      <c r="G937" s="4">
        <f t="shared" ca="1" si="42"/>
        <v>67</v>
      </c>
      <c r="H937" s="4">
        <v>13</v>
      </c>
      <c r="I937">
        <f t="shared" ca="1" si="43"/>
        <v>871</v>
      </c>
      <c r="J937">
        <f t="shared" si="44"/>
        <v>10</v>
      </c>
      <c r="K937" t="str">
        <f>VLOOKUP(E937,地区表!$A$2:$C$255,3,FALSE)</f>
        <v>华东</v>
      </c>
      <c r="L937" s="23" t="str" cm="1">
        <f t="array" ref="L937:N937">_xlfn.TEXTSPLIT(A937,"-")</f>
        <v>CN</v>
      </c>
      <c r="M937" s="22" t="str">
        <v>2311</v>
      </c>
      <c r="N937" s="22" t="str">
        <v>4292548</v>
      </c>
    </row>
    <row r="938" spans="1:14" ht="15.6">
      <c r="A938" s="4" t="s">
        <v>555</v>
      </c>
      <c r="B938" s="5">
        <v>44862.169383782602</v>
      </c>
      <c r="C938" s="5">
        <v>44864.911313286197</v>
      </c>
      <c r="D938" s="4" t="s">
        <v>94</v>
      </c>
      <c r="E938" s="4" t="s">
        <v>556</v>
      </c>
      <c r="F938" s="4" t="s">
        <v>100</v>
      </c>
      <c r="G938" s="4">
        <f t="shared" ca="1" si="42"/>
        <v>71</v>
      </c>
      <c r="H938" s="4">
        <v>3</v>
      </c>
      <c r="I938">
        <f t="shared" ca="1" si="43"/>
        <v>213</v>
      </c>
      <c r="J938">
        <f t="shared" si="44"/>
        <v>10</v>
      </c>
      <c r="K938" t="str">
        <f>VLOOKUP(E938,地区表!$A$2:$C$255,3,FALSE)</f>
        <v>华东</v>
      </c>
      <c r="L938" s="23" t="str" cm="1">
        <f t="array" ref="L938:N938">_xlfn.TEXTSPLIT(A938,"-")</f>
        <v>CN</v>
      </c>
      <c r="M938" s="22" t="str">
        <v>2311</v>
      </c>
      <c r="N938" s="22" t="str">
        <v>4292548</v>
      </c>
    </row>
    <row r="939" spans="1:14" ht="15.6">
      <c r="A939" s="4" t="s">
        <v>555</v>
      </c>
      <c r="B939" s="5">
        <v>44862.307505352503</v>
      </c>
      <c r="C939" s="5">
        <v>44864.666423893301</v>
      </c>
      <c r="D939" s="4" t="s">
        <v>94</v>
      </c>
      <c r="E939" s="4" t="s">
        <v>556</v>
      </c>
      <c r="F939" s="4" t="s">
        <v>111</v>
      </c>
      <c r="G939" s="4">
        <f t="shared" ca="1" si="42"/>
        <v>18</v>
      </c>
      <c r="H939" s="4">
        <v>3</v>
      </c>
      <c r="I939">
        <f t="shared" ca="1" si="43"/>
        <v>54</v>
      </c>
      <c r="J939">
        <f t="shared" si="44"/>
        <v>10</v>
      </c>
      <c r="K939" t="str">
        <f>VLOOKUP(E939,地区表!$A$2:$C$255,3,FALSE)</f>
        <v>华东</v>
      </c>
      <c r="L939" s="23" t="str" cm="1">
        <f t="array" ref="L939:N939">_xlfn.TEXTSPLIT(A939,"-")</f>
        <v>CN</v>
      </c>
      <c r="M939" s="22" t="str">
        <v>2311</v>
      </c>
      <c r="N939" s="22" t="str">
        <v>4292548</v>
      </c>
    </row>
    <row r="940" spans="1:14" ht="15.6">
      <c r="A940" s="4" t="s">
        <v>555</v>
      </c>
      <c r="B940" s="5">
        <v>44862.718294075399</v>
      </c>
      <c r="C940" s="5">
        <v>44864.214207787598</v>
      </c>
      <c r="D940" s="4" t="s">
        <v>94</v>
      </c>
      <c r="E940" s="4" t="s">
        <v>556</v>
      </c>
      <c r="F940" s="4" t="s">
        <v>118</v>
      </c>
      <c r="G940" s="4">
        <f t="shared" ca="1" si="42"/>
        <v>13</v>
      </c>
      <c r="H940" s="4">
        <v>2</v>
      </c>
      <c r="I940">
        <f t="shared" ca="1" si="43"/>
        <v>26</v>
      </c>
      <c r="J940">
        <f t="shared" si="44"/>
        <v>10</v>
      </c>
      <c r="K940" t="str">
        <f>VLOOKUP(E940,地区表!$A$2:$C$255,3,FALSE)</f>
        <v>华东</v>
      </c>
      <c r="L940" s="23" t="str" cm="1">
        <f t="array" ref="L940:N940">_xlfn.TEXTSPLIT(A940,"-")</f>
        <v>CN</v>
      </c>
      <c r="M940" s="22" t="str">
        <v>2311</v>
      </c>
      <c r="N940" s="22" t="str">
        <v>4292548</v>
      </c>
    </row>
    <row r="941" spans="1:14" ht="15.6">
      <c r="A941" s="4" t="s">
        <v>508</v>
      </c>
      <c r="B941" s="5">
        <v>45177.909330812297</v>
      </c>
      <c r="C941" s="5">
        <v>45181.260699790801</v>
      </c>
      <c r="D941" s="4" t="s">
        <v>98</v>
      </c>
      <c r="E941" s="4" t="s">
        <v>509</v>
      </c>
      <c r="F941" s="4" t="s">
        <v>106</v>
      </c>
      <c r="G941" s="4">
        <f t="shared" ca="1" si="42"/>
        <v>42</v>
      </c>
      <c r="H941" s="4">
        <v>4</v>
      </c>
      <c r="I941">
        <f t="shared" ca="1" si="43"/>
        <v>168</v>
      </c>
      <c r="J941">
        <f t="shared" si="44"/>
        <v>9</v>
      </c>
      <c r="K941" t="str">
        <f>VLOOKUP(E941,地区表!$A$2:$C$255,3,FALSE)</f>
        <v>华东</v>
      </c>
      <c r="L941" s="23" t="str" cm="1">
        <f t="array" ref="L941:N941">_xlfn.TEXTSPLIT(A941,"-")</f>
        <v>CN</v>
      </c>
      <c r="M941" s="22" t="str">
        <v>2626</v>
      </c>
      <c r="N941" s="22" t="str">
        <v>4246507</v>
      </c>
    </row>
    <row r="942" spans="1:14" ht="15.6">
      <c r="A942" s="4" t="s">
        <v>508</v>
      </c>
      <c r="B942" s="5">
        <v>45177.604421592398</v>
      </c>
      <c r="C942" s="5">
        <v>45181.524991744896</v>
      </c>
      <c r="D942" s="4" t="s">
        <v>98</v>
      </c>
      <c r="E942" s="4" t="s">
        <v>509</v>
      </c>
      <c r="F942" s="4" t="s">
        <v>112</v>
      </c>
      <c r="G942" s="4">
        <f t="shared" ca="1" si="42"/>
        <v>10</v>
      </c>
      <c r="H942" s="4">
        <v>4</v>
      </c>
      <c r="I942">
        <f t="shared" ca="1" si="43"/>
        <v>40</v>
      </c>
      <c r="J942">
        <f t="shared" si="44"/>
        <v>9</v>
      </c>
      <c r="K942" t="str">
        <f>VLOOKUP(E942,地区表!$A$2:$C$255,3,FALSE)</f>
        <v>华东</v>
      </c>
      <c r="L942" s="23" t="str" cm="1">
        <f t="array" ref="L942:N942">_xlfn.TEXTSPLIT(A942,"-")</f>
        <v>CN</v>
      </c>
      <c r="M942" s="22" t="str">
        <v>2626</v>
      </c>
      <c r="N942" s="22" t="str">
        <v>4246507</v>
      </c>
    </row>
    <row r="943" spans="1:14" ht="15.6">
      <c r="A943" s="4" t="s">
        <v>508</v>
      </c>
      <c r="B943" s="5">
        <v>45177.9787035107</v>
      </c>
      <c r="C943" s="5">
        <v>45181.574212511703</v>
      </c>
      <c r="D943" s="4" t="s">
        <v>98</v>
      </c>
      <c r="E943" s="4" t="s">
        <v>509</v>
      </c>
      <c r="F943" s="4" t="s">
        <v>110</v>
      </c>
      <c r="G943" s="4">
        <f t="shared" ca="1" si="42"/>
        <v>47</v>
      </c>
      <c r="H943" s="4">
        <v>3</v>
      </c>
      <c r="I943">
        <f t="shared" ca="1" si="43"/>
        <v>141</v>
      </c>
      <c r="J943">
        <f t="shared" si="44"/>
        <v>9</v>
      </c>
      <c r="K943" t="str">
        <f>VLOOKUP(E943,地区表!$A$2:$C$255,3,FALSE)</f>
        <v>华东</v>
      </c>
      <c r="L943" s="23" t="str" cm="1">
        <f t="array" ref="L943:N943">_xlfn.TEXTSPLIT(A943,"-")</f>
        <v>CN</v>
      </c>
      <c r="M943" s="22" t="str">
        <v>2626</v>
      </c>
      <c r="N943" s="22" t="str">
        <v>4246507</v>
      </c>
    </row>
    <row r="944" spans="1:14" ht="15.6">
      <c r="A944" s="4" t="s">
        <v>508</v>
      </c>
      <c r="B944" s="5">
        <v>45177.671368807401</v>
      </c>
      <c r="C944" s="5">
        <v>45181.085650592497</v>
      </c>
      <c r="D944" s="4" t="s">
        <v>98</v>
      </c>
      <c r="E944" s="4" t="s">
        <v>509</v>
      </c>
      <c r="F944" s="4" t="s">
        <v>111</v>
      </c>
      <c r="G944" s="4">
        <f t="shared" ca="1" si="42"/>
        <v>86</v>
      </c>
      <c r="H944" s="4">
        <v>3</v>
      </c>
      <c r="I944">
        <f t="shared" ca="1" si="43"/>
        <v>258</v>
      </c>
      <c r="J944">
        <f t="shared" si="44"/>
        <v>9</v>
      </c>
      <c r="K944" t="str">
        <f>VLOOKUP(E944,地区表!$A$2:$C$255,3,FALSE)</f>
        <v>华东</v>
      </c>
      <c r="L944" s="23" t="str" cm="1">
        <f t="array" ref="L944:N944">_xlfn.TEXTSPLIT(A944,"-")</f>
        <v>CN</v>
      </c>
      <c r="M944" s="22" t="str">
        <v>2626</v>
      </c>
      <c r="N944" s="22" t="str">
        <v>4246507</v>
      </c>
    </row>
    <row r="945" spans="1:14" ht="15.6">
      <c r="A945" s="4" t="s">
        <v>758</v>
      </c>
      <c r="B945" s="5">
        <v>44518.535992224897</v>
      </c>
      <c r="C945" s="5">
        <v>44523.976120203602</v>
      </c>
      <c r="D945" s="4" t="s">
        <v>98</v>
      </c>
      <c r="E945" s="4" t="s">
        <v>509</v>
      </c>
      <c r="F945" s="4" t="s">
        <v>135</v>
      </c>
      <c r="G945" s="4">
        <f t="shared" ca="1" si="42"/>
        <v>35</v>
      </c>
      <c r="H945" s="4">
        <v>6</v>
      </c>
      <c r="I945">
        <f t="shared" ca="1" si="43"/>
        <v>210</v>
      </c>
      <c r="J945">
        <f t="shared" si="44"/>
        <v>11</v>
      </c>
      <c r="K945" t="str">
        <f>VLOOKUP(E945,地区表!$A$2:$C$255,3,FALSE)</f>
        <v>华东</v>
      </c>
      <c r="L945" s="23" t="str" cm="1">
        <f t="array" ref="L945:N945">_xlfn.TEXTSPLIT(A945,"-")</f>
        <v>CN</v>
      </c>
      <c r="M945" s="22" t="str">
        <v>3062</v>
      </c>
      <c r="N945" s="22" t="str">
        <v>3805086</v>
      </c>
    </row>
    <row r="946" spans="1:14" ht="15.6">
      <c r="A946" s="4" t="s">
        <v>320</v>
      </c>
      <c r="B946" s="5">
        <v>44270.980585503501</v>
      </c>
      <c r="C946" s="5">
        <v>44272.971853771603</v>
      </c>
      <c r="D946" s="4" t="s">
        <v>94</v>
      </c>
      <c r="E946" s="4" t="s">
        <v>321</v>
      </c>
      <c r="F946" s="4" t="s">
        <v>125</v>
      </c>
      <c r="G946" s="4">
        <f t="shared" ca="1" si="42"/>
        <v>69</v>
      </c>
      <c r="H946" s="4">
        <v>3</v>
      </c>
      <c r="I946">
        <f t="shared" ca="1" si="43"/>
        <v>207</v>
      </c>
      <c r="J946">
        <f t="shared" si="44"/>
        <v>3</v>
      </c>
      <c r="K946" t="str">
        <f>VLOOKUP(E946,地区表!$A$2:$C$255,3,FALSE)</f>
        <v>华北</v>
      </c>
      <c r="L946" s="23" t="str" cm="1">
        <f t="array" ref="L946:N946">_xlfn.TEXTSPLIT(A946,"-")</f>
        <v>CN</v>
      </c>
      <c r="M946" s="22" t="str">
        <v>2814</v>
      </c>
      <c r="N946" s="22" t="str">
        <v>2662386</v>
      </c>
    </row>
    <row r="947" spans="1:14" ht="15.6">
      <c r="A947" s="4" t="s">
        <v>490</v>
      </c>
      <c r="B947" s="5">
        <v>44505.049104107798</v>
      </c>
      <c r="C947" s="5">
        <v>44512.117258240098</v>
      </c>
      <c r="D947" s="4" t="s">
        <v>94</v>
      </c>
      <c r="E947" s="4" t="s">
        <v>491</v>
      </c>
      <c r="F947" s="4" t="s">
        <v>96</v>
      </c>
      <c r="G947" s="4">
        <f t="shared" ca="1" si="42"/>
        <v>20</v>
      </c>
      <c r="H947" s="4">
        <v>2</v>
      </c>
      <c r="I947">
        <f t="shared" ca="1" si="43"/>
        <v>40</v>
      </c>
      <c r="J947">
        <f t="shared" si="44"/>
        <v>11</v>
      </c>
      <c r="K947" t="str">
        <f>VLOOKUP(E947,地区表!$A$2:$C$255,3,FALSE)</f>
        <v>东北</v>
      </c>
      <c r="L947" s="23" t="str" cm="1">
        <f t="array" ref="L947:N947">_xlfn.TEXTSPLIT(A947,"-")</f>
        <v>CN</v>
      </c>
      <c r="M947" s="22" t="str">
        <v>3049</v>
      </c>
      <c r="N947" s="22" t="str">
        <v>1376899</v>
      </c>
    </row>
    <row r="948" spans="1:14" ht="15.6">
      <c r="A948" s="4" t="s">
        <v>490</v>
      </c>
      <c r="B948" s="5">
        <v>44505.7141817753</v>
      </c>
      <c r="C948" s="5">
        <v>44512.5130720003</v>
      </c>
      <c r="D948" s="4" t="s">
        <v>94</v>
      </c>
      <c r="E948" s="4" t="s">
        <v>491</v>
      </c>
      <c r="F948" s="4" t="s">
        <v>110</v>
      </c>
      <c r="G948" s="4">
        <f t="shared" ca="1" si="42"/>
        <v>28</v>
      </c>
      <c r="H948" s="4">
        <v>8</v>
      </c>
      <c r="I948">
        <f t="shared" ca="1" si="43"/>
        <v>224</v>
      </c>
      <c r="J948">
        <f t="shared" si="44"/>
        <v>11</v>
      </c>
      <c r="K948" t="str">
        <f>VLOOKUP(E948,地区表!$A$2:$C$255,3,FALSE)</f>
        <v>东北</v>
      </c>
      <c r="L948" s="23" t="str" cm="1">
        <f t="array" ref="L948:N948">_xlfn.TEXTSPLIT(A948,"-")</f>
        <v>CN</v>
      </c>
      <c r="M948" s="22" t="str">
        <v>3049</v>
      </c>
      <c r="N948" s="22" t="str">
        <v>1376899</v>
      </c>
    </row>
    <row r="949" spans="1:14" ht="15.6">
      <c r="A949" s="4" t="s">
        <v>805</v>
      </c>
      <c r="B949" s="5">
        <v>44864.929231535301</v>
      </c>
      <c r="C949" s="5">
        <v>44867.204974114997</v>
      </c>
      <c r="D949" s="4" t="s">
        <v>98</v>
      </c>
      <c r="E949" s="4" t="s">
        <v>806</v>
      </c>
      <c r="F949" s="4" t="s">
        <v>122</v>
      </c>
      <c r="G949" s="4">
        <f t="shared" ca="1" si="42"/>
        <v>28</v>
      </c>
      <c r="H949" s="4">
        <v>4</v>
      </c>
      <c r="I949">
        <f t="shared" ca="1" si="43"/>
        <v>112</v>
      </c>
      <c r="J949">
        <f t="shared" si="44"/>
        <v>10</v>
      </c>
      <c r="K949" t="str">
        <f>VLOOKUP(E949,地区表!$A$2:$C$255,3,FALSE)</f>
        <v>华北</v>
      </c>
      <c r="L949" s="23" t="str" cm="1">
        <f t="array" ref="L949:N949">_xlfn.TEXTSPLIT(A949,"-")</f>
        <v>CN</v>
      </c>
      <c r="M949" s="22" t="str">
        <v>2313</v>
      </c>
      <c r="N949" s="22" t="str">
        <v>1525230</v>
      </c>
    </row>
    <row r="950" spans="1:14" ht="15.6">
      <c r="A950" s="4" t="s">
        <v>244</v>
      </c>
      <c r="B950" s="5">
        <v>44526.119969277002</v>
      </c>
      <c r="C950" s="5">
        <v>44533.47904916</v>
      </c>
      <c r="D950" s="4" t="s">
        <v>98</v>
      </c>
      <c r="E950" s="4" t="s">
        <v>245</v>
      </c>
      <c r="F950" s="4" t="s">
        <v>125</v>
      </c>
      <c r="G950" s="4">
        <f t="shared" ca="1" si="42"/>
        <v>47</v>
      </c>
      <c r="H950" s="4">
        <v>3</v>
      </c>
      <c r="I950">
        <f t="shared" ca="1" si="43"/>
        <v>141</v>
      </c>
      <c r="J950">
        <f t="shared" si="44"/>
        <v>11</v>
      </c>
      <c r="K950" t="str">
        <f>VLOOKUP(E950,地区表!$A$2:$C$255,3,FALSE)</f>
        <v>华东</v>
      </c>
      <c r="L950" s="23" t="str" cm="1">
        <f t="array" ref="L950:N950">_xlfn.TEXTSPLIT(A950,"-")</f>
        <v>CN</v>
      </c>
      <c r="M950" s="22" t="str">
        <v>3070</v>
      </c>
      <c r="N950" s="22" t="str">
        <v>4680780</v>
      </c>
    </row>
    <row r="951" spans="1:14" ht="15.6">
      <c r="A951" s="4" t="s">
        <v>616</v>
      </c>
      <c r="B951" s="5">
        <v>45030.430976338997</v>
      </c>
      <c r="C951" s="5">
        <v>45035.259248820301</v>
      </c>
      <c r="D951" s="4" t="s">
        <v>94</v>
      </c>
      <c r="E951" s="4" t="s">
        <v>245</v>
      </c>
      <c r="F951" s="4" t="s">
        <v>100</v>
      </c>
      <c r="G951" s="4">
        <f t="shared" ca="1" si="42"/>
        <v>18</v>
      </c>
      <c r="H951" s="4">
        <v>2</v>
      </c>
      <c r="I951">
        <f t="shared" ca="1" si="43"/>
        <v>36</v>
      </c>
      <c r="J951">
        <f t="shared" si="44"/>
        <v>4</v>
      </c>
      <c r="K951" t="str">
        <f>VLOOKUP(E951,地区表!$A$2:$C$255,3,FALSE)</f>
        <v>华东</v>
      </c>
      <c r="L951" s="23" t="str" cm="1">
        <f t="array" ref="L951:N951">_xlfn.TEXTSPLIT(A951,"-")</f>
        <v>CN</v>
      </c>
      <c r="M951" s="22" t="str">
        <v>2479</v>
      </c>
      <c r="N951" s="22" t="str">
        <v>1564715</v>
      </c>
    </row>
    <row r="952" spans="1:14" ht="15.6">
      <c r="A952" s="4" t="s">
        <v>743</v>
      </c>
      <c r="B952" s="5">
        <v>44285.115388006998</v>
      </c>
      <c r="C952" s="5">
        <v>44289.093718122203</v>
      </c>
      <c r="D952" s="4" t="s">
        <v>98</v>
      </c>
      <c r="E952" s="4" t="s">
        <v>744</v>
      </c>
      <c r="F952" s="4" t="s">
        <v>141</v>
      </c>
      <c r="G952" s="4">
        <f t="shared" ca="1" si="42"/>
        <v>77</v>
      </c>
      <c r="H952" s="4">
        <v>2</v>
      </c>
      <c r="I952">
        <f t="shared" ca="1" si="43"/>
        <v>154</v>
      </c>
      <c r="J952">
        <f t="shared" si="44"/>
        <v>3</v>
      </c>
      <c r="K952" t="str">
        <f>VLOOKUP(E952,地区表!$A$2:$C$255,3,FALSE)</f>
        <v>华东</v>
      </c>
      <c r="L952" s="23" t="str" cm="1">
        <f t="array" ref="L952:N952">_xlfn.TEXTSPLIT(A952,"-")</f>
        <v>US</v>
      </c>
      <c r="M952" s="22" t="str">
        <v>2829</v>
      </c>
      <c r="N952" s="22" t="str">
        <v>5082514</v>
      </c>
    </row>
    <row r="953" spans="1:14" ht="15.6">
      <c r="A953" s="4" t="s">
        <v>743</v>
      </c>
      <c r="B953" s="5">
        <v>44285.800068124598</v>
      </c>
      <c r="C953" s="5">
        <v>44289.471758943197</v>
      </c>
      <c r="D953" s="4" t="s">
        <v>98</v>
      </c>
      <c r="E953" s="4" t="s">
        <v>744</v>
      </c>
      <c r="F953" s="4" t="s">
        <v>111</v>
      </c>
      <c r="G953" s="4">
        <f t="shared" ca="1" si="42"/>
        <v>100</v>
      </c>
      <c r="H953" s="4">
        <v>5</v>
      </c>
      <c r="I953">
        <f t="shared" ca="1" si="43"/>
        <v>500</v>
      </c>
      <c r="J953">
        <f t="shared" si="44"/>
        <v>3</v>
      </c>
      <c r="K953" t="str">
        <f>VLOOKUP(E953,地区表!$A$2:$C$255,3,FALSE)</f>
        <v>华东</v>
      </c>
      <c r="L953" s="23" t="str" cm="1">
        <f t="array" ref="L953:N953">_xlfn.TEXTSPLIT(A953,"-")</f>
        <v>US</v>
      </c>
      <c r="M953" s="22" t="str">
        <v>2829</v>
      </c>
      <c r="N953" s="22" t="str">
        <v>5082514</v>
      </c>
    </row>
    <row r="954" spans="1:14" ht="15.6">
      <c r="A954" s="4" t="s">
        <v>519</v>
      </c>
      <c r="B954" s="5">
        <v>45096.224263300603</v>
      </c>
      <c r="C954" s="5">
        <v>45096.935631987297</v>
      </c>
      <c r="D954" s="4" t="s">
        <v>94</v>
      </c>
      <c r="E954" s="4" t="s">
        <v>520</v>
      </c>
      <c r="F954" s="4" t="s">
        <v>101</v>
      </c>
      <c r="G954" s="4">
        <f t="shared" ca="1" si="42"/>
        <v>80</v>
      </c>
      <c r="H954" s="4">
        <v>3</v>
      </c>
      <c r="I954">
        <f t="shared" ca="1" si="43"/>
        <v>240</v>
      </c>
      <c r="J954">
        <f t="shared" si="44"/>
        <v>6</v>
      </c>
      <c r="K954" t="str">
        <f>VLOOKUP(E954,地区表!$A$2:$C$255,3,FALSE)</f>
        <v>中南</v>
      </c>
      <c r="L954" s="23" t="str" cm="1">
        <f t="array" ref="L954:N954">_xlfn.TEXTSPLIT(A954,"-")</f>
        <v>CN</v>
      </c>
      <c r="M954" s="22" t="str">
        <v>1814</v>
      </c>
      <c r="N954" s="22" t="str">
        <v>1776641</v>
      </c>
    </row>
    <row r="955" spans="1:14" ht="15.6">
      <c r="A955" s="4" t="s">
        <v>126</v>
      </c>
      <c r="B955" s="5">
        <v>44596.883346303803</v>
      </c>
      <c r="C955" s="5">
        <v>44598.762990958698</v>
      </c>
      <c r="D955" s="4" t="s">
        <v>98</v>
      </c>
      <c r="E955" s="4" t="s">
        <v>127</v>
      </c>
      <c r="F955" s="4" t="s">
        <v>121</v>
      </c>
      <c r="G955" s="4">
        <f t="shared" ca="1" si="42"/>
        <v>62</v>
      </c>
      <c r="H955" s="4">
        <v>7</v>
      </c>
      <c r="I955">
        <f t="shared" ca="1" si="43"/>
        <v>434</v>
      </c>
      <c r="J955">
        <f t="shared" si="44"/>
        <v>2</v>
      </c>
      <c r="K955" t="str">
        <f>VLOOKUP(E955,地区表!$A$2:$C$255,3,FALSE)</f>
        <v>华东</v>
      </c>
      <c r="L955" s="23" t="str" cm="1">
        <f t="array" ref="L955:N955">_xlfn.TEXTSPLIT(A955,"-")</f>
        <v>CN</v>
      </c>
      <c r="M955" s="22" t="str">
        <v>3140</v>
      </c>
      <c r="N955" s="22" t="str">
        <v>5631342</v>
      </c>
    </row>
    <row r="956" spans="1:14" ht="15.6">
      <c r="A956" s="4" t="s">
        <v>126</v>
      </c>
      <c r="B956" s="5">
        <v>44596.030430742801</v>
      </c>
      <c r="C956" s="5">
        <v>44598.229735055698</v>
      </c>
      <c r="D956" s="4" t="s">
        <v>98</v>
      </c>
      <c r="E956" s="4" t="s">
        <v>127</v>
      </c>
      <c r="F956" s="4" t="s">
        <v>96</v>
      </c>
      <c r="G956" s="4">
        <f t="shared" ca="1" si="42"/>
        <v>90</v>
      </c>
      <c r="H956" s="4">
        <v>1</v>
      </c>
      <c r="I956">
        <f t="shared" ca="1" si="43"/>
        <v>90</v>
      </c>
      <c r="J956">
        <f t="shared" si="44"/>
        <v>2</v>
      </c>
      <c r="K956" t="str">
        <f>VLOOKUP(E956,地区表!$A$2:$C$255,3,FALSE)</f>
        <v>华东</v>
      </c>
      <c r="L956" s="23" t="str" cm="1">
        <f t="array" ref="L956:N956">_xlfn.TEXTSPLIT(A956,"-")</f>
        <v>CN</v>
      </c>
      <c r="M956" s="22" t="str">
        <v>3140</v>
      </c>
      <c r="N956" s="22" t="str">
        <v>5631342</v>
      </c>
    </row>
    <row r="957" spans="1:14" ht="15.6">
      <c r="A957" s="4" t="s">
        <v>126</v>
      </c>
      <c r="B957" s="5">
        <v>44596.9996737771</v>
      </c>
      <c r="C957" s="5">
        <v>44598.480906413803</v>
      </c>
      <c r="D957" s="4" t="s">
        <v>98</v>
      </c>
      <c r="E957" s="4" t="s">
        <v>127</v>
      </c>
      <c r="F957" s="4" t="s">
        <v>101</v>
      </c>
      <c r="G957" s="4">
        <f t="shared" ca="1" si="42"/>
        <v>53</v>
      </c>
      <c r="H957" s="4">
        <v>5</v>
      </c>
      <c r="I957">
        <f t="shared" ca="1" si="43"/>
        <v>265</v>
      </c>
      <c r="J957">
        <f t="shared" si="44"/>
        <v>2</v>
      </c>
      <c r="K957" t="str">
        <f>VLOOKUP(E957,地区表!$A$2:$C$255,3,FALSE)</f>
        <v>华东</v>
      </c>
      <c r="L957" s="23" t="str" cm="1">
        <f t="array" ref="L957:N957">_xlfn.TEXTSPLIT(A957,"-")</f>
        <v>CN</v>
      </c>
      <c r="M957" s="22" t="str">
        <v>3140</v>
      </c>
      <c r="N957" s="22" t="str">
        <v>5631342</v>
      </c>
    </row>
    <row r="958" spans="1:14" ht="15.6">
      <c r="A958" s="4" t="s">
        <v>126</v>
      </c>
      <c r="B958" s="5">
        <v>44596.0251899418</v>
      </c>
      <c r="C958" s="5">
        <v>44598.934054822203</v>
      </c>
      <c r="D958" s="4" t="s">
        <v>98</v>
      </c>
      <c r="E958" s="4" t="s">
        <v>127</v>
      </c>
      <c r="F958" s="4" t="s">
        <v>101</v>
      </c>
      <c r="G958" s="4">
        <f t="shared" ca="1" si="42"/>
        <v>83</v>
      </c>
      <c r="H958" s="4">
        <v>6</v>
      </c>
      <c r="I958">
        <f t="shared" ca="1" si="43"/>
        <v>498</v>
      </c>
      <c r="J958">
        <f t="shared" si="44"/>
        <v>2</v>
      </c>
      <c r="K958" t="str">
        <f>VLOOKUP(E958,地区表!$A$2:$C$255,3,FALSE)</f>
        <v>华东</v>
      </c>
      <c r="L958" s="23" t="str" cm="1">
        <f t="array" ref="L958:N958">_xlfn.TEXTSPLIT(A958,"-")</f>
        <v>CN</v>
      </c>
      <c r="M958" s="22" t="str">
        <v>3140</v>
      </c>
      <c r="N958" s="22" t="str">
        <v>5631342</v>
      </c>
    </row>
    <row r="959" spans="1:14" ht="15.6">
      <c r="A959" s="4" t="s">
        <v>126</v>
      </c>
      <c r="B959" s="5">
        <v>44596.217072383297</v>
      </c>
      <c r="C959" s="5">
        <v>44598.575880526398</v>
      </c>
      <c r="D959" s="4" t="s">
        <v>98</v>
      </c>
      <c r="E959" s="4" t="s">
        <v>127</v>
      </c>
      <c r="F959" s="4" t="s">
        <v>122</v>
      </c>
      <c r="G959" s="4">
        <f t="shared" ca="1" si="42"/>
        <v>74</v>
      </c>
      <c r="H959" s="4">
        <v>7</v>
      </c>
      <c r="I959">
        <f t="shared" ca="1" si="43"/>
        <v>518</v>
      </c>
      <c r="J959">
        <f t="shared" si="44"/>
        <v>2</v>
      </c>
      <c r="K959" t="str">
        <f>VLOOKUP(E959,地区表!$A$2:$C$255,3,FALSE)</f>
        <v>华东</v>
      </c>
      <c r="L959" s="23" t="str" cm="1">
        <f t="array" ref="L959:N959">_xlfn.TEXTSPLIT(A959,"-")</f>
        <v>CN</v>
      </c>
      <c r="M959" s="22" t="str">
        <v>3140</v>
      </c>
      <c r="N959" s="22" t="str">
        <v>5631342</v>
      </c>
    </row>
    <row r="960" spans="1:14" ht="15.6">
      <c r="A960" s="4" t="s">
        <v>126</v>
      </c>
      <c r="B960" s="5">
        <v>44596.5053710871</v>
      </c>
      <c r="C960" s="5">
        <v>44598.285068659301</v>
      </c>
      <c r="D960" s="4" t="s">
        <v>98</v>
      </c>
      <c r="E960" s="4" t="s">
        <v>127</v>
      </c>
      <c r="F960" s="4" t="s">
        <v>118</v>
      </c>
      <c r="G960" s="4">
        <f t="shared" ca="1" si="42"/>
        <v>51</v>
      </c>
      <c r="H960" s="4">
        <v>3</v>
      </c>
      <c r="I960">
        <f t="shared" ca="1" si="43"/>
        <v>153</v>
      </c>
      <c r="J960">
        <f t="shared" si="44"/>
        <v>2</v>
      </c>
      <c r="K960" t="str">
        <f>VLOOKUP(E960,地区表!$A$2:$C$255,3,FALSE)</f>
        <v>华东</v>
      </c>
      <c r="L960" s="23" t="str" cm="1">
        <f t="array" ref="L960:N960">_xlfn.TEXTSPLIT(A960,"-")</f>
        <v>CN</v>
      </c>
      <c r="M960" s="22" t="str">
        <v>3140</v>
      </c>
      <c r="N960" s="22" t="str">
        <v>5631342</v>
      </c>
    </row>
    <row r="961" spans="1:14" ht="15.6">
      <c r="A961" s="4" t="s">
        <v>126</v>
      </c>
      <c r="B961" s="5">
        <v>44596.5406455509</v>
      </c>
      <c r="C961" s="5">
        <v>44598.720826073499</v>
      </c>
      <c r="D961" s="4" t="s">
        <v>98</v>
      </c>
      <c r="E961" s="4" t="s">
        <v>127</v>
      </c>
      <c r="F961" s="4" t="s">
        <v>96</v>
      </c>
      <c r="G961" s="4">
        <f t="shared" ca="1" si="42"/>
        <v>48</v>
      </c>
      <c r="H961" s="4">
        <v>2</v>
      </c>
      <c r="I961">
        <f t="shared" ca="1" si="43"/>
        <v>96</v>
      </c>
      <c r="J961">
        <f t="shared" si="44"/>
        <v>2</v>
      </c>
      <c r="K961" t="str">
        <f>VLOOKUP(E961,地区表!$A$2:$C$255,3,FALSE)</f>
        <v>华东</v>
      </c>
      <c r="L961" s="23" t="str" cm="1">
        <f t="array" ref="L961:N961">_xlfn.TEXTSPLIT(A961,"-")</f>
        <v>CN</v>
      </c>
      <c r="M961" s="22" t="str">
        <v>3140</v>
      </c>
      <c r="N961" s="22" t="str">
        <v>5631342</v>
      </c>
    </row>
    <row r="962" spans="1:14" ht="15.6">
      <c r="A962" s="4" t="s">
        <v>132</v>
      </c>
      <c r="B962" s="5">
        <v>44667.4964996294</v>
      </c>
      <c r="C962" s="5">
        <v>44670.742525750196</v>
      </c>
      <c r="D962" s="4" t="s">
        <v>98</v>
      </c>
      <c r="E962" s="4" t="s">
        <v>127</v>
      </c>
      <c r="F962" s="4" t="s">
        <v>101</v>
      </c>
      <c r="G962" s="4">
        <f t="shared" ref="G962:G999" ca="1" si="45">RANDBETWEEN(10,100)</f>
        <v>40</v>
      </c>
      <c r="H962" s="4">
        <v>5</v>
      </c>
      <c r="I962">
        <f t="shared" ca="1" si="43"/>
        <v>200</v>
      </c>
      <c r="J962">
        <f t="shared" si="44"/>
        <v>4</v>
      </c>
      <c r="K962" t="str">
        <f>VLOOKUP(E962,地区表!$A$2:$C$255,3,FALSE)</f>
        <v>华东</v>
      </c>
      <c r="L962" s="23" t="str" cm="1">
        <f t="array" ref="L962:N962">_xlfn.TEXTSPLIT(A962,"-")</f>
        <v>CN</v>
      </c>
      <c r="M962" s="22" t="str">
        <v>3211</v>
      </c>
      <c r="N962" s="22" t="str">
        <v>4364300</v>
      </c>
    </row>
    <row r="963" spans="1:14" ht="15.6">
      <c r="A963" s="4" t="s">
        <v>138</v>
      </c>
      <c r="B963" s="5">
        <v>45109.606823945498</v>
      </c>
      <c r="C963" s="5">
        <v>45110.888130608699</v>
      </c>
      <c r="D963" s="4" t="s">
        <v>98</v>
      </c>
      <c r="E963" s="4" t="s">
        <v>127</v>
      </c>
      <c r="F963" s="4" t="s">
        <v>131</v>
      </c>
      <c r="G963" s="4">
        <f t="shared" ca="1" si="45"/>
        <v>27</v>
      </c>
      <c r="H963" s="4">
        <v>5</v>
      </c>
      <c r="I963">
        <f t="shared" ref="I963:I999" ca="1" si="46">G963*H963</f>
        <v>135</v>
      </c>
      <c r="J963">
        <f t="shared" ref="J963:J999" si="47">MONTH(B963)</f>
        <v>7</v>
      </c>
      <c r="K963" t="str">
        <f>VLOOKUP(E963,地区表!$A$2:$C$255,3,FALSE)</f>
        <v>华东</v>
      </c>
      <c r="L963" s="23" t="str" cm="1">
        <f t="array" ref="L963:N963">_xlfn.TEXTSPLIT(A963,"-")</f>
        <v>CN</v>
      </c>
      <c r="M963" s="22" t="str">
        <v>2558</v>
      </c>
      <c r="N963" s="22" t="str">
        <v>1190387</v>
      </c>
    </row>
    <row r="964" spans="1:14" ht="15.6">
      <c r="A964" s="4" t="s">
        <v>191</v>
      </c>
      <c r="B964" s="5">
        <v>45202.951594268401</v>
      </c>
      <c r="C964" s="5">
        <v>45207.5178758908</v>
      </c>
      <c r="D964" s="4" t="s">
        <v>98</v>
      </c>
      <c r="E964" s="4" t="s">
        <v>127</v>
      </c>
      <c r="F964" s="4" t="s">
        <v>100</v>
      </c>
      <c r="G964" s="4">
        <f t="shared" ca="1" si="45"/>
        <v>61</v>
      </c>
      <c r="H964" s="4">
        <v>7</v>
      </c>
      <c r="I964">
        <f t="shared" ca="1" si="46"/>
        <v>427</v>
      </c>
      <c r="J964">
        <f t="shared" si="47"/>
        <v>10</v>
      </c>
      <c r="K964" t="str">
        <f>VLOOKUP(E964,地区表!$A$2:$C$255,3,FALSE)</f>
        <v>华东</v>
      </c>
      <c r="L964" s="23" t="str" cm="1">
        <f t="array" ref="L964:N964">_xlfn.TEXTSPLIT(A964,"-")</f>
        <v>CN</v>
      </c>
      <c r="M964" s="22" t="str">
        <v>1920</v>
      </c>
      <c r="N964" s="22" t="str">
        <v>4861225</v>
      </c>
    </row>
    <row r="965" spans="1:14" ht="15.6">
      <c r="A965" s="4" t="s">
        <v>191</v>
      </c>
      <c r="B965" s="5">
        <v>45202.4583163684</v>
      </c>
      <c r="C965" s="5">
        <v>45207.701221035197</v>
      </c>
      <c r="D965" s="4" t="s">
        <v>98</v>
      </c>
      <c r="E965" s="4" t="s">
        <v>127</v>
      </c>
      <c r="F965" s="4" t="s">
        <v>131</v>
      </c>
      <c r="G965" s="4">
        <f t="shared" ca="1" si="45"/>
        <v>13</v>
      </c>
      <c r="H965" s="4">
        <v>5</v>
      </c>
      <c r="I965">
        <f t="shared" ca="1" si="46"/>
        <v>65</v>
      </c>
      <c r="J965">
        <f t="shared" si="47"/>
        <v>10</v>
      </c>
      <c r="K965" t="str">
        <f>VLOOKUP(E965,地区表!$A$2:$C$255,3,FALSE)</f>
        <v>华东</v>
      </c>
      <c r="L965" s="23" t="str" cm="1">
        <f t="array" ref="L965:N965">_xlfn.TEXTSPLIT(A965,"-")</f>
        <v>CN</v>
      </c>
      <c r="M965" s="22" t="str">
        <v>1920</v>
      </c>
      <c r="N965" s="22" t="str">
        <v>4861225</v>
      </c>
    </row>
    <row r="966" spans="1:14" ht="15.6">
      <c r="A966" s="4" t="s">
        <v>295</v>
      </c>
      <c r="B966" s="5">
        <v>44440.654560953597</v>
      </c>
      <c r="C966" s="5">
        <v>44442.128399431902</v>
      </c>
      <c r="D966" s="4" t="s">
        <v>98</v>
      </c>
      <c r="E966" s="4" t="s">
        <v>127</v>
      </c>
      <c r="F966" s="4" t="s">
        <v>101</v>
      </c>
      <c r="G966" s="4">
        <f t="shared" ca="1" si="45"/>
        <v>32</v>
      </c>
      <c r="H966" s="4">
        <v>2</v>
      </c>
      <c r="I966">
        <f t="shared" ca="1" si="46"/>
        <v>64</v>
      </c>
      <c r="J966">
        <f t="shared" si="47"/>
        <v>9</v>
      </c>
      <c r="K966" t="str">
        <f>VLOOKUP(E966,地区表!$A$2:$C$255,3,FALSE)</f>
        <v>华东</v>
      </c>
      <c r="L966" s="23" t="str" cm="1">
        <f t="array" ref="L966:N966">_xlfn.TEXTSPLIT(A966,"-")</f>
        <v>CN</v>
      </c>
      <c r="M966" s="22" t="str">
        <v>2984</v>
      </c>
      <c r="N966" s="22" t="str">
        <v>1628412</v>
      </c>
    </row>
    <row r="967" spans="1:14" ht="15.6">
      <c r="A967" s="4" t="s">
        <v>351</v>
      </c>
      <c r="B967" s="5">
        <v>44656.546244544901</v>
      </c>
      <c r="C967" s="5">
        <v>44662.341708489497</v>
      </c>
      <c r="D967" s="4" t="s">
        <v>114</v>
      </c>
      <c r="E967" s="4" t="s">
        <v>127</v>
      </c>
      <c r="F967" s="4" t="s">
        <v>110</v>
      </c>
      <c r="G967" s="4">
        <f t="shared" ca="1" si="45"/>
        <v>55</v>
      </c>
      <c r="H967" s="4">
        <v>1</v>
      </c>
      <c r="I967">
        <f t="shared" ca="1" si="46"/>
        <v>55</v>
      </c>
      <c r="J967">
        <f t="shared" si="47"/>
        <v>4</v>
      </c>
      <c r="K967" t="str">
        <f>VLOOKUP(E967,地区表!$A$2:$C$255,3,FALSE)</f>
        <v>华东</v>
      </c>
      <c r="L967" s="23" t="str" cm="1">
        <f t="array" ref="L967:N967">_xlfn.TEXTSPLIT(A967,"-")</f>
        <v>CN</v>
      </c>
      <c r="M967" s="22" t="str">
        <v>3200</v>
      </c>
      <c r="N967" s="22" t="str">
        <v>4571372</v>
      </c>
    </row>
    <row r="968" spans="1:14" ht="15.6">
      <c r="A968" s="4" t="s">
        <v>351</v>
      </c>
      <c r="B968" s="5">
        <v>44656.735470773099</v>
      </c>
      <c r="C968" s="5">
        <v>44662.7044216582</v>
      </c>
      <c r="D968" s="4" t="s">
        <v>114</v>
      </c>
      <c r="E968" s="4" t="s">
        <v>127</v>
      </c>
      <c r="F968" s="4" t="s">
        <v>125</v>
      </c>
      <c r="G968" s="4">
        <f t="shared" ca="1" si="45"/>
        <v>94</v>
      </c>
      <c r="H968" s="4">
        <v>3</v>
      </c>
      <c r="I968">
        <f t="shared" ca="1" si="46"/>
        <v>282</v>
      </c>
      <c r="J968">
        <f t="shared" si="47"/>
        <v>4</v>
      </c>
      <c r="K968" t="str">
        <f>VLOOKUP(E968,地区表!$A$2:$C$255,3,FALSE)</f>
        <v>华东</v>
      </c>
      <c r="L968" s="23" t="str" cm="1">
        <f t="array" ref="L968:N968">_xlfn.TEXTSPLIT(A968,"-")</f>
        <v>CN</v>
      </c>
      <c r="M968" s="22" t="str">
        <v>3200</v>
      </c>
      <c r="N968" s="22" t="str">
        <v>4571372</v>
      </c>
    </row>
    <row r="969" spans="1:14" ht="15.6">
      <c r="A969" s="4" t="s">
        <v>463</v>
      </c>
      <c r="B969" s="5">
        <v>44710.35324746</v>
      </c>
      <c r="C969" s="5">
        <v>44712.759582335399</v>
      </c>
      <c r="D969" s="4" t="s">
        <v>98</v>
      </c>
      <c r="E969" s="4" t="s">
        <v>127</v>
      </c>
      <c r="F969" s="4" t="s">
        <v>135</v>
      </c>
      <c r="G969" s="4">
        <f t="shared" ca="1" si="45"/>
        <v>39</v>
      </c>
      <c r="H969" s="4">
        <v>11</v>
      </c>
      <c r="I969">
        <f t="shared" ca="1" si="46"/>
        <v>429</v>
      </c>
      <c r="J969">
        <f t="shared" si="47"/>
        <v>5</v>
      </c>
      <c r="K969" t="str">
        <f>VLOOKUP(E969,地区表!$A$2:$C$255,3,FALSE)</f>
        <v>华东</v>
      </c>
      <c r="L969" s="23" t="str" cm="1">
        <f t="array" ref="L969:N969">_xlfn.TEXTSPLIT(A969,"-")</f>
        <v>CN</v>
      </c>
      <c r="M969" s="22" t="str">
        <v>2159</v>
      </c>
      <c r="N969" s="22" t="str">
        <v>5740094</v>
      </c>
    </row>
    <row r="970" spans="1:14" ht="15.6">
      <c r="A970" s="4" t="s">
        <v>463</v>
      </c>
      <c r="B970" s="5">
        <v>44710.548253151101</v>
      </c>
      <c r="C970" s="5">
        <v>44712.220844389303</v>
      </c>
      <c r="D970" s="4" t="s">
        <v>98</v>
      </c>
      <c r="E970" s="4" t="s">
        <v>127</v>
      </c>
      <c r="F970" s="4" t="s">
        <v>141</v>
      </c>
      <c r="G970" s="4">
        <f t="shared" ca="1" si="45"/>
        <v>18</v>
      </c>
      <c r="H970" s="4">
        <v>7</v>
      </c>
      <c r="I970">
        <f t="shared" ca="1" si="46"/>
        <v>126</v>
      </c>
      <c r="J970">
        <f t="shared" si="47"/>
        <v>5</v>
      </c>
      <c r="K970" t="str">
        <f>VLOOKUP(E970,地区表!$A$2:$C$255,3,FALSE)</f>
        <v>华东</v>
      </c>
      <c r="L970" s="23" t="str" cm="1">
        <f t="array" ref="L970:N970">_xlfn.TEXTSPLIT(A970,"-")</f>
        <v>CN</v>
      </c>
      <c r="M970" s="22" t="str">
        <v>2159</v>
      </c>
      <c r="N970" s="22" t="str">
        <v>5740094</v>
      </c>
    </row>
    <row r="971" spans="1:14" ht="15.6">
      <c r="A971" s="4" t="s">
        <v>463</v>
      </c>
      <c r="B971" s="5">
        <v>44710.022533323601</v>
      </c>
      <c r="C971" s="5">
        <v>44712.773336434097</v>
      </c>
      <c r="D971" s="4" t="s">
        <v>98</v>
      </c>
      <c r="E971" s="4" t="s">
        <v>127</v>
      </c>
      <c r="F971" s="4" t="s">
        <v>110</v>
      </c>
      <c r="G971" s="4">
        <f t="shared" ca="1" si="45"/>
        <v>88</v>
      </c>
      <c r="H971" s="4">
        <v>1</v>
      </c>
      <c r="I971">
        <f t="shared" ca="1" si="46"/>
        <v>88</v>
      </c>
      <c r="J971">
        <f t="shared" si="47"/>
        <v>5</v>
      </c>
      <c r="K971" t="str">
        <f>VLOOKUP(E971,地区表!$A$2:$C$255,3,FALSE)</f>
        <v>华东</v>
      </c>
      <c r="L971" s="23" t="str" cm="1">
        <f t="array" ref="L971:N971">_xlfn.TEXTSPLIT(A971,"-")</f>
        <v>CN</v>
      </c>
      <c r="M971" s="22" t="str">
        <v>2159</v>
      </c>
      <c r="N971" s="22" t="str">
        <v>5740094</v>
      </c>
    </row>
    <row r="972" spans="1:14" ht="15.6">
      <c r="A972" s="4" t="s">
        <v>463</v>
      </c>
      <c r="B972" s="5">
        <v>44710.7917298709</v>
      </c>
      <c r="C972" s="5">
        <v>44712.010079849497</v>
      </c>
      <c r="D972" s="4" t="s">
        <v>98</v>
      </c>
      <c r="E972" s="4" t="s">
        <v>127</v>
      </c>
      <c r="F972" s="4" t="s">
        <v>110</v>
      </c>
      <c r="G972" s="4">
        <f t="shared" ca="1" si="45"/>
        <v>45</v>
      </c>
      <c r="H972" s="4">
        <v>6</v>
      </c>
      <c r="I972">
        <f t="shared" ca="1" si="46"/>
        <v>270</v>
      </c>
      <c r="J972">
        <f t="shared" si="47"/>
        <v>5</v>
      </c>
      <c r="K972" t="str">
        <f>VLOOKUP(E972,地区表!$A$2:$C$255,3,FALSE)</f>
        <v>华东</v>
      </c>
      <c r="L972" s="23" t="str" cm="1">
        <f t="array" ref="L972:N972">_xlfn.TEXTSPLIT(A972,"-")</f>
        <v>CN</v>
      </c>
      <c r="M972" s="22" t="str">
        <v>2159</v>
      </c>
      <c r="N972" s="22" t="str">
        <v>5740094</v>
      </c>
    </row>
    <row r="973" spans="1:14" ht="15.6">
      <c r="A973" s="4" t="s">
        <v>617</v>
      </c>
      <c r="B973" s="5">
        <v>44679.023983147301</v>
      </c>
      <c r="C973" s="5">
        <v>44683.718401278398</v>
      </c>
      <c r="D973" s="4" t="s">
        <v>114</v>
      </c>
      <c r="E973" s="4" t="s">
        <v>127</v>
      </c>
      <c r="F973" s="4" t="s">
        <v>101</v>
      </c>
      <c r="G973" s="4">
        <f t="shared" ca="1" si="45"/>
        <v>79</v>
      </c>
      <c r="H973" s="4">
        <v>2</v>
      </c>
      <c r="I973">
        <f t="shared" ca="1" si="46"/>
        <v>158</v>
      </c>
      <c r="J973">
        <f t="shared" si="47"/>
        <v>4</v>
      </c>
      <c r="K973" t="str">
        <f>VLOOKUP(E973,地区表!$A$2:$C$255,3,FALSE)</f>
        <v>华东</v>
      </c>
      <c r="L973" s="23" t="str" cm="1">
        <f t="array" ref="L973:N973">_xlfn.TEXTSPLIT(A973,"-")</f>
        <v>CN</v>
      </c>
      <c r="M973" s="22" t="str">
        <v>3223</v>
      </c>
      <c r="N973" s="22" t="str">
        <v>3281446</v>
      </c>
    </row>
    <row r="974" spans="1:14" ht="15.6">
      <c r="A974" s="4" t="s">
        <v>617</v>
      </c>
      <c r="B974" s="5">
        <v>44679.178810555102</v>
      </c>
      <c r="C974" s="5">
        <v>44683.576038892599</v>
      </c>
      <c r="D974" s="4" t="s">
        <v>114</v>
      </c>
      <c r="E974" s="4" t="s">
        <v>127</v>
      </c>
      <c r="F974" s="4" t="s">
        <v>101</v>
      </c>
      <c r="G974" s="4">
        <f t="shared" ca="1" si="45"/>
        <v>75</v>
      </c>
      <c r="H974" s="4">
        <v>3</v>
      </c>
      <c r="I974">
        <f t="shared" ca="1" si="46"/>
        <v>225</v>
      </c>
      <c r="J974">
        <f t="shared" si="47"/>
        <v>4</v>
      </c>
      <c r="K974" t="str">
        <f>VLOOKUP(E974,地区表!$A$2:$C$255,3,FALSE)</f>
        <v>华东</v>
      </c>
      <c r="L974" s="23" t="str" cm="1">
        <f t="array" ref="L974:N974">_xlfn.TEXTSPLIT(A974,"-")</f>
        <v>CN</v>
      </c>
      <c r="M974" s="22" t="str">
        <v>3223</v>
      </c>
      <c r="N974" s="22" t="str">
        <v>3281446</v>
      </c>
    </row>
    <row r="975" spans="1:14" ht="15.6">
      <c r="A975" s="4" t="s">
        <v>625</v>
      </c>
      <c r="B975" s="5">
        <v>45288.668088660299</v>
      </c>
      <c r="C975" s="5">
        <v>44197.866548853497</v>
      </c>
      <c r="D975" s="4" t="s">
        <v>98</v>
      </c>
      <c r="E975" s="4" t="s">
        <v>127</v>
      </c>
      <c r="F975" s="4" t="s">
        <v>121</v>
      </c>
      <c r="G975" s="4">
        <f t="shared" ca="1" si="45"/>
        <v>42</v>
      </c>
      <c r="H975" s="4">
        <v>4</v>
      </c>
      <c r="I975">
        <f t="shared" ca="1" si="46"/>
        <v>168</v>
      </c>
      <c r="J975">
        <f t="shared" si="47"/>
        <v>12</v>
      </c>
      <c r="K975" t="str">
        <f>VLOOKUP(E975,地区表!$A$2:$C$255,3,FALSE)</f>
        <v>华东</v>
      </c>
      <c r="L975" s="23" t="str" cm="1">
        <f t="array" ref="L975:N975">_xlfn.TEXTSPLIT(A975,"-")</f>
        <v>CN</v>
      </c>
      <c r="M975" s="22" t="str">
        <v>2737</v>
      </c>
      <c r="N975" s="22" t="str">
        <v>2852208</v>
      </c>
    </row>
    <row r="976" spans="1:14" ht="15.6">
      <c r="A976" s="4" t="s">
        <v>687</v>
      </c>
      <c r="B976" s="5">
        <v>45031.223127878002</v>
      </c>
      <c r="C976" s="5">
        <v>45033.432825449301</v>
      </c>
      <c r="D976" s="4" t="s">
        <v>94</v>
      </c>
      <c r="E976" s="4" t="s">
        <v>127</v>
      </c>
      <c r="F976" s="4" t="s">
        <v>118</v>
      </c>
      <c r="G976" s="4">
        <f t="shared" ca="1" si="45"/>
        <v>53</v>
      </c>
      <c r="H976" s="4">
        <v>2</v>
      </c>
      <c r="I976">
        <f t="shared" ca="1" si="46"/>
        <v>106</v>
      </c>
      <c r="J976">
        <f t="shared" si="47"/>
        <v>4</v>
      </c>
      <c r="K976" t="str">
        <f>VLOOKUP(E976,地区表!$A$2:$C$255,3,FALSE)</f>
        <v>华东</v>
      </c>
      <c r="L976" s="23" t="str" cm="1">
        <f t="array" ref="L976:N976">_xlfn.TEXTSPLIT(A976,"-")</f>
        <v>CN</v>
      </c>
      <c r="M976" s="22" t="str">
        <v>2480</v>
      </c>
      <c r="N976" s="22" t="str">
        <v>4526574</v>
      </c>
    </row>
    <row r="977" spans="1:14" ht="15.6">
      <c r="A977" s="4" t="s">
        <v>687</v>
      </c>
      <c r="B977" s="5">
        <v>45031.326383522297</v>
      </c>
      <c r="C977" s="5">
        <v>45033.475546596703</v>
      </c>
      <c r="D977" s="4" t="s">
        <v>94</v>
      </c>
      <c r="E977" s="4" t="s">
        <v>127</v>
      </c>
      <c r="F977" s="4" t="s">
        <v>125</v>
      </c>
      <c r="G977" s="4">
        <f t="shared" ca="1" si="45"/>
        <v>21</v>
      </c>
      <c r="H977" s="4">
        <v>2</v>
      </c>
      <c r="I977">
        <f t="shared" ca="1" si="46"/>
        <v>42</v>
      </c>
      <c r="J977">
        <f t="shared" si="47"/>
        <v>4</v>
      </c>
      <c r="K977" t="str">
        <f>VLOOKUP(E977,地区表!$A$2:$C$255,3,FALSE)</f>
        <v>华东</v>
      </c>
      <c r="L977" s="23" t="str" cm="1">
        <f t="array" ref="L977:N977">_xlfn.TEXTSPLIT(A977,"-")</f>
        <v>CN</v>
      </c>
      <c r="M977" s="22" t="str">
        <v>2480</v>
      </c>
      <c r="N977" s="22" t="str">
        <v>4526574</v>
      </c>
    </row>
    <row r="978" spans="1:14" ht="15.6">
      <c r="A978" s="4" t="s">
        <v>687</v>
      </c>
      <c r="B978" s="5">
        <v>45031.558581297002</v>
      </c>
      <c r="C978" s="5">
        <v>45033.5564625529</v>
      </c>
      <c r="D978" s="4" t="s">
        <v>94</v>
      </c>
      <c r="E978" s="4" t="s">
        <v>127</v>
      </c>
      <c r="F978" s="4" t="s">
        <v>112</v>
      </c>
      <c r="G978" s="4">
        <f t="shared" ca="1" si="45"/>
        <v>76</v>
      </c>
      <c r="H978" s="4">
        <v>6</v>
      </c>
      <c r="I978">
        <f t="shared" ca="1" si="46"/>
        <v>456</v>
      </c>
      <c r="J978">
        <f t="shared" si="47"/>
        <v>4</v>
      </c>
      <c r="K978" t="str">
        <f>VLOOKUP(E978,地区表!$A$2:$C$255,3,FALSE)</f>
        <v>华东</v>
      </c>
      <c r="L978" s="23" t="str" cm="1">
        <f t="array" ref="L978:N978">_xlfn.TEXTSPLIT(A978,"-")</f>
        <v>CN</v>
      </c>
      <c r="M978" s="22" t="str">
        <v>2480</v>
      </c>
      <c r="N978" s="22" t="str">
        <v>4526574</v>
      </c>
    </row>
    <row r="979" spans="1:14" ht="15.6">
      <c r="A979" s="4" t="s">
        <v>687</v>
      </c>
      <c r="B979" s="5">
        <v>45031.936623390502</v>
      </c>
      <c r="C979" s="5">
        <v>45033.2287352973</v>
      </c>
      <c r="D979" s="4" t="s">
        <v>94</v>
      </c>
      <c r="E979" s="4" t="s">
        <v>127</v>
      </c>
      <c r="F979" s="4" t="s">
        <v>118</v>
      </c>
      <c r="G979" s="4">
        <f t="shared" ca="1" si="45"/>
        <v>84</v>
      </c>
      <c r="H979" s="4">
        <v>2</v>
      </c>
      <c r="I979">
        <f t="shared" ca="1" si="46"/>
        <v>168</v>
      </c>
      <c r="J979">
        <f t="shared" si="47"/>
        <v>4</v>
      </c>
      <c r="K979" t="str">
        <f>VLOOKUP(E979,地区表!$A$2:$C$255,3,FALSE)</f>
        <v>华东</v>
      </c>
      <c r="L979" s="23" t="str" cm="1">
        <f t="array" ref="L979:N979">_xlfn.TEXTSPLIT(A979,"-")</f>
        <v>CN</v>
      </c>
      <c r="M979" s="22" t="str">
        <v>2480</v>
      </c>
      <c r="N979" s="22" t="str">
        <v>4526574</v>
      </c>
    </row>
    <row r="980" spans="1:14" ht="15.6">
      <c r="A980" s="4" t="s">
        <v>687</v>
      </c>
      <c r="B980" s="5">
        <v>45031.744044177598</v>
      </c>
      <c r="C980" s="5">
        <v>45033.247336849097</v>
      </c>
      <c r="D980" s="4" t="s">
        <v>94</v>
      </c>
      <c r="E980" s="4" t="s">
        <v>127</v>
      </c>
      <c r="F980" s="4" t="s">
        <v>131</v>
      </c>
      <c r="G980" s="4">
        <f t="shared" ca="1" si="45"/>
        <v>83</v>
      </c>
      <c r="H980" s="4">
        <v>2</v>
      </c>
      <c r="I980">
        <f t="shared" ca="1" si="46"/>
        <v>166</v>
      </c>
      <c r="J980">
        <f t="shared" si="47"/>
        <v>4</v>
      </c>
      <c r="K980" t="str">
        <f>VLOOKUP(E980,地区表!$A$2:$C$255,3,FALSE)</f>
        <v>华东</v>
      </c>
      <c r="L980" s="23" t="str" cm="1">
        <f t="array" ref="L980:N980">_xlfn.TEXTSPLIT(A980,"-")</f>
        <v>CN</v>
      </c>
      <c r="M980" s="22" t="str">
        <v>2480</v>
      </c>
      <c r="N980" s="22" t="str">
        <v>4526574</v>
      </c>
    </row>
    <row r="981" spans="1:14" ht="15.6">
      <c r="A981" s="4" t="s">
        <v>687</v>
      </c>
      <c r="B981" s="5">
        <v>45031.9055642944</v>
      </c>
      <c r="C981" s="5">
        <v>45033.207649862001</v>
      </c>
      <c r="D981" s="4" t="s">
        <v>94</v>
      </c>
      <c r="E981" s="4" t="s">
        <v>127</v>
      </c>
      <c r="F981" s="4" t="s">
        <v>121</v>
      </c>
      <c r="G981" s="4">
        <f t="shared" ca="1" si="45"/>
        <v>70</v>
      </c>
      <c r="H981" s="4">
        <v>3</v>
      </c>
      <c r="I981">
        <f t="shared" ca="1" si="46"/>
        <v>210</v>
      </c>
      <c r="J981">
        <f t="shared" si="47"/>
        <v>4</v>
      </c>
      <c r="K981" t="str">
        <f>VLOOKUP(E981,地区表!$A$2:$C$255,3,FALSE)</f>
        <v>华东</v>
      </c>
      <c r="L981" s="23" t="str" cm="1">
        <f t="array" ref="L981:N981">_xlfn.TEXTSPLIT(A981,"-")</f>
        <v>CN</v>
      </c>
      <c r="M981" s="22" t="str">
        <v>2480</v>
      </c>
      <c r="N981" s="22" t="str">
        <v>4526574</v>
      </c>
    </row>
    <row r="982" spans="1:14" ht="15.6">
      <c r="A982" s="4" t="s">
        <v>687</v>
      </c>
      <c r="B982" s="5">
        <v>45031.903389269799</v>
      </c>
      <c r="C982" s="5">
        <v>45033.881373879703</v>
      </c>
      <c r="D982" s="4" t="s">
        <v>94</v>
      </c>
      <c r="E982" s="4" t="s">
        <v>127</v>
      </c>
      <c r="F982" s="4" t="s">
        <v>121</v>
      </c>
      <c r="G982" s="4">
        <f t="shared" ca="1" si="45"/>
        <v>95</v>
      </c>
      <c r="H982" s="4">
        <v>6</v>
      </c>
      <c r="I982">
        <f t="shared" ca="1" si="46"/>
        <v>570</v>
      </c>
      <c r="J982">
        <f t="shared" si="47"/>
        <v>4</v>
      </c>
      <c r="K982" t="str">
        <f>VLOOKUP(E982,地区表!$A$2:$C$255,3,FALSE)</f>
        <v>华东</v>
      </c>
      <c r="L982" s="23" t="str" cm="1">
        <f t="array" ref="L982:N982">_xlfn.TEXTSPLIT(A982,"-")</f>
        <v>CN</v>
      </c>
      <c r="M982" s="22" t="str">
        <v>2480</v>
      </c>
      <c r="N982" s="22" t="str">
        <v>4526574</v>
      </c>
    </row>
    <row r="983" spans="1:14" ht="15.6">
      <c r="A983" s="4" t="s">
        <v>705</v>
      </c>
      <c r="B983" s="5">
        <v>44502.836900649098</v>
      </c>
      <c r="C983" s="5">
        <v>44507.994412372602</v>
      </c>
      <c r="D983" s="4" t="s">
        <v>98</v>
      </c>
      <c r="E983" s="4" t="s">
        <v>127</v>
      </c>
      <c r="F983" s="4" t="s">
        <v>125</v>
      </c>
      <c r="G983" s="4">
        <f t="shared" ca="1" si="45"/>
        <v>32</v>
      </c>
      <c r="H983" s="4">
        <v>3</v>
      </c>
      <c r="I983">
        <f t="shared" ca="1" si="46"/>
        <v>96</v>
      </c>
      <c r="J983">
        <f t="shared" si="47"/>
        <v>11</v>
      </c>
      <c r="K983" t="str">
        <f>VLOOKUP(E983,地区表!$A$2:$C$255,3,FALSE)</f>
        <v>华东</v>
      </c>
      <c r="L983" s="23" t="str" cm="1">
        <f t="array" ref="L983:N983">_xlfn.TEXTSPLIT(A983,"-")</f>
        <v>CN</v>
      </c>
      <c r="M983" s="22" t="str">
        <v>3046</v>
      </c>
      <c r="N983" s="22" t="str">
        <v>2051602</v>
      </c>
    </row>
    <row r="984" spans="1:14" ht="15.6">
      <c r="A984" s="4" t="s">
        <v>705</v>
      </c>
      <c r="B984" s="5">
        <v>44502.154319431902</v>
      </c>
      <c r="C984" s="5">
        <v>44507.605125791</v>
      </c>
      <c r="D984" s="4" t="s">
        <v>98</v>
      </c>
      <c r="E984" s="4" t="s">
        <v>127</v>
      </c>
      <c r="F984" s="4" t="s">
        <v>125</v>
      </c>
      <c r="G984" s="4">
        <f t="shared" ca="1" si="45"/>
        <v>68</v>
      </c>
      <c r="H984" s="4">
        <v>2</v>
      </c>
      <c r="I984">
        <f t="shared" ca="1" si="46"/>
        <v>136</v>
      </c>
      <c r="J984">
        <f t="shared" si="47"/>
        <v>11</v>
      </c>
      <c r="K984" t="str">
        <f>VLOOKUP(E984,地区表!$A$2:$C$255,3,FALSE)</f>
        <v>华东</v>
      </c>
      <c r="L984" s="23" t="str" cm="1">
        <f t="array" ref="L984:N984">_xlfn.TEXTSPLIT(A984,"-")</f>
        <v>CN</v>
      </c>
      <c r="M984" s="22" t="str">
        <v>3046</v>
      </c>
      <c r="N984" s="22" t="str">
        <v>2051602</v>
      </c>
    </row>
    <row r="985" spans="1:14" ht="15.6">
      <c r="A985" s="4" t="s">
        <v>721</v>
      </c>
      <c r="B985" s="5">
        <v>44357.159302386397</v>
      </c>
      <c r="C985" s="5">
        <v>44363.658381431502</v>
      </c>
      <c r="D985" s="4" t="s">
        <v>98</v>
      </c>
      <c r="E985" s="4" t="s">
        <v>127</v>
      </c>
      <c r="F985" s="4" t="s">
        <v>101</v>
      </c>
      <c r="G985" s="4">
        <f t="shared" ca="1" si="45"/>
        <v>83</v>
      </c>
      <c r="H985" s="4">
        <v>6</v>
      </c>
      <c r="I985">
        <f t="shared" ca="1" si="46"/>
        <v>498</v>
      </c>
      <c r="J985">
        <f t="shared" si="47"/>
        <v>6</v>
      </c>
      <c r="K985" t="str">
        <f>VLOOKUP(E985,地区表!$A$2:$C$255,3,FALSE)</f>
        <v>华东</v>
      </c>
      <c r="L985" s="23" t="str" cm="1">
        <f t="array" ref="L985:N985">_xlfn.TEXTSPLIT(A985,"-")</f>
        <v>CN</v>
      </c>
      <c r="M985" s="22" t="str">
        <v>2901</v>
      </c>
      <c r="N985" s="22" t="str">
        <v>5956912</v>
      </c>
    </row>
    <row r="986" spans="1:14" ht="15.6">
      <c r="A986" s="4" t="s">
        <v>748</v>
      </c>
      <c r="B986" s="5">
        <v>44564.616995997501</v>
      </c>
      <c r="C986" s="5">
        <v>44566.249755680903</v>
      </c>
      <c r="D986" s="4" t="s">
        <v>114</v>
      </c>
      <c r="E986" s="4" t="s">
        <v>127</v>
      </c>
      <c r="F986" s="4" t="s">
        <v>101</v>
      </c>
      <c r="G986" s="4">
        <f t="shared" ca="1" si="45"/>
        <v>27</v>
      </c>
      <c r="H986" s="4">
        <v>3</v>
      </c>
      <c r="I986">
        <f t="shared" ca="1" si="46"/>
        <v>81</v>
      </c>
      <c r="J986">
        <f t="shared" si="47"/>
        <v>1</v>
      </c>
      <c r="K986" t="str">
        <f>VLOOKUP(E986,地区表!$A$2:$C$255,3,FALSE)</f>
        <v>华东</v>
      </c>
      <c r="L986" s="23" t="str" cm="1">
        <f t="array" ref="L986:N986">_xlfn.TEXTSPLIT(A986,"-")</f>
        <v>CN</v>
      </c>
      <c r="M986" s="22" t="str">
        <v>3108</v>
      </c>
      <c r="N986" s="22" t="str">
        <v>2501800</v>
      </c>
    </row>
    <row r="987" spans="1:14" ht="15.6">
      <c r="A987" s="4" t="s">
        <v>822</v>
      </c>
      <c r="B987" s="5">
        <v>44305.203311443103</v>
      </c>
      <c r="C987" s="5">
        <v>44311.4978077669</v>
      </c>
      <c r="D987" s="4" t="s">
        <v>98</v>
      </c>
      <c r="E987" s="4" t="s">
        <v>127</v>
      </c>
      <c r="F987" s="4" t="s">
        <v>125</v>
      </c>
      <c r="G987" s="4">
        <f t="shared" ca="1" si="45"/>
        <v>94</v>
      </c>
      <c r="H987" s="4">
        <v>5</v>
      </c>
      <c r="I987">
        <f t="shared" ca="1" si="46"/>
        <v>470</v>
      </c>
      <c r="J987">
        <f t="shared" si="47"/>
        <v>4</v>
      </c>
      <c r="K987" t="str">
        <f>VLOOKUP(E987,地区表!$A$2:$C$255,3,FALSE)</f>
        <v>华东</v>
      </c>
      <c r="L987" s="23" t="str" cm="1">
        <f t="array" ref="L987:N987">_xlfn.TEXTSPLIT(A987,"-")</f>
        <v>CN</v>
      </c>
      <c r="M987" s="22" t="str">
        <v>2849</v>
      </c>
      <c r="N987" s="22" t="str">
        <v>5569845</v>
      </c>
    </row>
    <row r="988" spans="1:14" ht="15.6">
      <c r="A988" s="4" t="s">
        <v>822</v>
      </c>
      <c r="B988" s="5">
        <v>44305.458864439002</v>
      </c>
      <c r="C988" s="5">
        <v>44311.867861192302</v>
      </c>
      <c r="D988" s="4" t="s">
        <v>98</v>
      </c>
      <c r="E988" s="4" t="s">
        <v>127</v>
      </c>
      <c r="F988" s="4" t="s">
        <v>122</v>
      </c>
      <c r="G988" s="4">
        <f t="shared" ca="1" si="45"/>
        <v>17</v>
      </c>
      <c r="H988" s="4">
        <v>6</v>
      </c>
      <c r="I988">
        <f t="shared" ca="1" si="46"/>
        <v>102</v>
      </c>
      <c r="J988">
        <f t="shared" si="47"/>
        <v>4</v>
      </c>
      <c r="K988" t="str">
        <f>VLOOKUP(E988,地区表!$A$2:$C$255,3,FALSE)</f>
        <v>华东</v>
      </c>
      <c r="L988" s="23" t="str" cm="1">
        <f t="array" ref="L988:N988">_xlfn.TEXTSPLIT(A988,"-")</f>
        <v>CN</v>
      </c>
      <c r="M988" s="22" t="str">
        <v>2849</v>
      </c>
      <c r="N988" s="22" t="str">
        <v>5569845</v>
      </c>
    </row>
    <row r="989" spans="1:14" ht="15.6">
      <c r="A989" s="4" t="s">
        <v>822</v>
      </c>
      <c r="B989" s="5">
        <v>44305.087991692199</v>
      </c>
      <c r="C989" s="5">
        <v>44311.7359106367</v>
      </c>
      <c r="D989" s="4" t="s">
        <v>98</v>
      </c>
      <c r="E989" s="4" t="s">
        <v>127</v>
      </c>
      <c r="F989" s="4" t="s">
        <v>110</v>
      </c>
      <c r="G989" s="4">
        <f t="shared" ca="1" si="45"/>
        <v>21</v>
      </c>
      <c r="H989" s="4">
        <v>3</v>
      </c>
      <c r="I989">
        <f t="shared" ca="1" si="46"/>
        <v>63</v>
      </c>
      <c r="J989">
        <f t="shared" si="47"/>
        <v>4</v>
      </c>
      <c r="K989" t="str">
        <f>VLOOKUP(E989,地区表!$A$2:$C$255,3,FALSE)</f>
        <v>华东</v>
      </c>
      <c r="L989" s="23" t="str" cm="1">
        <f t="array" ref="L989:N989">_xlfn.TEXTSPLIT(A989,"-")</f>
        <v>CN</v>
      </c>
      <c r="M989" s="22" t="str">
        <v>2849</v>
      </c>
      <c r="N989" s="22" t="str">
        <v>5569845</v>
      </c>
    </row>
    <row r="990" spans="1:14" ht="15.6">
      <c r="A990" s="4" t="s">
        <v>822</v>
      </c>
      <c r="B990" s="5">
        <v>44305.2943246668</v>
      </c>
      <c r="C990" s="5">
        <v>44311.069875662797</v>
      </c>
      <c r="D990" s="4" t="s">
        <v>98</v>
      </c>
      <c r="E990" s="4" t="s">
        <v>127</v>
      </c>
      <c r="F990" s="4" t="s">
        <v>106</v>
      </c>
      <c r="G990" s="4">
        <f t="shared" ca="1" si="45"/>
        <v>26</v>
      </c>
      <c r="H990" s="4">
        <v>12</v>
      </c>
      <c r="I990">
        <f t="shared" ca="1" si="46"/>
        <v>312</v>
      </c>
      <c r="J990">
        <f t="shared" si="47"/>
        <v>4</v>
      </c>
      <c r="K990" t="str">
        <f>VLOOKUP(E990,地区表!$A$2:$C$255,3,FALSE)</f>
        <v>华东</v>
      </c>
      <c r="L990" s="23" t="str" cm="1">
        <f t="array" ref="L990:N990">_xlfn.TEXTSPLIT(A990,"-")</f>
        <v>CN</v>
      </c>
      <c r="M990" s="22" t="str">
        <v>2849</v>
      </c>
      <c r="N990" s="22" t="str">
        <v>5569845</v>
      </c>
    </row>
    <row r="991" spans="1:14" ht="15.6">
      <c r="A991" s="4" t="s">
        <v>822</v>
      </c>
      <c r="B991" s="5">
        <v>44305.006598296502</v>
      </c>
      <c r="C991" s="5">
        <v>44311.577547270397</v>
      </c>
      <c r="D991" s="4" t="s">
        <v>98</v>
      </c>
      <c r="E991" s="4" t="s">
        <v>127</v>
      </c>
      <c r="F991" s="4" t="s">
        <v>122</v>
      </c>
      <c r="G991" s="4">
        <f t="shared" ca="1" si="45"/>
        <v>34</v>
      </c>
      <c r="H991" s="4">
        <v>4</v>
      </c>
      <c r="I991">
        <f t="shared" ca="1" si="46"/>
        <v>136</v>
      </c>
      <c r="J991">
        <f t="shared" si="47"/>
        <v>4</v>
      </c>
      <c r="K991" t="str">
        <f>VLOOKUP(E991,地区表!$A$2:$C$255,3,FALSE)</f>
        <v>华东</v>
      </c>
      <c r="L991" s="23" t="str" cm="1">
        <f t="array" ref="L991:N991">_xlfn.TEXTSPLIT(A991,"-")</f>
        <v>CN</v>
      </c>
      <c r="M991" s="22" t="str">
        <v>2849</v>
      </c>
      <c r="N991" s="22" t="str">
        <v>5569845</v>
      </c>
    </row>
    <row r="992" spans="1:14" ht="15.6">
      <c r="A992" s="4" t="s">
        <v>822</v>
      </c>
      <c r="B992" s="5">
        <v>44305.707227208601</v>
      </c>
      <c r="C992" s="5">
        <v>44311.5475896391</v>
      </c>
      <c r="D992" s="4" t="s">
        <v>98</v>
      </c>
      <c r="E992" s="4" t="s">
        <v>127</v>
      </c>
      <c r="F992" s="4" t="s">
        <v>141</v>
      </c>
      <c r="G992" s="4">
        <f t="shared" ca="1" si="45"/>
        <v>71</v>
      </c>
      <c r="H992" s="4">
        <v>2</v>
      </c>
      <c r="I992">
        <f t="shared" ca="1" si="46"/>
        <v>142</v>
      </c>
      <c r="J992">
        <f t="shared" si="47"/>
        <v>4</v>
      </c>
      <c r="K992" t="str">
        <f>VLOOKUP(E992,地区表!$A$2:$C$255,3,FALSE)</f>
        <v>华东</v>
      </c>
      <c r="L992" s="23" t="str" cm="1">
        <f t="array" ref="L992:N992">_xlfn.TEXTSPLIT(A992,"-")</f>
        <v>CN</v>
      </c>
      <c r="M992" s="22" t="str">
        <v>2849</v>
      </c>
      <c r="N992" s="22" t="str">
        <v>5569845</v>
      </c>
    </row>
    <row r="993" spans="1:14" ht="15.6">
      <c r="A993" s="4" t="s">
        <v>826</v>
      </c>
      <c r="B993" s="5">
        <v>44899.395104919597</v>
      </c>
      <c r="C993" s="5">
        <v>44901.430799803602</v>
      </c>
      <c r="D993" s="4" t="s">
        <v>94</v>
      </c>
      <c r="E993" s="4" t="s">
        <v>127</v>
      </c>
      <c r="F993" s="4" t="s">
        <v>106</v>
      </c>
      <c r="G993" s="4">
        <f t="shared" ca="1" si="45"/>
        <v>38</v>
      </c>
      <c r="H993" s="4">
        <v>5</v>
      </c>
      <c r="I993">
        <f t="shared" ca="1" si="46"/>
        <v>190</v>
      </c>
      <c r="J993">
        <f t="shared" si="47"/>
        <v>12</v>
      </c>
      <c r="K993" t="str">
        <f>VLOOKUP(E993,地区表!$A$2:$C$255,3,FALSE)</f>
        <v>华东</v>
      </c>
      <c r="L993" s="23" t="str" cm="1">
        <f t="array" ref="L993:N993">_xlfn.TEXTSPLIT(A993,"-")</f>
        <v>CN</v>
      </c>
      <c r="M993" s="22" t="str">
        <v>2348</v>
      </c>
      <c r="N993" s="22" t="str">
        <v>2606671</v>
      </c>
    </row>
    <row r="994" spans="1:14" ht="15.6">
      <c r="A994" s="4" t="s">
        <v>830</v>
      </c>
      <c r="B994" s="5">
        <v>44476.997724060697</v>
      </c>
      <c r="C994" s="5">
        <v>44480.196966699201</v>
      </c>
      <c r="D994" s="4" t="s">
        <v>98</v>
      </c>
      <c r="E994" s="4" t="s">
        <v>127</v>
      </c>
      <c r="F994" s="4" t="s">
        <v>100</v>
      </c>
      <c r="G994" s="4">
        <f t="shared" ca="1" si="45"/>
        <v>15</v>
      </c>
      <c r="H994" s="4">
        <v>2</v>
      </c>
      <c r="I994">
        <f t="shared" ca="1" si="46"/>
        <v>30</v>
      </c>
      <c r="J994">
        <f t="shared" si="47"/>
        <v>10</v>
      </c>
      <c r="K994" t="str">
        <f>VLOOKUP(E994,地区表!$A$2:$C$255,3,FALSE)</f>
        <v>华东</v>
      </c>
      <c r="L994" s="23" t="str" cm="1">
        <f t="array" ref="L994:N994">_xlfn.TEXTSPLIT(A994,"-")</f>
        <v>CN</v>
      </c>
      <c r="M994" s="22" t="str">
        <v>3020</v>
      </c>
      <c r="N994" s="22" t="str">
        <v>3693425</v>
      </c>
    </row>
    <row r="995" spans="1:14" ht="15.6">
      <c r="A995" s="4" t="s">
        <v>830</v>
      </c>
      <c r="B995" s="5">
        <v>44476.9360624373</v>
      </c>
      <c r="C995" s="5">
        <v>44480.7175488516</v>
      </c>
      <c r="D995" s="4" t="s">
        <v>98</v>
      </c>
      <c r="E995" s="4" t="s">
        <v>127</v>
      </c>
      <c r="F995" s="4" t="s">
        <v>141</v>
      </c>
      <c r="G995" s="4">
        <f t="shared" ca="1" si="45"/>
        <v>48</v>
      </c>
      <c r="H995" s="4">
        <v>3</v>
      </c>
      <c r="I995">
        <f t="shared" ca="1" si="46"/>
        <v>144</v>
      </c>
      <c r="J995">
        <f t="shared" si="47"/>
        <v>10</v>
      </c>
      <c r="K995" t="str">
        <f>VLOOKUP(E995,地区表!$A$2:$C$255,3,FALSE)</f>
        <v>华东</v>
      </c>
      <c r="L995" s="23" t="str" cm="1">
        <f t="array" ref="L995:N995">_xlfn.TEXTSPLIT(A995,"-")</f>
        <v>CN</v>
      </c>
      <c r="M995" s="22" t="str">
        <v>3020</v>
      </c>
      <c r="N995" s="22" t="str">
        <v>3693425</v>
      </c>
    </row>
    <row r="996" spans="1:14" ht="15.6">
      <c r="A996" s="4" t="s">
        <v>592</v>
      </c>
      <c r="B996" s="5">
        <v>44485.387879132701</v>
      </c>
      <c r="C996" s="5">
        <v>44488.687246089699</v>
      </c>
      <c r="D996" s="4" t="s">
        <v>98</v>
      </c>
      <c r="E996" s="4" t="s">
        <v>593</v>
      </c>
      <c r="F996" s="4" t="s">
        <v>122</v>
      </c>
      <c r="G996" s="4">
        <f t="shared" ca="1" si="45"/>
        <v>32</v>
      </c>
      <c r="H996" s="4">
        <v>6</v>
      </c>
      <c r="I996">
        <f t="shared" ca="1" si="46"/>
        <v>192</v>
      </c>
      <c r="J996">
        <f t="shared" si="47"/>
        <v>10</v>
      </c>
      <c r="K996" t="str">
        <f>VLOOKUP(E996,地区表!$A$2:$C$255,3,FALSE)</f>
        <v>中南</v>
      </c>
      <c r="L996" s="23" t="str" cm="1">
        <f t="array" ref="L996:N996">_xlfn.TEXTSPLIT(A996,"-")</f>
        <v>CN</v>
      </c>
      <c r="M996" s="22" t="str">
        <v>3029</v>
      </c>
      <c r="N996" s="22" t="str">
        <v>5468349</v>
      </c>
    </row>
    <row r="997" spans="1:14" ht="15.6">
      <c r="A997" s="4" t="s">
        <v>592</v>
      </c>
      <c r="B997" s="5">
        <v>44485.4343575444</v>
      </c>
      <c r="C997" s="5">
        <v>44488.468725973398</v>
      </c>
      <c r="D997" s="4" t="s">
        <v>98</v>
      </c>
      <c r="E997" s="4" t="s">
        <v>593</v>
      </c>
      <c r="F997" s="4" t="s">
        <v>109</v>
      </c>
      <c r="G997" s="4">
        <f t="shared" ca="1" si="45"/>
        <v>43</v>
      </c>
      <c r="H997" s="4">
        <v>7</v>
      </c>
      <c r="I997">
        <f t="shared" ca="1" si="46"/>
        <v>301</v>
      </c>
      <c r="J997">
        <f t="shared" si="47"/>
        <v>10</v>
      </c>
      <c r="K997" t="str">
        <f>VLOOKUP(E997,地区表!$A$2:$C$255,3,FALSE)</f>
        <v>中南</v>
      </c>
      <c r="L997" s="23" t="str" cm="1">
        <f t="array" ref="L997:N997">_xlfn.TEXTSPLIT(A997,"-")</f>
        <v>CN</v>
      </c>
      <c r="M997" s="22" t="str">
        <v>3029</v>
      </c>
      <c r="N997" s="22" t="str">
        <v>5468349</v>
      </c>
    </row>
    <row r="998" spans="1:14" ht="15.6">
      <c r="A998" s="4" t="s">
        <v>209</v>
      </c>
      <c r="B998" s="5">
        <v>44968.564080538497</v>
      </c>
      <c r="C998" s="5">
        <v>44970.509323506099</v>
      </c>
      <c r="D998" s="4" t="s">
        <v>114</v>
      </c>
      <c r="E998" s="24" t="s">
        <v>210</v>
      </c>
      <c r="F998" s="4" t="s">
        <v>110</v>
      </c>
      <c r="G998" s="4">
        <f t="shared" ca="1" si="45"/>
        <v>85</v>
      </c>
      <c r="H998" s="4">
        <v>7</v>
      </c>
      <c r="I998">
        <f t="shared" ca="1" si="46"/>
        <v>595</v>
      </c>
      <c r="J998">
        <f t="shared" si="47"/>
        <v>2</v>
      </c>
      <c r="K998" t="str">
        <f>VLOOKUP(E998,地区表!$A$2:$C$255,3,FALSE)</f>
        <v>东北</v>
      </c>
      <c r="L998" s="23" t="str" cm="1">
        <f t="array" ref="L998:N998">_xlfn.TEXTSPLIT(A998,"-")</f>
        <v>CN</v>
      </c>
      <c r="M998" s="22" t="str">
        <v>2417</v>
      </c>
      <c r="N998" s="22" t="str">
        <v>5378913</v>
      </c>
    </row>
    <row r="999" spans="1:14" ht="15.6">
      <c r="A999" s="4" t="s">
        <v>209</v>
      </c>
      <c r="B999" s="5">
        <v>44968.6563375521</v>
      </c>
      <c r="C999" s="5">
        <v>44970.200039559</v>
      </c>
      <c r="D999" s="4" t="s">
        <v>114</v>
      </c>
      <c r="E999" s="4" t="s">
        <v>210</v>
      </c>
      <c r="F999" s="4" t="s">
        <v>121</v>
      </c>
      <c r="G999" s="4">
        <f t="shared" ca="1" si="45"/>
        <v>32</v>
      </c>
      <c r="H999" s="4">
        <v>4</v>
      </c>
      <c r="I999">
        <f t="shared" ca="1" si="46"/>
        <v>128</v>
      </c>
      <c r="J999">
        <f t="shared" si="47"/>
        <v>2</v>
      </c>
      <c r="K999" t="str">
        <f>VLOOKUP(E999,地区表!$A$2:$C$255,3,FALSE)</f>
        <v>东北</v>
      </c>
      <c r="L999" s="23" t="str" cm="1">
        <f t="array" ref="L999:N999">_xlfn.TEXTSPLIT(A999,"-")</f>
        <v>CN</v>
      </c>
      <c r="M999" s="22" t="str">
        <v>2417</v>
      </c>
      <c r="N999" s="22" t="str">
        <v>5378913</v>
      </c>
    </row>
  </sheetData>
  <autoFilter ref="A1:N999"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3413-B81A-47E8-91CD-5085CB579C54}">
  <sheetPr codeName="Sheet10"/>
  <dimension ref="A1:P999"/>
  <sheetViews>
    <sheetView workbookViewId="0">
      <selection activeCell="C16" sqref="C16"/>
    </sheetView>
  </sheetViews>
  <sheetFormatPr defaultColWidth="8.6640625" defaultRowHeight="14.4"/>
  <cols>
    <col min="1" max="1" width="17.5546875" style="25" customWidth="1"/>
    <col min="2" max="3" width="21.33203125" style="27" customWidth="1"/>
    <col min="4" max="4" width="10.33203125" style="25" customWidth="1"/>
    <col min="5" max="5" width="11.109375" style="25" customWidth="1"/>
    <col min="6" max="6" width="8.109375" style="25" customWidth="1"/>
    <col min="7" max="7" width="11.5546875" style="25" customWidth="1"/>
    <col min="8" max="10" width="8.6640625" style="25"/>
    <col min="11" max="11" width="9.44140625" style="25" bestFit="1" customWidth="1"/>
    <col min="12" max="12" width="14.44140625" style="26" customWidth="1"/>
    <col min="13" max="15" width="14.44140625" style="25" customWidth="1"/>
    <col min="16" max="16384" width="8.6640625" style="25"/>
  </cols>
  <sheetData>
    <row r="1" spans="1:16" ht="15.6">
      <c r="A1" s="36" t="s">
        <v>79</v>
      </c>
      <c r="B1" s="36" t="s">
        <v>80</v>
      </c>
      <c r="C1" s="36" t="s">
        <v>81</v>
      </c>
      <c r="D1" s="36" t="s">
        <v>82</v>
      </c>
      <c r="E1" s="36" t="s">
        <v>83</v>
      </c>
      <c r="F1" s="36" t="s">
        <v>84</v>
      </c>
      <c r="G1" s="36" t="s">
        <v>85</v>
      </c>
      <c r="H1" s="36" t="s">
        <v>86</v>
      </c>
      <c r="I1" s="35" t="s">
        <v>87</v>
      </c>
      <c r="J1" s="35" t="s">
        <v>876</v>
      </c>
      <c r="K1" s="37" t="s">
        <v>89</v>
      </c>
      <c r="L1" s="54" t="s">
        <v>846</v>
      </c>
      <c r="M1" s="55"/>
      <c r="N1" s="55"/>
      <c r="O1" s="55"/>
    </row>
    <row r="2" spans="1:16" ht="15.6">
      <c r="A2" s="28" t="s">
        <v>93</v>
      </c>
      <c r="B2" s="29">
        <v>44438.029942054804</v>
      </c>
      <c r="C2" s="29">
        <v>44440.856329397997</v>
      </c>
      <c r="D2" s="28" t="s">
        <v>94</v>
      </c>
      <c r="E2" s="28" t="s">
        <v>95</v>
      </c>
      <c r="F2" s="28" t="s">
        <v>96</v>
      </c>
      <c r="G2" s="28">
        <f t="shared" ref="G2:G65" ca="1" si="0">RANDBETWEEN(10,100)</f>
        <v>11</v>
      </c>
      <c r="H2" s="28">
        <v>2</v>
      </c>
      <c r="I2" s="25">
        <f t="shared" ref="I2:I65" ca="1" si="1">G2*H2</f>
        <v>22</v>
      </c>
      <c r="J2" s="25" t="str">
        <f>VLOOKUP(F2,地区表!$D$2:$E$18,2,FALSE)</f>
        <v>办公用品</v>
      </c>
      <c r="K2" s="38" t="str">
        <f>VLOOKUP(E2,地区表!$A$2:$C$255,3,FALSE)</f>
        <v>华东</v>
      </c>
      <c r="L2" s="34" t="s">
        <v>82</v>
      </c>
      <c r="M2" s="33" t="s">
        <v>847</v>
      </c>
      <c r="N2" s="33" t="s">
        <v>848</v>
      </c>
      <c r="O2" s="33" t="s">
        <v>849</v>
      </c>
    </row>
    <row r="3" spans="1:16" ht="15.6">
      <c r="A3" s="28" t="s">
        <v>97</v>
      </c>
      <c r="B3" s="29">
        <v>44487.674599152997</v>
      </c>
      <c r="C3" s="29">
        <v>44491.388291616597</v>
      </c>
      <c r="D3" s="28" t="s">
        <v>98</v>
      </c>
      <c r="E3" s="28" t="s">
        <v>99</v>
      </c>
      <c r="F3" s="28" t="s">
        <v>100</v>
      </c>
      <c r="G3" s="28">
        <f t="shared" ca="1" si="0"/>
        <v>55</v>
      </c>
      <c r="H3" s="28">
        <v>2</v>
      </c>
      <c r="I3" s="25">
        <f t="shared" ca="1" si="1"/>
        <v>110</v>
      </c>
      <c r="J3" s="25" t="str">
        <f>VLOOKUP(F3,地区表!$D$2:$E$18,2,FALSE)</f>
        <v>办公用品</v>
      </c>
      <c r="K3" s="38" t="str">
        <f>VLOOKUP(E3,地区表!$A$2:$C$255,3,FALSE)</f>
        <v>西南</v>
      </c>
      <c r="L3" s="34" t="s">
        <v>94</v>
      </c>
      <c r="M3" s="31">
        <f ca="1">SUMIFS(I2:I999,D2:D999,L3,J2:J999,M2)</f>
        <v>46476</v>
      </c>
      <c r="N3" s="32">
        <f ca="1">SUMIFS(I2:I999,D2:D999,L3,J2:J999,N2)</f>
        <v>13484</v>
      </c>
      <c r="O3" s="31">
        <f ca="1">SUMIFS(I2:I999,D2:D999,L3,J2:J999,O2)</f>
        <v>14405</v>
      </c>
    </row>
    <row r="4" spans="1:16" ht="15.6">
      <c r="A4" s="28" t="s">
        <v>97</v>
      </c>
      <c r="B4" s="29">
        <v>44487.429724455702</v>
      </c>
      <c r="C4" s="29">
        <v>44491.647587706299</v>
      </c>
      <c r="D4" s="28" t="s">
        <v>98</v>
      </c>
      <c r="E4" s="28" t="s">
        <v>99</v>
      </c>
      <c r="F4" s="28" t="s">
        <v>101</v>
      </c>
      <c r="G4" s="28">
        <f t="shared" ca="1" si="0"/>
        <v>25</v>
      </c>
      <c r="H4" s="28">
        <v>2</v>
      </c>
      <c r="I4" s="25">
        <f t="shared" ca="1" si="1"/>
        <v>50</v>
      </c>
      <c r="J4" s="25" t="str">
        <f>VLOOKUP(F4,地区表!$D$2:$E$18,2,FALSE)</f>
        <v>办公用品</v>
      </c>
      <c r="K4" s="38" t="str">
        <f>VLOOKUP(E4,地区表!$A$2:$C$255,3,FALSE)</f>
        <v>西南</v>
      </c>
      <c r="L4" s="34" t="s">
        <v>98</v>
      </c>
      <c r="M4" s="31">
        <f ca="1">SUMIFS(I2:I999,D2:D999,L4,J2:J999,M2)</f>
        <v>57778</v>
      </c>
      <c r="N4" s="32">
        <f ca="1">SUMIFS(I2:I999,D2:D999,L4,J2:J999,N2)</f>
        <v>26197</v>
      </c>
      <c r="O4" s="31">
        <f ca="1">SUMIFS(I2:I999,D2:D999,L4,J2:J999,O2)</f>
        <v>21694</v>
      </c>
    </row>
    <row r="5" spans="1:16" ht="15.6">
      <c r="A5" s="28" t="s">
        <v>102</v>
      </c>
      <c r="B5" s="29">
        <v>44664.544388679002</v>
      </c>
      <c r="C5" s="29">
        <v>44668.275706719403</v>
      </c>
      <c r="D5" s="28" t="s">
        <v>94</v>
      </c>
      <c r="E5" s="28" t="s">
        <v>103</v>
      </c>
      <c r="F5" s="28" t="s">
        <v>96</v>
      </c>
      <c r="G5" s="28">
        <f t="shared" ca="1" si="0"/>
        <v>40</v>
      </c>
      <c r="H5" s="28">
        <v>4</v>
      </c>
      <c r="I5" s="25">
        <f t="shared" ca="1" si="1"/>
        <v>160</v>
      </c>
      <c r="J5" s="25" t="str">
        <f>VLOOKUP(F5,地区表!$D$2:$E$18,2,FALSE)</f>
        <v>办公用品</v>
      </c>
      <c r="K5" s="38" t="str">
        <f>VLOOKUP(E5,地区表!$A$2:$C$255,3,FALSE)</f>
        <v>华东</v>
      </c>
      <c r="L5" s="34" t="s">
        <v>114</v>
      </c>
      <c r="M5" s="31">
        <f ca="1">SUMIFS(I2:I999,D2:D999,L5,J2:J999,M2)</f>
        <v>17787</v>
      </c>
      <c r="N5" s="32">
        <f ca="1">SUMIFS(I2:I999,D2:D999,L5,J2:J999,N2)</f>
        <v>6193</v>
      </c>
      <c r="O5" s="31">
        <f ca="1">SUMIFS(I2:I999,D2:D999,L5,J2:J999,O2)</f>
        <v>5263</v>
      </c>
    </row>
    <row r="6" spans="1:16" ht="15.6">
      <c r="A6" s="28" t="s">
        <v>104</v>
      </c>
      <c r="B6" s="29">
        <v>45201.239192335801</v>
      </c>
      <c r="C6" s="29">
        <v>45203.494459030298</v>
      </c>
      <c r="D6" s="28" t="s">
        <v>98</v>
      </c>
      <c r="E6" s="28" t="s">
        <v>105</v>
      </c>
      <c r="F6" s="28" t="s">
        <v>106</v>
      </c>
      <c r="G6" s="28">
        <f t="shared" ca="1" si="0"/>
        <v>48</v>
      </c>
      <c r="H6" s="28">
        <v>3</v>
      </c>
      <c r="I6" s="25">
        <f t="shared" ca="1" si="1"/>
        <v>144</v>
      </c>
      <c r="J6" s="25" t="str">
        <f>VLOOKUP(F6,地区表!$D$2:$E$18,2,FALSE)</f>
        <v>办公用品</v>
      </c>
      <c r="K6" s="38" t="str">
        <f>VLOOKUP(E6,地区表!$A$2:$C$255,3,FALSE)</f>
        <v>中南</v>
      </c>
    </row>
    <row r="7" spans="1:16" ht="15.6">
      <c r="A7" s="28" t="s">
        <v>107</v>
      </c>
      <c r="B7" s="29">
        <v>44985.131212910797</v>
      </c>
      <c r="C7" s="29">
        <v>44989.780992304397</v>
      </c>
      <c r="D7" s="28" t="s">
        <v>98</v>
      </c>
      <c r="E7" s="28" t="s">
        <v>108</v>
      </c>
      <c r="F7" s="28" t="s">
        <v>109</v>
      </c>
      <c r="G7" s="28">
        <f t="shared" ca="1" si="0"/>
        <v>45</v>
      </c>
      <c r="H7" s="28">
        <v>9</v>
      </c>
      <c r="I7" s="25">
        <f t="shared" ca="1" si="1"/>
        <v>405</v>
      </c>
      <c r="J7" s="25" t="str">
        <f>VLOOKUP(F7,地区表!$D$2:$E$18,2,FALSE)</f>
        <v>技术</v>
      </c>
      <c r="K7" s="38" t="str">
        <f>VLOOKUP(E7,地区表!$A$2:$C$255,3,FALSE)</f>
        <v>华东</v>
      </c>
    </row>
    <row r="8" spans="1:16" ht="15.6">
      <c r="A8" s="28" t="s">
        <v>107</v>
      </c>
      <c r="B8" s="29">
        <v>44985.538046610498</v>
      </c>
      <c r="C8" s="29">
        <v>44989.012190898502</v>
      </c>
      <c r="D8" s="28" t="s">
        <v>98</v>
      </c>
      <c r="E8" s="28" t="s">
        <v>108</v>
      </c>
      <c r="F8" s="28" t="s">
        <v>101</v>
      </c>
      <c r="G8" s="28">
        <f t="shared" ca="1" si="0"/>
        <v>30</v>
      </c>
      <c r="H8" s="28">
        <v>2</v>
      </c>
      <c r="I8" s="25">
        <f t="shared" ca="1" si="1"/>
        <v>60</v>
      </c>
      <c r="J8" s="25" t="str">
        <f>VLOOKUP(F8,地区表!$D$2:$E$18,2,FALSE)</f>
        <v>办公用品</v>
      </c>
      <c r="K8" s="38" t="str">
        <f>VLOOKUP(E8,地区表!$A$2:$C$255,3,FALSE)</f>
        <v>华东</v>
      </c>
      <c r="L8" s="54" t="s">
        <v>850</v>
      </c>
      <c r="M8" s="54"/>
      <c r="N8" s="54"/>
      <c r="O8" s="54"/>
      <c r="P8" s="54"/>
    </row>
    <row r="9" spans="1:16" ht="15.6">
      <c r="A9" s="28" t="s">
        <v>107</v>
      </c>
      <c r="B9" s="29">
        <v>44985.895862880701</v>
      </c>
      <c r="C9" s="29">
        <v>44989.881944799199</v>
      </c>
      <c r="D9" s="28" t="s">
        <v>98</v>
      </c>
      <c r="E9" s="28" t="s">
        <v>108</v>
      </c>
      <c r="F9" s="28" t="s">
        <v>110</v>
      </c>
      <c r="G9" s="28">
        <f t="shared" ca="1" si="0"/>
        <v>34</v>
      </c>
      <c r="H9" s="28">
        <v>4</v>
      </c>
      <c r="I9" s="25">
        <f t="shared" ca="1" si="1"/>
        <v>136</v>
      </c>
      <c r="J9" s="25" t="str">
        <f>VLOOKUP(F9,地区表!$D$2:$E$18,2,FALSE)</f>
        <v>家具</v>
      </c>
      <c r="K9" s="38" t="str">
        <f>VLOOKUP(E9,地区表!$A$2:$C$255,3,FALSE)</f>
        <v>华东</v>
      </c>
      <c r="L9" s="54" t="s">
        <v>851</v>
      </c>
      <c r="M9" s="54"/>
      <c r="N9" s="54"/>
      <c r="O9" s="54">
        <f ca="1">_xlfn.MAXIFS(I2:I999,J2:J999,J2)</f>
        <v>1218</v>
      </c>
      <c r="P9" s="54"/>
    </row>
    <row r="10" spans="1:16" ht="15.6">
      <c r="A10" s="28" t="s">
        <v>107</v>
      </c>
      <c r="B10" s="29">
        <v>44985.015849021103</v>
      </c>
      <c r="C10" s="29">
        <v>44989.895712560501</v>
      </c>
      <c r="D10" s="28" t="s">
        <v>98</v>
      </c>
      <c r="E10" s="28" t="s">
        <v>108</v>
      </c>
      <c r="F10" s="28" t="s">
        <v>111</v>
      </c>
      <c r="G10" s="28">
        <f t="shared" ca="1" si="0"/>
        <v>46</v>
      </c>
      <c r="H10" s="28">
        <v>5</v>
      </c>
      <c r="I10" s="25">
        <f t="shared" ca="1" si="1"/>
        <v>230</v>
      </c>
      <c r="J10" s="25" t="str">
        <f>VLOOKUP(F10,地区表!$D$2:$E$18,2,FALSE)</f>
        <v>办公用品</v>
      </c>
      <c r="K10" s="38" t="str">
        <f>VLOOKUP(E10,地区表!$A$2:$C$255,3,FALSE)</f>
        <v>华东</v>
      </c>
      <c r="L10" s="54" t="s">
        <v>852</v>
      </c>
      <c r="M10" s="54"/>
      <c r="N10" s="54"/>
      <c r="O10" s="54">
        <f ca="1">_xlfn.MINIFS(I2:I999,J2:J999,J9)</f>
        <v>14</v>
      </c>
      <c r="P10" s="54"/>
    </row>
    <row r="11" spans="1:16" ht="15.6">
      <c r="A11" s="28" t="s">
        <v>107</v>
      </c>
      <c r="B11" s="29">
        <v>44985.573745864</v>
      </c>
      <c r="C11" s="29">
        <v>44989.385328840501</v>
      </c>
      <c r="D11" s="28" t="s">
        <v>98</v>
      </c>
      <c r="E11" s="28" t="s">
        <v>108</v>
      </c>
      <c r="F11" s="28" t="s">
        <v>112</v>
      </c>
      <c r="G11" s="28">
        <f t="shared" ca="1" si="0"/>
        <v>75</v>
      </c>
      <c r="H11" s="28">
        <v>2</v>
      </c>
      <c r="I11" s="25">
        <f t="shared" ca="1" si="1"/>
        <v>150</v>
      </c>
      <c r="J11" s="25" t="str">
        <f>VLOOKUP(F11,地区表!$D$2:$E$18,2,FALSE)</f>
        <v>办公用品</v>
      </c>
      <c r="K11" s="38" t="str">
        <f>VLOOKUP(E11,地区表!$A$2:$C$255,3,FALSE)</f>
        <v>华东</v>
      </c>
    </row>
    <row r="12" spans="1:16" ht="15.6">
      <c r="A12" s="28" t="s">
        <v>113</v>
      </c>
      <c r="B12" s="29">
        <v>44675.564762069698</v>
      </c>
      <c r="C12" s="29">
        <v>44677.208333519302</v>
      </c>
      <c r="D12" s="28" t="s">
        <v>114</v>
      </c>
      <c r="E12" s="28" t="s">
        <v>115</v>
      </c>
      <c r="F12" s="28" t="s">
        <v>109</v>
      </c>
      <c r="G12" s="28">
        <f t="shared" ca="1" si="0"/>
        <v>94</v>
      </c>
      <c r="H12" s="28">
        <v>2</v>
      </c>
      <c r="I12" s="25">
        <f t="shared" ca="1" si="1"/>
        <v>188</v>
      </c>
      <c r="J12" s="25" t="str">
        <f>VLOOKUP(F12,地区表!$D$2:$E$18,2,FALSE)</f>
        <v>技术</v>
      </c>
      <c r="K12" s="38" t="str">
        <f>VLOOKUP(E12,地区表!$A$2:$C$255,3,FALSE)</f>
        <v>西北</v>
      </c>
    </row>
    <row r="13" spans="1:16" ht="15.6">
      <c r="A13" s="28" t="s">
        <v>116</v>
      </c>
      <c r="B13" s="29">
        <v>44473.567916666667</v>
      </c>
      <c r="C13" s="29">
        <v>44478.209409729898</v>
      </c>
      <c r="D13" s="28" t="s">
        <v>98</v>
      </c>
      <c r="E13" s="28" t="s">
        <v>117</v>
      </c>
      <c r="F13" s="28" t="s">
        <v>118</v>
      </c>
      <c r="G13" s="28">
        <f t="shared" ca="1" si="0"/>
        <v>49</v>
      </c>
      <c r="H13" s="28">
        <v>4</v>
      </c>
      <c r="I13" s="25">
        <f t="shared" ca="1" si="1"/>
        <v>196</v>
      </c>
      <c r="J13" s="25" t="str">
        <f>VLOOKUP(F13,地区表!$D$2:$E$18,2,FALSE)</f>
        <v>技术</v>
      </c>
      <c r="K13" s="38" t="str">
        <f>VLOOKUP(E13,地区表!$A$2:$C$255,3,FALSE)</f>
        <v>东北</v>
      </c>
      <c r="L13" s="25" t="s">
        <v>853</v>
      </c>
    </row>
    <row r="14" spans="1:16" ht="15.6">
      <c r="A14" s="28" t="s">
        <v>119</v>
      </c>
      <c r="B14" s="29">
        <v>44841.642032539698</v>
      </c>
      <c r="C14" s="29">
        <v>44845.603649248798</v>
      </c>
      <c r="D14" s="28" t="s">
        <v>98</v>
      </c>
      <c r="E14" s="28" t="s">
        <v>120</v>
      </c>
      <c r="F14" s="28" t="s">
        <v>100</v>
      </c>
      <c r="G14" s="28">
        <f t="shared" ca="1" si="0"/>
        <v>56</v>
      </c>
      <c r="H14" s="28">
        <v>3</v>
      </c>
      <c r="I14" s="25">
        <f t="shared" ca="1" si="1"/>
        <v>168</v>
      </c>
      <c r="J14" s="25" t="str">
        <f>VLOOKUP(F14,地区表!$D$2:$E$18,2,FALSE)</f>
        <v>办公用品</v>
      </c>
      <c r="K14" s="38" t="str">
        <f>VLOOKUP(E14,地区表!$A$2:$C$255,3,FALSE)</f>
        <v>华东</v>
      </c>
      <c r="L14" s="54" t="s">
        <v>854</v>
      </c>
      <c r="M14" s="54"/>
      <c r="N14" s="54"/>
      <c r="O14" s="54"/>
    </row>
    <row r="15" spans="1:16" ht="15.6">
      <c r="A15" s="28" t="s">
        <v>119</v>
      </c>
      <c r="B15" s="29">
        <v>44841.215889350897</v>
      </c>
      <c r="C15" s="29">
        <v>44845.691686359103</v>
      </c>
      <c r="D15" s="28" t="s">
        <v>98</v>
      </c>
      <c r="E15" s="28" t="s">
        <v>120</v>
      </c>
      <c r="F15" s="28" t="s">
        <v>121</v>
      </c>
      <c r="G15" s="28">
        <f t="shared" ca="1" si="0"/>
        <v>23</v>
      </c>
      <c r="H15" s="28">
        <v>5</v>
      </c>
      <c r="I15" s="25">
        <f t="shared" ca="1" si="1"/>
        <v>115</v>
      </c>
      <c r="J15" s="25" t="str">
        <f>VLOOKUP(F15,地区表!$D$2:$E$18,2,FALSE)</f>
        <v>技术</v>
      </c>
      <c r="K15" s="38" t="str">
        <f>VLOOKUP(E15,地区表!$A$2:$C$255,3,FALSE)</f>
        <v>华东</v>
      </c>
      <c r="L15" s="32" t="s">
        <v>89</v>
      </c>
      <c r="M15" s="33" t="s">
        <v>847</v>
      </c>
      <c r="N15" s="33" t="s">
        <v>848</v>
      </c>
      <c r="O15" s="33" t="s">
        <v>849</v>
      </c>
    </row>
    <row r="16" spans="1:16" ht="15.6">
      <c r="A16" s="28" t="s">
        <v>119</v>
      </c>
      <c r="B16" s="29">
        <v>44841.245135347999</v>
      </c>
      <c r="C16" s="29">
        <v>44845.713817453798</v>
      </c>
      <c r="D16" s="28" t="s">
        <v>98</v>
      </c>
      <c r="E16" s="28" t="s">
        <v>120</v>
      </c>
      <c r="F16" s="28" t="s">
        <v>122</v>
      </c>
      <c r="G16" s="28">
        <f t="shared" ca="1" si="0"/>
        <v>43</v>
      </c>
      <c r="H16" s="28">
        <v>2</v>
      </c>
      <c r="I16" s="25">
        <f t="shared" ca="1" si="1"/>
        <v>86</v>
      </c>
      <c r="J16" s="25" t="str">
        <f>VLOOKUP(F16,地区表!$D$2:$E$18,2,FALSE)</f>
        <v>技术</v>
      </c>
      <c r="K16" s="38" t="str">
        <f>VLOOKUP(E16,地区表!$A$2:$C$255,3,FALSE)</f>
        <v>华东</v>
      </c>
      <c r="L16" s="32" t="s">
        <v>855</v>
      </c>
      <c r="M16" s="31">
        <f ca="1">SUMIFS(I2:I999,K2:K999,L16,J2:J999,M15)</f>
        <v>43391</v>
      </c>
      <c r="N16" s="31">
        <f ca="1">SUMIFS(I2:I999,K2:K999,L16,J2:J999,N15)</f>
        <v>13157</v>
      </c>
      <c r="O16" s="31">
        <f ca="1">SUMIFS(I2:I999,K2:K999,L16,J2:J999,O15)</f>
        <v>12457</v>
      </c>
    </row>
    <row r="17" spans="1:15" ht="15.6">
      <c r="A17" s="28" t="s">
        <v>123</v>
      </c>
      <c r="B17" s="29">
        <v>44281.9297261842</v>
      </c>
      <c r="C17" s="29">
        <v>44284.944303505901</v>
      </c>
      <c r="D17" s="28" t="s">
        <v>94</v>
      </c>
      <c r="E17" s="28" t="s">
        <v>124</v>
      </c>
      <c r="F17" s="28" t="s">
        <v>106</v>
      </c>
      <c r="G17" s="28">
        <f t="shared" ca="1" si="0"/>
        <v>80</v>
      </c>
      <c r="H17" s="28">
        <v>7</v>
      </c>
      <c r="I17" s="25">
        <f t="shared" ca="1" si="1"/>
        <v>560</v>
      </c>
      <c r="J17" s="25" t="str">
        <f>VLOOKUP(F17,地区表!$D$2:$E$18,2,FALSE)</f>
        <v>办公用品</v>
      </c>
      <c r="K17" s="38" t="str">
        <f>VLOOKUP(E17,地区表!$A$2:$C$255,3,FALSE)</f>
        <v>华东</v>
      </c>
      <c r="L17" s="32" t="s">
        <v>856</v>
      </c>
      <c r="M17" s="39">
        <f ca="1">SUMIFS(I2:I999,K2:K999,L17,J2:J999,M15)</f>
        <v>11230</v>
      </c>
      <c r="N17" s="31">
        <f ca="1">SUMIFS(I2:I999,K2:K999,L17,J2:J999,N15)</f>
        <v>6564</v>
      </c>
      <c r="O17" s="31">
        <f ca="1">SUMIFS(I2:I999,K2:K999,L17,J2:J999,O15)</f>
        <v>2753</v>
      </c>
    </row>
    <row r="18" spans="1:15" ht="15.6">
      <c r="A18" s="28" t="s">
        <v>123</v>
      </c>
      <c r="B18" s="29">
        <v>44281.663682666302</v>
      </c>
      <c r="C18" s="29">
        <v>44284.015140838601</v>
      </c>
      <c r="D18" s="28" t="s">
        <v>94</v>
      </c>
      <c r="E18" s="28" t="s">
        <v>124</v>
      </c>
      <c r="F18" s="28" t="s">
        <v>125</v>
      </c>
      <c r="G18" s="28">
        <f t="shared" ca="1" si="0"/>
        <v>33</v>
      </c>
      <c r="H18" s="28">
        <v>3</v>
      </c>
      <c r="I18" s="25">
        <f t="shared" ca="1" si="1"/>
        <v>99</v>
      </c>
      <c r="J18" s="25" t="str">
        <f>VLOOKUP(F18,地区表!$D$2:$E$18,2,FALSE)</f>
        <v>办公用品</v>
      </c>
      <c r="K18" s="38" t="str">
        <f>VLOOKUP(E18,地区表!$A$2:$C$255,3,FALSE)</f>
        <v>华东</v>
      </c>
      <c r="L18" s="32" t="s">
        <v>857</v>
      </c>
      <c r="M18" s="31">
        <f ca="1">SUMIFS(I2:I999,K2:K999,L18,J2:J999,M15)</f>
        <v>21148</v>
      </c>
      <c r="N18" s="31">
        <f ca="1">SUMIFS(I2:I999,K2:K999,L18,J2:J999,N15)</f>
        <v>12347</v>
      </c>
      <c r="O18" s="31">
        <f ca="1">SUMIFS(I2:I999,K2:K999,L18,J2:J999,O15)</f>
        <v>6704</v>
      </c>
    </row>
    <row r="19" spans="1:15" ht="15.6">
      <c r="A19" s="28" t="s">
        <v>126</v>
      </c>
      <c r="B19" s="29">
        <v>44596.883346303803</v>
      </c>
      <c r="C19" s="29">
        <v>44598.762990958698</v>
      </c>
      <c r="D19" s="28" t="s">
        <v>98</v>
      </c>
      <c r="E19" s="28" t="s">
        <v>127</v>
      </c>
      <c r="F19" s="28" t="s">
        <v>121</v>
      </c>
      <c r="G19" s="28">
        <f t="shared" ca="1" si="0"/>
        <v>45</v>
      </c>
      <c r="H19" s="28">
        <v>7</v>
      </c>
      <c r="I19" s="25">
        <f t="shared" ca="1" si="1"/>
        <v>315</v>
      </c>
      <c r="J19" s="25" t="str">
        <f>VLOOKUP(F19,地区表!$D$2:$E$18,2,FALSE)</f>
        <v>技术</v>
      </c>
      <c r="K19" s="38" t="str">
        <f>VLOOKUP(E19,地区表!$A$2:$C$255,3,FALSE)</f>
        <v>华东</v>
      </c>
      <c r="L19" s="32" t="s">
        <v>858</v>
      </c>
      <c r="M19" s="31">
        <f ca="1">SUMIFS(I2:I999,K2:K999,L19,J2:J999,M15)</f>
        <v>7057</v>
      </c>
      <c r="N19" s="31">
        <f ca="1">SUMIFS(I2:I999,K2:K999,L19,J2:J999,N15)</f>
        <v>2852</v>
      </c>
      <c r="O19" s="31">
        <f ca="1">SUMIFS(I2:I999,K2:K999,L19,J2:J999,O15)</f>
        <v>2226</v>
      </c>
    </row>
    <row r="20" spans="1:15" ht="15.6">
      <c r="A20" s="28" t="s">
        <v>126</v>
      </c>
      <c r="B20" s="29">
        <v>44596.030430742801</v>
      </c>
      <c r="C20" s="29">
        <v>44598.229735055698</v>
      </c>
      <c r="D20" s="28" t="s">
        <v>98</v>
      </c>
      <c r="E20" s="28" t="s">
        <v>127</v>
      </c>
      <c r="F20" s="28" t="s">
        <v>96</v>
      </c>
      <c r="G20" s="28">
        <f t="shared" ca="1" si="0"/>
        <v>19</v>
      </c>
      <c r="H20" s="28">
        <v>1</v>
      </c>
      <c r="I20" s="25">
        <f t="shared" ca="1" si="1"/>
        <v>19</v>
      </c>
      <c r="J20" s="25" t="str">
        <f>VLOOKUP(F20,地区表!$D$2:$E$18,2,FALSE)</f>
        <v>办公用品</v>
      </c>
      <c r="K20" s="38" t="str">
        <f>VLOOKUP(E20,地区表!$A$2:$C$255,3,FALSE)</f>
        <v>华东</v>
      </c>
      <c r="L20" s="32" t="s">
        <v>859</v>
      </c>
      <c r="M20" s="31">
        <f ca="1">SUMIFS(I2:I999,K2:K999,L20,J2:J999,M15)</f>
        <v>23329</v>
      </c>
      <c r="N20" s="31">
        <f ca="1">SUMIFS(I2:I999,K2:K999,L20,J2:J999,N15)</f>
        <v>7033</v>
      </c>
      <c r="O20" s="31">
        <f ca="1">SUMIFS(I2:I999,K2:K999,L20,J2:J999,O15)</f>
        <v>8860</v>
      </c>
    </row>
    <row r="21" spans="1:15" ht="15.6">
      <c r="A21" s="28" t="s">
        <v>126</v>
      </c>
      <c r="B21" s="29">
        <v>44596.9996737771</v>
      </c>
      <c r="C21" s="29">
        <v>44598.480906413803</v>
      </c>
      <c r="D21" s="28" t="s">
        <v>98</v>
      </c>
      <c r="E21" s="28" t="s">
        <v>127</v>
      </c>
      <c r="F21" s="28" t="s">
        <v>101</v>
      </c>
      <c r="G21" s="28">
        <f t="shared" ca="1" si="0"/>
        <v>35</v>
      </c>
      <c r="H21" s="28">
        <v>5</v>
      </c>
      <c r="I21" s="25">
        <f t="shared" ca="1" si="1"/>
        <v>175</v>
      </c>
      <c r="J21" s="25" t="str">
        <f>VLOOKUP(F21,地区表!$D$2:$E$18,2,FALSE)</f>
        <v>办公用品</v>
      </c>
      <c r="K21" s="38" t="str">
        <f>VLOOKUP(E21,地区表!$A$2:$C$255,3,FALSE)</f>
        <v>华东</v>
      </c>
      <c r="L21" s="32" t="s">
        <v>860</v>
      </c>
      <c r="M21" s="31">
        <f ca="1">SUMIFS(I2:I999,K2:K999,L21,J2:J999,M15)</f>
        <v>15886</v>
      </c>
      <c r="N21" s="31">
        <f ca="1">SUMIFS(I2:I999,K2:K999,L21,J2:J999,N15)</f>
        <v>3921</v>
      </c>
      <c r="O21" s="31">
        <f ca="1">SUMIFS(I2:I999,K2:K999,L21,J2:J999,O15)</f>
        <v>8362</v>
      </c>
    </row>
    <row r="22" spans="1:15" ht="15.6">
      <c r="A22" s="28" t="s">
        <v>126</v>
      </c>
      <c r="B22" s="29">
        <v>44596.0251899418</v>
      </c>
      <c r="C22" s="29">
        <v>44598.934054822203</v>
      </c>
      <c r="D22" s="28" t="s">
        <v>98</v>
      </c>
      <c r="E22" s="28" t="s">
        <v>127</v>
      </c>
      <c r="F22" s="28" t="s">
        <v>101</v>
      </c>
      <c r="G22" s="28">
        <f t="shared" ca="1" si="0"/>
        <v>73</v>
      </c>
      <c r="H22" s="28">
        <v>6</v>
      </c>
      <c r="I22" s="25">
        <f t="shared" ca="1" si="1"/>
        <v>438</v>
      </c>
      <c r="J22" s="25" t="str">
        <f>VLOOKUP(F22,地区表!$D$2:$E$18,2,FALSE)</f>
        <v>办公用品</v>
      </c>
      <c r="K22" s="38" t="str">
        <f>VLOOKUP(E22,地区表!$A$2:$C$255,3,FALSE)</f>
        <v>华东</v>
      </c>
    </row>
    <row r="23" spans="1:15" ht="15.6">
      <c r="A23" s="28" t="s">
        <v>126</v>
      </c>
      <c r="B23" s="29">
        <v>44596.217072383297</v>
      </c>
      <c r="C23" s="29">
        <v>44598.575880526398</v>
      </c>
      <c r="D23" s="28" t="s">
        <v>98</v>
      </c>
      <c r="E23" s="28" t="s">
        <v>127</v>
      </c>
      <c r="F23" s="28" t="s">
        <v>122</v>
      </c>
      <c r="G23" s="28">
        <f t="shared" ca="1" si="0"/>
        <v>60</v>
      </c>
      <c r="H23" s="28">
        <v>7</v>
      </c>
      <c r="I23" s="25">
        <f t="shared" ca="1" si="1"/>
        <v>420</v>
      </c>
      <c r="J23" s="25" t="str">
        <f>VLOOKUP(F23,地区表!$D$2:$E$18,2,FALSE)</f>
        <v>技术</v>
      </c>
      <c r="K23" s="38" t="str">
        <f>VLOOKUP(E23,地区表!$A$2:$C$255,3,FALSE)</f>
        <v>华东</v>
      </c>
    </row>
    <row r="24" spans="1:15" ht="15.6">
      <c r="A24" s="28" t="s">
        <v>126</v>
      </c>
      <c r="B24" s="29">
        <v>44596.5053710871</v>
      </c>
      <c r="C24" s="29">
        <v>44598.285068659301</v>
      </c>
      <c r="D24" s="28" t="s">
        <v>98</v>
      </c>
      <c r="E24" s="28" t="s">
        <v>127</v>
      </c>
      <c r="F24" s="28" t="s">
        <v>118</v>
      </c>
      <c r="G24" s="28">
        <f t="shared" ca="1" si="0"/>
        <v>27</v>
      </c>
      <c r="H24" s="28">
        <v>3</v>
      </c>
      <c r="I24" s="25">
        <f t="shared" ca="1" si="1"/>
        <v>81</v>
      </c>
      <c r="J24" s="25" t="str">
        <f>VLOOKUP(F24,地区表!$D$2:$E$18,2,FALSE)</f>
        <v>技术</v>
      </c>
      <c r="K24" s="38" t="str">
        <f>VLOOKUP(E24,地区表!$A$2:$C$255,3,FALSE)</f>
        <v>华东</v>
      </c>
      <c r="L24" s="30" t="s">
        <v>88</v>
      </c>
      <c r="M24" s="30" t="s">
        <v>861</v>
      </c>
      <c r="N24" s="30" t="s">
        <v>862</v>
      </c>
      <c r="O24" s="25" t="s">
        <v>863</v>
      </c>
    </row>
    <row r="25" spans="1:15" ht="15.6">
      <c r="A25" s="28" t="s">
        <v>126</v>
      </c>
      <c r="B25" s="29">
        <v>44596.5406455509</v>
      </c>
      <c r="C25" s="29">
        <v>44598.720826073499</v>
      </c>
      <c r="D25" s="28" t="s">
        <v>98</v>
      </c>
      <c r="E25" s="28" t="s">
        <v>127</v>
      </c>
      <c r="F25" s="28" t="s">
        <v>96</v>
      </c>
      <c r="G25" s="28">
        <f t="shared" ca="1" si="0"/>
        <v>83</v>
      </c>
      <c r="H25" s="28">
        <v>2</v>
      </c>
      <c r="I25" s="25">
        <f t="shared" ca="1" si="1"/>
        <v>166</v>
      </c>
      <c r="J25" s="25" t="str">
        <f>VLOOKUP(F25,地区表!$D$2:$E$18,2,FALSE)</f>
        <v>办公用品</v>
      </c>
      <c r="K25" s="38" t="str">
        <f>VLOOKUP(E25,地区表!$A$2:$C$255,3,FALSE)</f>
        <v>华东</v>
      </c>
      <c r="L25" s="30">
        <v>1</v>
      </c>
      <c r="M25" s="30">
        <f>SUMIFS($H$2:$H$999,$B$2:$B$999,"&gt;=2023/1/1",$B$2:$B$999,"&lt;=2023/1/31")</f>
        <v>94</v>
      </c>
      <c r="N25" s="30">
        <f ca="1">SUMIFS($I$2:$I$999,$B$2:$B$999,"&gt;=2023/1/1",$B$2:$B$999,"&lt;=2023/1/31")</f>
        <v>5450</v>
      </c>
    </row>
    <row r="26" spans="1:15" ht="15.6">
      <c r="A26" s="28" t="s">
        <v>128</v>
      </c>
      <c r="B26" s="29">
        <v>45208.448006333703</v>
      </c>
      <c r="C26" s="29">
        <v>45215.042592208498</v>
      </c>
      <c r="D26" s="28" t="s">
        <v>94</v>
      </c>
      <c r="E26" s="28" t="s">
        <v>129</v>
      </c>
      <c r="F26" s="28" t="s">
        <v>130</v>
      </c>
      <c r="G26" s="28">
        <f t="shared" ca="1" si="0"/>
        <v>17</v>
      </c>
      <c r="H26" s="28">
        <v>4</v>
      </c>
      <c r="I26" s="25">
        <f t="shared" ca="1" si="1"/>
        <v>68</v>
      </c>
      <c r="J26" s="25" t="str">
        <f>VLOOKUP(F26,地区表!$D$2:$E$18,2,FALSE)</f>
        <v>家具</v>
      </c>
      <c r="K26" s="38" t="str">
        <f>VLOOKUP(E26,地区表!$A$2:$C$255,3,FALSE)</f>
        <v>华东</v>
      </c>
      <c r="L26" s="30">
        <v>2</v>
      </c>
      <c r="M26" s="30">
        <f>SUMIFS($H$2:$H$999,$B$2:$B$999,"&gt;=2023/2/1",$B$2:$B$999,"&lt;=2023/2/28")</f>
        <v>98</v>
      </c>
      <c r="N26" s="30">
        <f ca="1">SUMIFS($I$2:$I$999,$B$2:$B$999,"&gt;=2023/2/1",$B$2:$B$999,"&lt;=2023/2/28")</f>
        <v>4827</v>
      </c>
    </row>
    <row r="27" spans="1:15" ht="15.6">
      <c r="A27" s="28" t="s">
        <v>128</v>
      </c>
      <c r="B27" s="29">
        <v>45208.189871937197</v>
      </c>
      <c r="C27" s="29">
        <v>45215.121933843096</v>
      </c>
      <c r="D27" s="28" t="s">
        <v>94</v>
      </c>
      <c r="E27" s="28" t="s">
        <v>129</v>
      </c>
      <c r="F27" s="28" t="s">
        <v>110</v>
      </c>
      <c r="G27" s="28">
        <f t="shared" ca="1" si="0"/>
        <v>11</v>
      </c>
      <c r="H27" s="28">
        <v>3</v>
      </c>
      <c r="I27" s="25">
        <f t="shared" ca="1" si="1"/>
        <v>33</v>
      </c>
      <c r="J27" s="25" t="str">
        <f>VLOOKUP(F27,地区表!$D$2:$E$18,2,FALSE)</f>
        <v>家具</v>
      </c>
      <c r="K27" s="38" t="str">
        <f>VLOOKUP(E27,地区表!$A$2:$C$255,3,FALSE)</f>
        <v>华东</v>
      </c>
      <c r="L27" s="30">
        <v>3</v>
      </c>
      <c r="M27" s="30">
        <f>SUMIFS($H$2:$H$999,$B$2:$B$999,"&gt;=2023/3/1",$B$2:$B$999,"&lt;=2023/3/31")</f>
        <v>107</v>
      </c>
      <c r="N27" s="30">
        <f ca="1">SUMIFS($I$2:$I$999,$B$2:$B$999,"&gt;=2023/3/1",$B$2:$B$999,"&lt;=2023/3/31")</f>
        <v>5966</v>
      </c>
    </row>
    <row r="28" spans="1:15" ht="15.6">
      <c r="A28" s="28" t="s">
        <v>128</v>
      </c>
      <c r="B28" s="29">
        <v>45208.893591027401</v>
      </c>
      <c r="C28" s="29">
        <v>45215.248539597203</v>
      </c>
      <c r="D28" s="28" t="s">
        <v>94</v>
      </c>
      <c r="E28" s="28" t="s">
        <v>129</v>
      </c>
      <c r="F28" s="28" t="s">
        <v>112</v>
      </c>
      <c r="G28" s="28">
        <f t="shared" ca="1" si="0"/>
        <v>34</v>
      </c>
      <c r="H28" s="28">
        <v>5</v>
      </c>
      <c r="I28" s="25">
        <f t="shared" ca="1" si="1"/>
        <v>170</v>
      </c>
      <c r="J28" s="25" t="str">
        <f>VLOOKUP(F28,地区表!$D$2:$E$18,2,FALSE)</f>
        <v>办公用品</v>
      </c>
      <c r="K28" s="38" t="str">
        <f>VLOOKUP(E28,地区表!$A$2:$C$255,3,FALSE)</f>
        <v>华东</v>
      </c>
      <c r="L28" s="30">
        <v>4</v>
      </c>
      <c r="M28" s="30">
        <f>SUMIFS($H$2:$H$999,$B$2:$B$999,"&gt;=2023/4/1",$B$2:$B$999,"&lt;=2023/4/30")</f>
        <v>71</v>
      </c>
      <c r="N28" s="30">
        <f ca="1">SUMIFS($I$2:$I$999,$B$2:$B$999,"&gt;=2023/4/1",$B$2:$B$999,"&lt;=2023/4/30")</f>
        <v>3678</v>
      </c>
    </row>
    <row r="29" spans="1:15" ht="15.6">
      <c r="A29" s="28" t="s">
        <v>128</v>
      </c>
      <c r="B29" s="29">
        <v>45208.545645306702</v>
      </c>
      <c r="C29" s="29">
        <v>45215.9372202093</v>
      </c>
      <c r="D29" s="28" t="s">
        <v>94</v>
      </c>
      <c r="E29" s="28" t="s">
        <v>129</v>
      </c>
      <c r="F29" s="28" t="s">
        <v>112</v>
      </c>
      <c r="G29" s="28">
        <f t="shared" ca="1" si="0"/>
        <v>79</v>
      </c>
      <c r="H29" s="28">
        <v>8</v>
      </c>
      <c r="I29" s="25">
        <f t="shared" ca="1" si="1"/>
        <v>632</v>
      </c>
      <c r="J29" s="25" t="str">
        <f>VLOOKUP(F29,地区表!$D$2:$E$18,2,FALSE)</f>
        <v>办公用品</v>
      </c>
      <c r="K29" s="38" t="str">
        <f>VLOOKUP(E29,地区表!$A$2:$C$255,3,FALSE)</f>
        <v>华东</v>
      </c>
      <c r="L29" s="30">
        <v>5</v>
      </c>
      <c r="M29" s="30">
        <f>SUMIFS($H$2:$H$999,$B$2:$B$999,"&gt;=2023/5/1",$B$2:$B$999,"&lt;=2023/5/31")</f>
        <v>52</v>
      </c>
      <c r="N29" s="30">
        <f ca="1">SUMIFS($I$2:$I$999,$B$2:$B$999,"&gt;=2023/5/1",$B$2:$B$999,"&lt;=2023/5/31")</f>
        <v>2771</v>
      </c>
    </row>
    <row r="30" spans="1:15" ht="15.6">
      <c r="A30" s="28" t="s">
        <v>128</v>
      </c>
      <c r="B30" s="29">
        <v>45208.892254056402</v>
      </c>
      <c r="C30" s="29">
        <v>45215.824776363697</v>
      </c>
      <c r="D30" s="28" t="s">
        <v>94</v>
      </c>
      <c r="E30" s="28" t="s">
        <v>129</v>
      </c>
      <c r="F30" s="28" t="s">
        <v>96</v>
      </c>
      <c r="G30" s="28">
        <f t="shared" ca="1" si="0"/>
        <v>62</v>
      </c>
      <c r="H30" s="28">
        <v>6</v>
      </c>
      <c r="I30" s="25">
        <f t="shared" ca="1" si="1"/>
        <v>372</v>
      </c>
      <c r="J30" s="25" t="str">
        <f>VLOOKUP(F30,地区表!$D$2:$E$18,2,FALSE)</f>
        <v>办公用品</v>
      </c>
      <c r="K30" s="38" t="str">
        <f>VLOOKUP(E30,地区表!$A$2:$C$255,3,FALSE)</f>
        <v>华东</v>
      </c>
      <c r="L30" s="30">
        <v>6</v>
      </c>
      <c r="M30" s="30">
        <f>SUMIFS($H$2:$H$999,$B$2:$B$999,"&gt;=2023/6/1",$B$2:$B$999,"&lt;=2023/6/30")</f>
        <v>105</v>
      </c>
      <c r="N30" s="30">
        <f ca="1">SUMIFS($I$2:$I$999,$B$2:$B$999,"&gt;=2023/6/1",$B$2:$B$999,"&lt;=2023/6/30")</f>
        <v>6615</v>
      </c>
    </row>
    <row r="31" spans="1:15" ht="15.6">
      <c r="A31" s="28" t="s">
        <v>128</v>
      </c>
      <c r="B31" s="29">
        <v>45208.650748257802</v>
      </c>
      <c r="C31" s="29">
        <v>45215.978311171202</v>
      </c>
      <c r="D31" s="28" t="s">
        <v>94</v>
      </c>
      <c r="E31" s="28" t="s">
        <v>129</v>
      </c>
      <c r="F31" s="28" t="s">
        <v>121</v>
      </c>
      <c r="G31" s="28">
        <f t="shared" ca="1" si="0"/>
        <v>48</v>
      </c>
      <c r="H31" s="28">
        <v>1</v>
      </c>
      <c r="I31" s="25">
        <f t="shared" ca="1" si="1"/>
        <v>48</v>
      </c>
      <c r="J31" s="25" t="str">
        <f>VLOOKUP(F31,地区表!$D$2:$E$18,2,FALSE)</f>
        <v>技术</v>
      </c>
      <c r="K31" s="38" t="str">
        <f>VLOOKUP(E31,地区表!$A$2:$C$255,3,FALSE)</f>
        <v>华东</v>
      </c>
      <c r="L31" s="30">
        <v>7</v>
      </c>
      <c r="M31" s="30">
        <f>SUMIFS($H$2:$H$999,$B$2:$B$999,"&gt;=2023/7/1",$B$2:$B$999,"&lt;=2023/7/31")</f>
        <v>84</v>
      </c>
      <c r="N31" s="30">
        <f ca="1">SUMIFS($I$2:$I$999,$B$2:$B$999,"&gt;=2023/7/1",$B$2:$B$999,"&lt;=2023/7/31")</f>
        <v>4886</v>
      </c>
    </row>
    <row r="32" spans="1:15" ht="15.6">
      <c r="A32" s="28" t="s">
        <v>128</v>
      </c>
      <c r="B32" s="29">
        <v>45208.520987428303</v>
      </c>
      <c r="C32" s="29">
        <v>45215.723769575903</v>
      </c>
      <c r="D32" s="28" t="s">
        <v>94</v>
      </c>
      <c r="E32" s="28" t="s">
        <v>129</v>
      </c>
      <c r="F32" s="28" t="s">
        <v>131</v>
      </c>
      <c r="G32" s="28">
        <f t="shared" ca="1" si="0"/>
        <v>14</v>
      </c>
      <c r="H32" s="28">
        <v>2</v>
      </c>
      <c r="I32" s="25">
        <f t="shared" ca="1" si="1"/>
        <v>28</v>
      </c>
      <c r="J32" s="25" t="str">
        <f>VLOOKUP(F32,地区表!$D$2:$E$18,2,FALSE)</f>
        <v>家具</v>
      </c>
      <c r="K32" s="38" t="str">
        <f>VLOOKUP(E32,地区表!$A$2:$C$255,3,FALSE)</f>
        <v>华东</v>
      </c>
      <c r="L32" s="30">
        <v>8</v>
      </c>
      <c r="M32" s="30">
        <f>SUMIFS($H$2:$H$999,$B$2:$B$999,"&gt;=2023/8/1",$B$2:$B$999,"&lt;=2023/8/31")</f>
        <v>30</v>
      </c>
      <c r="N32" s="30">
        <f ca="1">SUMIFS($I$2:$I$999,$B$2:$B$999,"&gt;=2023/8/1",$B$2:$B$999,"&lt;=2023/8/31")</f>
        <v>1818</v>
      </c>
    </row>
    <row r="33" spans="1:14" ht="15.6">
      <c r="A33" s="28" t="s">
        <v>132</v>
      </c>
      <c r="B33" s="29">
        <v>44667.4964996294</v>
      </c>
      <c r="C33" s="29">
        <v>44670.742525750196</v>
      </c>
      <c r="D33" s="28" t="s">
        <v>98</v>
      </c>
      <c r="E33" s="28" t="s">
        <v>127</v>
      </c>
      <c r="F33" s="28" t="s">
        <v>101</v>
      </c>
      <c r="G33" s="28">
        <f t="shared" ca="1" si="0"/>
        <v>43</v>
      </c>
      <c r="H33" s="28">
        <v>5</v>
      </c>
      <c r="I33" s="25">
        <f t="shared" ca="1" si="1"/>
        <v>215</v>
      </c>
      <c r="J33" s="25" t="str">
        <f>VLOOKUP(F33,地区表!$D$2:$E$18,2,FALSE)</f>
        <v>办公用品</v>
      </c>
      <c r="K33" s="38" t="str">
        <f>VLOOKUP(E33,地区表!$A$2:$C$255,3,FALSE)</f>
        <v>华东</v>
      </c>
      <c r="L33" s="30">
        <v>9</v>
      </c>
      <c r="M33" s="30">
        <f>SUMIFS($H$2:$H$999,$B$2:$B$999,"&gt;=2023/9/1",$B$2:$B$999,"&lt;=2023/9/30")</f>
        <v>106</v>
      </c>
      <c r="N33" s="30">
        <f ca="1">SUMIFS($I$2:$I$999,$B$2:$B$999,"&gt;=2023/9/1",$B$2:$B$999,"&lt;=2023/9/30")</f>
        <v>6264</v>
      </c>
    </row>
    <row r="34" spans="1:14" ht="15.6">
      <c r="A34" s="28" t="s">
        <v>133</v>
      </c>
      <c r="B34" s="29">
        <v>44592.639632712802</v>
      </c>
      <c r="C34" s="29">
        <v>44596.4319997696</v>
      </c>
      <c r="D34" s="28" t="s">
        <v>94</v>
      </c>
      <c r="E34" s="28" t="s">
        <v>134</v>
      </c>
      <c r="F34" s="28" t="s">
        <v>135</v>
      </c>
      <c r="G34" s="28">
        <f t="shared" ca="1" si="0"/>
        <v>49</v>
      </c>
      <c r="H34" s="28">
        <v>2</v>
      </c>
      <c r="I34" s="25">
        <f t="shared" ca="1" si="1"/>
        <v>98</v>
      </c>
      <c r="J34" s="25" t="str">
        <f>VLOOKUP(F34,地区表!$D$2:$E$18,2,FALSE)</f>
        <v>办公用品</v>
      </c>
      <c r="K34" s="38" t="str">
        <f>VLOOKUP(E34,地区表!$A$2:$C$255,3,FALSE)</f>
        <v>华北</v>
      </c>
      <c r="L34" s="30">
        <v>10</v>
      </c>
      <c r="M34" s="30">
        <f>SUMIFS($H$2:$H$999,$B$2:$B$999,"&gt;=2023/10/1",$B$2:$B$999,"&lt;=2023/10/31")</f>
        <v>143</v>
      </c>
      <c r="N34" s="30">
        <f ca="1">SUMIFS($I$2:$I$999,$B$2:$B$999,"&gt;=2023/10/1",$B$2:$B$999,"&lt;=2023/10/31")</f>
        <v>7485</v>
      </c>
    </row>
    <row r="35" spans="1:14" ht="15.6">
      <c r="A35" s="28" t="s">
        <v>133</v>
      </c>
      <c r="B35" s="29">
        <v>44592.226138371203</v>
      </c>
      <c r="C35" s="29">
        <v>44596.374999379899</v>
      </c>
      <c r="D35" s="28" t="s">
        <v>94</v>
      </c>
      <c r="E35" s="28" t="s">
        <v>134</v>
      </c>
      <c r="F35" s="28" t="s">
        <v>110</v>
      </c>
      <c r="G35" s="28">
        <f t="shared" ca="1" si="0"/>
        <v>59</v>
      </c>
      <c r="H35" s="28">
        <v>5</v>
      </c>
      <c r="I35" s="25">
        <f t="shared" ca="1" si="1"/>
        <v>295</v>
      </c>
      <c r="J35" s="25" t="str">
        <f>VLOOKUP(F35,地区表!$D$2:$E$18,2,FALSE)</f>
        <v>家具</v>
      </c>
      <c r="K35" s="38" t="str">
        <f>VLOOKUP(E35,地区表!$A$2:$C$255,3,FALSE)</f>
        <v>华北</v>
      </c>
      <c r="L35" s="30">
        <v>11</v>
      </c>
      <c r="M35" s="30">
        <f>SUMIFS($H$2:$H$999,$B$2:$B$999,"&gt;=2023/11/1",$B$2:$B$999,"&lt;=2023/11/30")</f>
        <v>95</v>
      </c>
      <c r="N35" s="30">
        <f ca="1">SUMIFS($I$2:$I$999,$B$2:$B$999,"&gt;=2023/11/1",$B$2:$B$999,"&lt;=2023/11/30")</f>
        <v>5523</v>
      </c>
    </row>
    <row r="36" spans="1:14" ht="15.6">
      <c r="A36" s="28" t="s">
        <v>136</v>
      </c>
      <c r="B36" s="29">
        <v>44278.534562542598</v>
      </c>
      <c r="C36" s="29">
        <v>44282.303941077203</v>
      </c>
      <c r="D36" s="28" t="s">
        <v>94</v>
      </c>
      <c r="E36" s="28" t="s">
        <v>137</v>
      </c>
      <c r="F36" s="28" t="s">
        <v>130</v>
      </c>
      <c r="G36" s="28">
        <f t="shared" ca="1" si="0"/>
        <v>31</v>
      </c>
      <c r="H36" s="28">
        <v>4</v>
      </c>
      <c r="I36" s="25">
        <f t="shared" ca="1" si="1"/>
        <v>124</v>
      </c>
      <c r="J36" s="25" t="str">
        <f>VLOOKUP(F36,地区表!$D$2:$E$18,2,FALSE)</f>
        <v>家具</v>
      </c>
      <c r="K36" s="38" t="str">
        <f>VLOOKUP(E36,地区表!$A$2:$C$255,3,FALSE)</f>
        <v>华东</v>
      </c>
      <c r="L36" s="30">
        <v>12</v>
      </c>
      <c r="M36" s="30">
        <f>SUMIFS($H$2:$H$999,$B$2:$B$999,"&gt;=2023/12/1",$B$2:$B$999,"&lt;=2023/12/31")</f>
        <v>142</v>
      </c>
      <c r="N36" s="30">
        <f ca="1">SUMIFS($I$2:$I$999,$B$2:$B$999,"&gt;=2023/12/1",$B$2:$B$999,"&lt;=2023/12/31")</f>
        <v>7955</v>
      </c>
    </row>
    <row r="37" spans="1:14" ht="15.6">
      <c r="A37" s="28" t="s">
        <v>138</v>
      </c>
      <c r="B37" s="29">
        <v>45109.606823945498</v>
      </c>
      <c r="C37" s="29">
        <v>45110.888130608699</v>
      </c>
      <c r="D37" s="28" t="s">
        <v>98</v>
      </c>
      <c r="E37" s="28" t="s">
        <v>127</v>
      </c>
      <c r="F37" s="28" t="s">
        <v>131</v>
      </c>
      <c r="G37" s="28">
        <f t="shared" ca="1" si="0"/>
        <v>34</v>
      </c>
      <c r="H37" s="28">
        <v>5</v>
      </c>
      <c r="I37" s="25">
        <f t="shared" ca="1" si="1"/>
        <v>170</v>
      </c>
      <c r="J37" s="25" t="str">
        <f>VLOOKUP(F37,地区表!$D$2:$E$18,2,FALSE)</f>
        <v>家具</v>
      </c>
      <c r="K37" s="38" t="str">
        <f>VLOOKUP(E37,地区表!$A$2:$C$255,3,FALSE)</f>
        <v>华东</v>
      </c>
    </row>
    <row r="38" spans="1:14" ht="15.6">
      <c r="A38" s="28" t="s">
        <v>139</v>
      </c>
      <c r="B38" s="29">
        <v>44201.551788492601</v>
      </c>
      <c r="C38" s="29">
        <v>44204.112093393203</v>
      </c>
      <c r="D38" s="28" t="s">
        <v>94</v>
      </c>
      <c r="E38" s="28" t="s">
        <v>140</v>
      </c>
      <c r="F38" s="28" t="s">
        <v>141</v>
      </c>
      <c r="G38" s="28">
        <f t="shared" ca="1" si="0"/>
        <v>34</v>
      </c>
      <c r="H38" s="28">
        <v>1</v>
      </c>
      <c r="I38" s="25">
        <f t="shared" ca="1" si="1"/>
        <v>34</v>
      </c>
      <c r="J38" s="25" t="str">
        <f>VLOOKUP(F38,地区表!$D$2:$E$18,2,FALSE)</f>
        <v>办公用品</v>
      </c>
      <c r="K38" s="38" t="str">
        <f>VLOOKUP(E38,地区表!$A$2:$C$255,3,FALSE)</f>
        <v>华东</v>
      </c>
    </row>
    <row r="39" spans="1:14" ht="15.6">
      <c r="A39" s="28" t="s">
        <v>142</v>
      </c>
      <c r="B39" s="29">
        <v>44215.388539134699</v>
      </c>
      <c r="C39" s="29">
        <v>44219.380142060501</v>
      </c>
      <c r="D39" s="28" t="s">
        <v>98</v>
      </c>
      <c r="E39" s="28" t="s">
        <v>143</v>
      </c>
      <c r="F39" s="28" t="s">
        <v>111</v>
      </c>
      <c r="G39" s="28">
        <f t="shared" ca="1" si="0"/>
        <v>75</v>
      </c>
      <c r="H39" s="28">
        <v>6</v>
      </c>
      <c r="I39" s="25">
        <f t="shared" ca="1" si="1"/>
        <v>450</v>
      </c>
      <c r="J39" s="25" t="str">
        <f>VLOOKUP(F39,地区表!$D$2:$E$18,2,FALSE)</f>
        <v>办公用品</v>
      </c>
      <c r="K39" s="38" t="str">
        <f>VLOOKUP(E39,地区表!$A$2:$C$255,3,FALSE)</f>
        <v>华东</v>
      </c>
    </row>
    <row r="40" spans="1:14" ht="15.6">
      <c r="A40" s="28" t="s">
        <v>142</v>
      </c>
      <c r="B40" s="29">
        <v>44215.150850726102</v>
      </c>
      <c r="C40" s="29">
        <v>44219.3582450049</v>
      </c>
      <c r="D40" s="28" t="s">
        <v>98</v>
      </c>
      <c r="E40" s="28" t="s">
        <v>143</v>
      </c>
      <c r="F40" s="28" t="s">
        <v>135</v>
      </c>
      <c r="G40" s="28">
        <f t="shared" ca="1" si="0"/>
        <v>29</v>
      </c>
      <c r="H40" s="28">
        <v>1</v>
      </c>
      <c r="I40" s="25">
        <f t="shared" ca="1" si="1"/>
        <v>29</v>
      </c>
      <c r="J40" s="25" t="str">
        <f>VLOOKUP(F40,地区表!$D$2:$E$18,2,FALSE)</f>
        <v>办公用品</v>
      </c>
      <c r="K40" s="38" t="str">
        <f>VLOOKUP(E40,地区表!$A$2:$C$255,3,FALSE)</f>
        <v>华东</v>
      </c>
    </row>
    <row r="41" spans="1:14" ht="15.6">
      <c r="A41" s="28" t="s">
        <v>142</v>
      </c>
      <c r="B41" s="29">
        <v>44215.335276264501</v>
      </c>
      <c r="C41" s="29">
        <v>44219.492069735097</v>
      </c>
      <c r="D41" s="28" t="s">
        <v>98</v>
      </c>
      <c r="E41" s="28" t="s">
        <v>143</v>
      </c>
      <c r="F41" s="28" t="s">
        <v>144</v>
      </c>
      <c r="G41" s="28">
        <f t="shared" ca="1" si="0"/>
        <v>56</v>
      </c>
      <c r="H41" s="28">
        <v>1</v>
      </c>
      <c r="I41" s="25">
        <f t="shared" ca="1" si="1"/>
        <v>56</v>
      </c>
      <c r="J41" s="25" t="str">
        <f>VLOOKUP(F41,地区表!$D$2:$E$18,2,FALSE)</f>
        <v>家具</v>
      </c>
      <c r="K41" s="38" t="str">
        <f>VLOOKUP(E41,地区表!$A$2:$C$255,3,FALSE)</f>
        <v>华东</v>
      </c>
    </row>
    <row r="42" spans="1:14" ht="15.6">
      <c r="A42" s="28" t="s">
        <v>145</v>
      </c>
      <c r="B42" s="29">
        <v>45233.790404614403</v>
      </c>
      <c r="C42" s="29">
        <v>45236.353226410698</v>
      </c>
      <c r="D42" s="28" t="s">
        <v>94</v>
      </c>
      <c r="E42" s="28" t="s">
        <v>146</v>
      </c>
      <c r="F42" s="28" t="s">
        <v>111</v>
      </c>
      <c r="G42" s="28">
        <f t="shared" ca="1" si="0"/>
        <v>67</v>
      </c>
      <c r="H42" s="28">
        <v>3</v>
      </c>
      <c r="I42" s="25">
        <f t="shared" ca="1" si="1"/>
        <v>201</v>
      </c>
      <c r="J42" s="25" t="str">
        <f>VLOOKUP(F42,地区表!$D$2:$E$18,2,FALSE)</f>
        <v>办公用品</v>
      </c>
      <c r="K42" s="38" t="str">
        <f>VLOOKUP(E42,地区表!$A$2:$C$255,3,FALSE)</f>
        <v>西北</v>
      </c>
    </row>
    <row r="43" spans="1:14" ht="15.6">
      <c r="A43" s="28" t="s">
        <v>147</v>
      </c>
      <c r="B43" s="29">
        <v>45257.090386733398</v>
      </c>
      <c r="C43" s="29">
        <v>45263.471481651199</v>
      </c>
      <c r="D43" s="28" t="s">
        <v>114</v>
      </c>
      <c r="E43" s="28" t="s">
        <v>148</v>
      </c>
      <c r="F43" s="28" t="s">
        <v>106</v>
      </c>
      <c r="G43" s="28">
        <f t="shared" ca="1" si="0"/>
        <v>87</v>
      </c>
      <c r="H43" s="28">
        <v>6</v>
      </c>
      <c r="I43" s="25">
        <f t="shared" ca="1" si="1"/>
        <v>522</v>
      </c>
      <c r="J43" s="25" t="str">
        <f>VLOOKUP(F43,地区表!$D$2:$E$18,2,FALSE)</f>
        <v>办公用品</v>
      </c>
      <c r="K43" s="38" t="str">
        <f>VLOOKUP(E43,地区表!$A$2:$C$255,3,FALSE)</f>
        <v>华东</v>
      </c>
    </row>
    <row r="44" spans="1:14" ht="15.6">
      <c r="A44" s="28" t="s">
        <v>149</v>
      </c>
      <c r="B44" s="29">
        <v>44313.999014020199</v>
      </c>
      <c r="C44" s="29">
        <v>44315.8467729435</v>
      </c>
      <c r="D44" s="28" t="s">
        <v>98</v>
      </c>
      <c r="E44" s="28" t="s">
        <v>150</v>
      </c>
      <c r="F44" s="28" t="s">
        <v>106</v>
      </c>
      <c r="G44" s="28">
        <f t="shared" ca="1" si="0"/>
        <v>18</v>
      </c>
      <c r="H44" s="28">
        <v>9</v>
      </c>
      <c r="I44" s="25">
        <f t="shared" ca="1" si="1"/>
        <v>162</v>
      </c>
      <c r="J44" s="25" t="str">
        <f>VLOOKUP(F44,地区表!$D$2:$E$18,2,FALSE)</f>
        <v>办公用品</v>
      </c>
      <c r="K44" s="38" t="str">
        <f>VLOOKUP(E44,地区表!$A$2:$C$255,3,FALSE)</f>
        <v>东北</v>
      </c>
    </row>
    <row r="45" spans="1:14" ht="15.6">
      <c r="A45" s="28" t="s">
        <v>151</v>
      </c>
      <c r="B45" s="29">
        <v>45187.0437722555</v>
      </c>
      <c r="C45" s="29">
        <v>45192.614903503199</v>
      </c>
      <c r="D45" s="28" t="s">
        <v>114</v>
      </c>
      <c r="E45" s="28" t="s">
        <v>152</v>
      </c>
      <c r="F45" s="28" t="s">
        <v>135</v>
      </c>
      <c r="G45" s="28">
        <f t="shared" ca="1" si="0"/>
        <v>48</v>
      </c>
      <c r="H45" s="28">
        <v>2</v>
      </c>
      <c r="I45" s="25">
        <f t="shared" ca="1" si="1"/>
        <v>96</v>
      </c>
      <c r="J45" s="25" t="str">
        <f>VLOOKUP(F45,地区表!$D$2:$E$18,2,FALSE)</f>
        <v>办公用品</v>
      </c>
      <c r="K45" s="38" t="str">
        <f>VLOOKUP(E45,地区表!$A$2:$C$255,3,FALSE)</f>
        <v>华东</v>
      </c>
    </row>
    <row r="46" spans="1:14" ht="15.6">
      <c r="A46" s="28" t="s">
        <v>151</v>
      </c>
      <c r="B46" s="29">
        <v>45187.9776890711</v>
      </c>
      <c r="C46" s="29">
        <v>45192.748093042501</v>
      </c>
      <c r="D46" s="28" t="s">
        <v>114</v>
      </c>
      <c r="E46" s="28" t="s">
        <v>152</v>
      </c>
      <c r="F46" s="28" t="s">
        <v>141</v>
      </c>
      <c r="G46" s="28">
        <f t="shared" ca="1" si="0"/>
        <v>25</v>
      </c>
      <c r="H46" s="28">
        <v>4</v>
      </c>
      <c r="I46" s="25">
        <f t="shared" ca="1" si="1"/>
        <v>100</v>
      </c>
      <c r="J46" s="25" t="str">
        <f>VLOOKUP(F46,地区表!$D$2:$E$18,2,FALSE)</f>
        <v>办公用品</v>
      </c>
      <c r="K46" s="38" t="str">
        <f>VLOOKUP(E46,地区表!$A$2:$C$255,3,FALSE)</f>
        <v>华东</v>
      </c>
    </row>
    <row r="47" spans="1:14" ht="15.6">
      <c r="A47" s="28" t="s">
        <v>153</v>
      </c>
      <c r="B47" s="29">
        <v>45247.493239621697</v>
      </c>
      <c r="C47" s="29">
        <v>45251.200875473703</v>
      </c>
      <c r="D47" s="28" t="s">
        <v>98</v>
      </c>
      <c r="E47" s="28" t="s">
        <v>154</v>
      </c>
      <c r="F47" s="28" t="s">
        <v>101</v>
      </c>
      <c r="G47" s="28">
        <f t="shared" ca="1" si="0"/>
        <v>22</v>
      </c>
      <c r="H47" s="28">
        <v>5</v>
      </c>
      <c r="I47" s="25">
        <f t="shared" ca="1" si="1"/>
        <v>110</v>
      </c>
      <c r="J47" s="25" t="str">
        <f>VLOOKUP(F47,地区表!$D$2:$E$18,2,FALSE)</f>
        <v>办公用品</v>
      </c>
      <c r="K47" s="38" t="str">
        <f>VLOOKUP(E47,地区表!$A$2:$C$255,3,FALSE)</f>
        <v>华东</v>
      </c>
    </row>
    <row r="48" spans="1:14" ht="15.6">
      <c r="A48" s="28" t="s">
        <v>155</v>
      </c>
      <c r="B48" s="29">
        <v>45217.953487594001</v>
      </c>
      <c r="C48" s="29">
        <v>45219.9556024013</v>
      </c>
      <c r="D48" s="28" t="s">
        <v>94</v>
      </c>
      <c r="E48" s="28" t="s">
        <v>99</v>
      </c>
      <c r="F48" s="28" t="s">
        <v>141</v>
      </c>
      <c r="G48" s="28">
        <f t="shared" ca="1" si="0"/>
        <v>61</v>
      </c>
      <c r="H48" s="28">
        <v>6</v>
      </c>
      <c r="I48" s="25">
        <f t="shared" ca="1" si="1"/>
        <v>366</v>
      </c>
      <c r="J48" s="25" t="str">
        <f>VLOOKUP(F48,地区表!$D$2:$E$18,2,FALSE)</f>
        <v>办公用品</v>
      </c>
      <c r="K48" s="38" t="str">
        <f>VLOOKUP(E48,地区表!$A$2:$C$255,3,FALSE)</f>
        <v>西南</v>
      </c>
    </row>
    <row r="49" spans="1:11" ht="15.6">
      <c r="A49" s="28" t="s">
        <v>155</v>
      </c>
      <c r="B49" s="29">
        <v>45217.697776657697</v>
      </c>
      <c r="C49" s="29">
        <v>45219.252156240902</v>
      </c>
      <c r="D49" s="28" t="s">
        <v>94</v>
      </c>
      <c r="E49" s="28" t="s">
        <v>99</v>
      </c>
      <c r="F49" s="28" t="s">
        <v>122</v>
      </c>
      <c r="G49" s="28">
        <f t="shared" ca="1" si="0"/>
        <v>87</v>
      </c>
      <c r="H49" s="28">
        <v>1</v>
      </c>
      <c r="I49" s="25">
        <f t="shared" ca="1" si="1"/>
        <v>87</v>
      </c>
      <c r="J49" s="25" t="str">
        <f>VLOOKUP(F49,地区表!$D$2:$E$18,2,FALSE)</f>
        <v>技术</v>
      </c>
      <c r="K49" s="38" t="str">
        <f>VLOOKUP(E49,地区表!$A$2:$C$255,3,FALSE)</f>
        <v>西南</v>
      </c>
    </row>
    <row r="50" spans="1:11" ht="15.6">
      <c r="A50" s="28" t="s">
        <v>155</v>
      </c>
      <c r="B50" s="29">
        <v>45217.790525301003</v>
      </c>
      <c r="C50" s="29">
        <v>45219.4648360227</v>
      </c>
      <c r="D50" s="28" t="s">
        <v>94</v>
      </c>
      <c r="E50" s="28" t="s">
        <v>99</v>
      </c>
      <c r="F50" s="28" t="s">
        <v>100</v>
      </c>
      <c r="G50" s="28">
        <f t="shared" ca="1" si="0"/>
        <v>96</v>
      </c>
      <c r="H50" s="28">
        <v>2</v>
      </c>
      <c r="I50" s="25">
        <f t="shared" ca="1" si="1"/>
        <v>192</v>
      </c>
      <c r="J50" s="25" t="str">
        <f>VLOOKUP(F50,地区表!$D$2:$E$18,2,FALSE)</f>
        <v>办公用品</v>
      </c>
      <c r="K50" s="38" t="str">
        <f>VLOOKUP(E50,地区表!$A$2:$C$255,3,FALSE)</f>
        <v>西南</v>
      </c>
    </row>
    <row r="51" spans="1:11" ht="15.6">
      <c r="A51" s="28" t="s">
        <v>156</v>
      </c>
      <c r="B51" s="29">
        <v>44491.024078883798</v>
      </c>
      <c r="C51" s="29">
        <v>44494.393639786198</v>
      </c>
      <c r="D51" s="28" t="s">
        <v>98</v>
      </c>
      <c r="E51" s="28" t="s">
        <v>157</v>
      </c>
      <c r="F51" s="28" t="s">
        <v>122</v>
      </c>
      <c r="G51" s="28">
        <f t="shared" ca="1" si="0"/>
        <v>89</v>
      </c>
      <c r="H51" s="28">
        <v>4</v>
      </c>
      <c r="I51" s="25">
        <f t="shared" ca="1" si="1"/>
        <v>356</v>
      </c>
      <c r="J51" s="25" t="str">
        <f>VLOOKUP(F51,地区表!$D$2:$E$18,2,FALSE)</f>
        <v>技术</v>
      </c>
      <c r="K51" s="38" t="str">
        <f>VLOOKUP(E51,地区表!$A$2:$C$255,3,FALSE)</f>
        <v>东北</v>
      </c>
    </row>
    <row r="52" spans="1:11" ht="15.6">
      <c r="A52" s="28" t="s">
        <v>156</v>
      </c>
      <c r="B52" s="29">
        <v>44491.0982800981</v>
      </c>
      <c r="C52" s="29">
        <v>44494.161968615401</v>
      </c>
      <c r="D52" s="28" t="s">
        <v>98</v>
      </c>
      <c r="E52" s="28" t="s">
        <v>157</v>
      </c>
      <c r="F52" s="28" t="s">
        <v>118</v>
      </c>
      <c r="G52" s="28">
        <f t="shared" ca="1" si="0"/>
        <v>72</v>
      </c>
      <c r="H52" s="28">
        <v>2</v>
      </c>
      <c r="I52" s="25">
        <f t="shared" ca="1" si="1"/>
        <v>144</v>
      </c>
      <c r="J52" s="25" t="str">
        <f>VLOOKUP(F52,地区表!$D$2:$E$18,2,FALSE)</f>
        <v>技术</v>
      </c>
      <c r="K52" s="38" t="str">
        <f>VLOOKUP(E52,地区表!$A$2:$C$255,3,FALSE)</f>
        <v>东北</v>
      </c>
    </row>
    <row r="53" spans="1:11" ht="15.6">
      <c r="A53" s="28" t="s">
        <v>156</v>
      </c>
      <c r="B53" s="29">
        <v>44491.637057066298</v>
      </c>
      <c r="C53" s="29">
        <v>44494.227377763702</v>
      </c>
      <c r="D53" s="28" t="s">
        <v>98</v>
      </c>
      <c r="E53" s="28" t="s">
        <v>157</v>
      </c>
      <c r="F53" s="28" t="s">
        <v>135</v>
      </c>
      <c r="G53" s="28">
        <f t="shared" ca="1" si="0"/>
        <v>70</v>
      </c>
      <c r="H53" s="28">
        <v>2</v>
      </c>
      <c r="I53" s="25">
        <f t="shared" ca="1" si="1"/>
        <v>140</v>
      </c>
      <c r="J53" s="25" t="str">
        <f>VLOOKUP(F53,地区表!$D$2:$E$18,2,FALSE)</f>
        <v>办公用品</v>
      </c>
      <c r="K53" s="38" t="str">
        <f>VLOOKUP(E53,地区表!$A$2:$C$255,3,FALSE)</f>
        <v>东北</v>
      </c>
    </row>
    <row r="54" spans="1:11" ht="15.6">
      <c r="A54" s="28" t="s">
        <v>158</v>
      </c>
      <c r="B54" s="29">
        <v>45192.0707007784</v>
      </c>
      <c r="C54" s="29">
        <v>45196.675445355701</v>
      </c>
      <c r="D54" s="28" t="s">
        <v>98</v>
      </c>
      <c r="E54" s="28" t="s">
        <v>120</v>
      </c>
      <c r="F54" s="28" t="s">
        <v>106</v>
      </c>
      <c r="G54" s="28">
        <f t="shared" ca="1" si="0"/>
        <v>87</v>
      </c>
      <c r="H54" s="28">
        <v>5</v>
      </c>
      <c r="I54" s="25">
        <f t="shared" ca="1" si="1"/>
        <v>435</v>
      </c>
      <c r="J54" s="25" t="str">
        <f>VLOOKUP(F54,地区表!$D$2:$E$18,2,FALSE)</f>
        <v>办公用品</v>
      </c>
      <c r="K54" s="38" t="str">
        <f>VLOOKUP(E54,地区表!$A$2:$C$255,3,FALSE)</f>
        <v>华东</v>
      </c>
    </row>
    <row r="55" spans="1:11" ht="15.6">
      <c r="A55" s="28" t="s">
        <v>158</v>
      </c>
      <c r="B55" s="29">
        <v>45192.543106134501</v>
      </c>
      <c r="C55" s="29">
        <v>45196.540348560899</v>
      </c>
      <c r="D55" s="28" t="s">
        <v>98</v>
      </c>
      <c r="E55" s="28" t="s">
        <v>120</v>
      </c>
      <c r="F55" s="28" t="s">
        <v>106</v>
      </c>
      <c r="G55" s="28">
        <f t="shared" ca="1" si="0"/>
        <v>87</v>
      </c>
      <c r="H55" s="28">
        <v>5</v>
      </c>
      <c r="I55" s="25">
        <f t="shared" ca="1" si="1"/>
        <v>435</v>
      </c>
      <c r="J55" s="25" t="str">
        <f>VLOOKUP(F55,地区表!$D$2:$E$18,2,FALSE)</f>
        <v>办公用品</v>
      </c>
      <c r="K55" s="38" t="str">
        <f>VLOOKUP(E55,地区表!$A$2:$C$255,3,FALSE)</f>
        <v>华东</v>
      </c>
    </row>
    <row r="56" spans="1:11" ht="15.6">
      <c r="A56" s="28" t="s">
        <v>158</v>
      </c>
      <c r="B56" s="29">
        <v>45192.9447204635</v>
      </c>
      <c r="C56" s="29">
        <v>45196.666124366202</v>
      </c>
      <c r="D56" s="28" t="s">
        <v>98</v>
      </c>
      <c r="E56" s="28" t="s">
        <v>120</v>
      </c>
      <c r="F56" s="28" t="s">
        <v>135</v>
      </c>
      <c r="G56" s="28">
        <f t="shared" ca="1" si="0"/>
        <v>41</v>
      </c>
      <c r="H56" s="28">
        <v>1</v>
      </c>
      <c r="I56" s="25">
        <f t="shared" ca="1" si="1"/>
        <v>41</v>
      </c>
      <c r="J56" s="25" t="str">
        <f>VLOOKUP(F56,地区表!$D$2:$E$18,2,FALSE)</f>
        <v>办公用品</v>
      </c>
      <c r="K56" s="38" t="str">
        <f>VLOOKUP(E56,地区表!$A$2:$C$255,3,FALSE)</f>
        <v>华东</v>
      </c>
    </row>
    <row r="57" spans="1:11" ht="15.6">
      <c r="A57" s="28" t="s">
        <v>159</v>
      </c>
      <c r="B57" s="29">
        <v>44320.140177107103</v>
      </c>
      <c r="C57" s="29">
        <v>44324.716235637803</v>
      </c>
      <c r="D57" s="28" t="s">
        <v>98</v>
      </c>
      <c r="E57" s="28" t="s">
        <v>160</v>
      </c>
      <c r="F57" s="28" t="s">
        <v>96</v>
      </c>
      <c r="G57" s="28">
        <f t="shared" ca="1" si="0"/>
        <v>14</v>
      </c>
      <c r="H57" s="28">
        <v>4</v>
      </c>
      <c r="I57" s="25">
        <f t="shared" ca="1" si="1"/>
        <v>56</v>
      </c>
      <c r="J57" s="25" t="str">
        <f>VLOOKUP(F57,地区表!$D$2:$E$18,2,FALSE)</f>
        <v>办公用品</v>
      </c>
      <c r="K57" s="38" t="str">
        <f>VLOOKUP(E57,地区表!$A$2:$C$255,3,FALSE)</f>
        <v>东北</v>
      </c>
    </row>
    <row r="58" spans="1:11" ht="15.6">
      <c r="A58" s="28" t="s">
        <v>159</v>
      </c>
      <c r="B58" s="29">
        <v>44320.469371930703</v>
      </c>
      <c r="C58" s="29">
        <v>44324.614764477999</v>
      </c>
      <c r="D58" s="28" t="s">
        <v>98</v>
      </c>
      <c r="E58" s="28" t="s">
        <v>160</v>
      </c>
      <c r="F58" s="28" t="s">
        <v>112</v>
      </c>
      <c r="G58" s="28">
        <f t="shared" ca="1" si="0"/>
        <v>99</v>
      </c>
      <c r="H58" s="28">
        <v>5</v>
      </c>
      <c r="I58" s="25">
        <f t="shared" ca="1" si="1"/>
        <v>495</v>
      </c>
      <c r="J58" s="25" t="str">
        <f>VLOOKUP(F58,地区表!$D$2:$E$18,2,FALSE)</f>
        <v>办公用品</v>
      </c>
      <c r="K58" s="38" t="str">
        <f>VLOOKUP(E58,地区表!$A$2:$C$255,3,FALSE)</f>
        <v>东北</v>
      </c>
    </row>
    <row r="59" spans="1:11" ht="15.6">
      <c r="A59" s="28" t="s">
        <v>159</v>
      </c>
      <c r="B59" s="29">
        <v>44320.796947740899</v>
      </c>
      <c r="C59" s="29">
        <v>44324.939224914197</v>
      </c>
      <c r="D59" s="28" t="s">
        <v>98</v>
      </c>
      <c r="E59" s="28" t="s">
        <v>160</v>
      </c>
      <c r="F59" s="28" t="s">
        <v>112</v>
      </c>
      <c r="G59" s="28">
        <f t="shared" ca="1" si="0"/>
        <v>11</v>
      </c>
      <c r="H59" s="28">
        <v>3</v>
      </c>
      <c r="I59" s="25">
        <f t="shared" ca="1" si="1"/>
        <v>33</v>
      </c>
      <c r="J59" s="25" t="str">
        <f>VLOOKUP(F59,地区表!$D$2:$E$18,2,FALSE)</f>
        <v>办公用品</v>
      </c>
      <c r="K59" s="38" t="str">
        <f>VLOOKUP(E59,地区表!$A$2:$C$255,3,FALSE)</f>
        <v>东北</v>
      </c>
    </row>
    <row r="60" spans="1:11" ht="15.6">
      <c r="A60" s="28" t="s">
        <v>161</v>
      </c>
      <c r="B60" s="29">
        <v>44229.139406074297</v>
      </c>
      <c r="C60" s="29">
        <v>44235.897524933302</v>
      </c>
      <c r="D60" s="28" t="s">
        <v>94</v>
      </c>
      <c r="E60" s="28" t="s">
        <v>162</v>
      </c>
      <c r="F60" s="28" t="s">
        <v>130</v>
      </c>
      <c r="G60" s="28">
        <f t="shared" ca="1" si="0"/>
        <v>14</v>
      </c>
      <c r="H60" s="28">
        <v>2</v>
      </c>
      <c r="I60" s="25">
        <f t="shared" ca="1" si="1"/>
        <v>28</v>
      </c>
      <c r="J60" s="25" t="str">
        <f>VLOOKUP(F60,地区表!$D$2:$E$18,2,FALSE)</f>
        <v>家具</v>
      </c>
      <c r="K60" s="38" t="str">
        <f>VLOOKUP(E60,地区表!$A$2:$C$255,3,FALSE)</f>
        <v>中南</v>
      </c>
    </row>
    <row r="61" spans="1:11" ht="15.6">
      <c r="A61" s="28" t="s">
        <v>163</v>
      </c>
      <c r="B61" s="29">
        <v>44641.685927099999</v>
      </c>
      <c r="C61" s="29">
        <v>44648.311306876298</v>
      </c>
      <c r="D61" s="28" t="s">
        <v>94</v>
      </c>
      <c r="E61" s="28" t="s">
        <v>164</v>
      </c>
      <c r="F61" s="28" t="s">
        <v>135</v>
      </c>
      <c r="G61" s="28">
        <f t="shared" ca="1" si="0"/>
        <v>66</v>
      </c>
      <c r="H61" s="28">
        <v>2</v>
      </c>
      <c r="I61" s="25">
        <f t="shared" ca="1" si="1"/>
        <v>132</v>
      </c>
      <c r="J61" s="25" t="str">
        <f>VLOOKUP(F61,地区表!$D$2:$E$18,2,FALSE)</f>
        <v>办公用品</v>
      </c>
      <c r="K61" s="38" t="str">
        <f>VLOOKUP(E61,地区表!$A$2:$C$255,3,FALSE)</f>
        <v>西北</v>
      </c>
    </row>
    <row r="62" spans="1:11" ht="15.6">
      <c r="A62" s="28" t="s">
        <v>165</v>
      </c>
      <c r="B62" s="29">
        <v>45286.919895696497</v>
      </c>
      <c r="C62" s="29">
        <v>45289.101617967601</v>
      </c>
      <c r="D62" s="28" t="s">
        <v>94</v>
      </c>
      <c r="E62" s="28" t="s">
        <v>166</v>
      </c>
      <c r="F62" s="28" t="s">
        <v>118</v>
      </c>
      <c r="G62" s="28">
        <f t="shared" ca="1" si="0"/>
        <v>54</v>
      </c>
      <c r="H62" s="28">
        <v>2</v>
      </c>
      <c r="I62" s="25">
        <f t="shared" ca="1" si="1"/>
        <v>108</v>
      </c>
      <c r="J62" s="25" t="str">
        <f>VLOOKUP(F62,地区表!$D$2:$E$18,2,FALSE)</f>
        <v>技术</v>
      </c>
      <c r="K62" s="38" t="str">
        <f>VLOOKUP(E62,地区表!$A$2:$C$255,3,FALSE)</f>
        <v>中南</v>
      </c>
    </row>
    <row r="63" spans="1:11" ht="15.6">
      <c r="A63" s="28" t="s">
        <v>167</v>
      </c>
      <c r="B63" s="29">
        <v>45208.333208548996</v>
      </c>
      <c r="C63" s="29">
        <v>45211.435458479602</v>
      </c>
      <c r="D63" s="28" t="s">
        <v>98</v>
      </c>
      <c r="E63" s="28" t="s">
        <v>168</v>
      </c>
      <c r="F63" s="28" t="s">
        <v>109</v>
      </c>
      <c r="G63" s="28">
        <f t="shared" ca="1" si="0"/>
        <v>96</v>
      </c>
      <c r="H63" s="28">
        <v>7</v>
      </c>
      <c r="I63" s="25">
        <f t="shared" ca="1" si="1"/>
        <v>672</v>
      </c>
      <c r="J63" s="25" t="str">
        <f>VLOOKUP(F63,地区表!$D$2:$E$18,2,FALSE)</f>
        <v>技术</v>
      </c>
      <c r="K63" s="38" t="str">
        <f>VLOOKUP(E63,地区表!$A$2:$C$255,3,FALSE)</f>
        <v>中南</v>
      </c>
    </row>
    <row r="64" spans="1:11" ht="15.6">
      <c r="A64" s="28" t="s">
        <v>169</v>
      </c>
      <c r="B64" s="29">
        <v>45072.808804507702</v>
      </c>
      <c r="C64" s="29">
        <v>45074.670098263799</v>
      </c>
      <c r="D64" s="28" t="s">
        <v>94</v>
      </c>
      <c r="E64" s="28" t="s">
        <v>170</v>
      </c>
      <c r="F64" s="28" t="s">
        <v>125</v>
      </c>
      <c r="G64" s="28">
        <f t="shared" ca="1" si="0"/>
        <v>59</v>
      </c>
      <c r="H64" s="28">
        <v>5</v>
      </c>
      <c r="I64" s="25">
        <f t="shared" ca="1" si="1"/>
        <v>295</v>
      </c>
      <c r="J64" s="25" t="str">
        <f>VLOOKUP(F64,地区表!$D$2:$E$18,2,FALSE)</f>
        <v>办公用品</v>
      </c>
      <c r="K64" s="38" t="str">
        <f>VLOOKUP(E64,地区表!$A$2:$C$255,3,FALSE)</f>
        <v>华东</v>
      </c>
    </row>
    <row r="65" spans="1:11" ht="15.6">
      <c r="A65" s="28" t="s">
        <v>169</v>
      </c>
      <c r="B65" s="29">
        <v>45072.1953257641</v>
      </c>
      <c r="C65" s="29">
        <v>45074.998240904097</v>
      </c>
      <c r="D65" s="28" t="s">
        <v>94</v>
      </c>
      <c r="E65" s="28" t="s">
        <v>170</v>
      </c>
      <c r="F65" s="28" t="s">
        <v>112</v>
      </c>
      <c r="G65" s="28">
        <f t="shared" ca="1" si="0"/>
        <v>100</v>
      </c>
      <c r="H65" s="28">
        <v>5</v>
      </c>
      <c r="I65" s="25">
        <f t="shared" ca="1" si="1"/>
        <v>500</v>
      </c>
      <c r="J65" s="25" t="str">
        <f>VLOOKUP(F65,地区表!$D$2:$E$18,2,FALSE)</f>
        <v>办公用品</v>
      </c>
      <c r="K65" s="38" t="str">
        <f>VLOOKUP(E65,地区表!$A$2:$C$255,3,FALSE)</f>
        <v>华东</v>
      </c>
    </row>
    <row r="66" spans="1:11" ht="15.6">
      <c r="A66" s="28" t="s">
        <v>171</v>
      </c>
      <c r="B66" s="29">
        <v>44579.2123565863</v>
      </c>
      <c r="C66" s="29">
        <v>44581.941467977798</v>
      </c>
      <c r="D66" s="28" t="s">
        <v>94</v>
      </c>
      <c r="E66" s="28" t="s">
        <v>172</v>
      </c>
      <c r="F66" s="28" t="s">
        <v>109</v>
      </c>
      <c r="G66" s="28">
        <f t="shared" ref="G66:G129" ca="1" si="2">RANDBETWEEN(10,100)</f>
        <v>36</v>
      </c>
      <c r="H66" s="28">
        <v>4</v>
      </c>
      <c r="I66" s="25">
        <f t="shared" ref="I66:I129" ca="1" si="3">G66*H66</f>
        <v>144</v>
      </c>
      <c r="J66" s="25" t="str">
        <f>VLOOKUP(F66,地区表!$D$2:$E$18,2,FALSE)</f>
        <v>技术</v>
      </c>
      <c r="K66" s="38" t="str">
        <f>VLOOKUP(E66,地区表!$A$2:$C$255,3,FALSE)</f>
        <v>中南</v>
      </c>
    </row>
    <row r="67" spans="1:11" ht="15.6">
      <c r="A67" s="28" t="s">
        <v>173</v>
      </c>
      <c r="B67" s="29">
        <v>44672.639257032701</v>
      </c>
      <c r="C67" s="29">
        <v>44677.511564373701</v>
      </c>
      <c r="D67" s="28" t="s">
        <v>94</v>
      </c>
      <c r="E67" s="28" t="s">
        <v>174</v>
      </c>
      <c r="F67" s="28" t="s">
        <v>106</v>
      </c>
      <c r="G67" s="28">
        <f t="shared" ca="1" si="2"/>
        <v>22</v>
      </c>
      <c r="H67" s="28">
        <v>8</v>
      </c>
      <c r="I67" s="25">
        <f t="shared" ca="1" si="3"/>
        <v>176</v>
      </c>
      <c r="J67" s="25" t="str">
        <f>VLOOKUP(F67,地区表!$D$2:$E$18,2,FALSE)</f>
        <v>办公用品</v>
      </c>
      <c r="K67" s="38" t="str">
        <f>VLOOKUP(E67,地区表!$A$2:$C$255,3,FALSE)</f>
        <v>中南</v>
      </c>
    </row>
    <row r="68" spans="1:11" ht="15.6">
      <c r="A68" s="28" t="s">
        <v>175</v>
      </c>
      <c r="B68" s="29">
        <v>44623.652058046697</v>
      </c>
      <c r="C68" s="29">
        <v>44624.343194319197</v>
      </c>
      <c r="D68" s="28" t="s">
        <v>98</v>
      </c>
      <c r="E68" s="28" t="s">
        <v>176</v>
      </c>
      <c r="F68" s="28" t="s">
        <v>141</v>
      </c>
      <c r="G68" s="28">
        <f t="shared" ca="1" si="2"/>
        <v>59</v>
      </c>
      <c r="H68" s="28">
        <v>3</v>
      </c>
      <c r="I68" s="25">
        <f t="shared" ca="1" si="3"/>
        <v>177</v>
      </c>
      <c r="J68" s="25" t="str">
        <f>VLOOKUP(F68,地区表!$D$2:$E$18,2,FALSE)</f>
        <v>办公用品</v>
      </c>
      <c r="K68" s="38" t="str">
        <f>VLOOKUP(E68,地区表!$A$2:$C$255,3,FALSE)</f>
        <v>中南</v>
      </c>
    </row>
    <row r="69" spans="1:11" ht="15.6">
      <c r="A69" s="28" t="s">
        <v>175</v>
      </c>
      <c r="B69" s="29">
        <v>44623.3484205411</v>
      </c>
      <c r="C69" s="29">
        <v>44624.731792539998</v>
      </c>
      <c r="D69" s="28" t="s">
        <v>98</v>
      </c>
      <c r="E69" s="28" t="s">
        <v>176</v>
      </c>
      <c r="F69" s="28" t="s">
        <v>111</v>
      </c>
      <c r="G69" s="28">
        <f t="shared" ca="1" si="2"/>
        <v>31</v>
      </c>
      <c r="H69" s="28">
        <v>3</v>
      </c>
      <c r="I69" s="25">
        <f t="shared" ca="1" si="3"/>
        <v>93</v>
      </c>
      <c r="J69" s="25" t="str">
        <f>VLOOKUP(F69,地区表!$D$2:$E$18,2,FALSE)</f>
        <v>办公用品</v>
      </c>
      <c r="K69" s="38" t="str">
        <f>VLOOKUP(E69,地区表!$A$2:$C$255,3,FALSE)</f>
        <v>中南</v>
      </c>
    </row>
    <row r="70" spans="1:11" ht="15.6">
      <c r="A70" s="28" t="s">
        <v>177</v>
      </c>
      <c r="B70" s="29">
        <v>45120.302747943198</v>
      </c>
      <c r="C70" s="29">
        <v>45125.695741560798</v>
      </c>
      <c r="D70" s="28" t="s">
        <v>114</v>
      </c>
      <c r="E70" s="28" t="s">
        <v>117</v>
      </c>
      <c r="F70" s="28" t="s">
        <v>121</v>
      </c>
      <c r="G70" s="28">
        <f t="shared" ca="1" si="2"/>
        <v>62</v>
      </c>
      <c r="H70" s="28">
        <v>3</v>
      </c>
      <c r="I70" s="25">
        <f t="shared" ca="1" si="3"/>
        <v>186</v>
      </c>
      <c r="J70" s="25" t="str">
        <f>VLOOKUP(F70,地区表!$D$2:$E$18,2,FALSE)</f>
        <v>技术</v>
      </c>
      <c r="K70" s="38" t="str">
        <f>VLOOKUP(E70,地区表!$A$2:$C$255,3,FALSE)</f>
        <v>东北</v>
      </c>
    </row>
    <row r="71" spans="1:11" ht="15.6">
      <c r="A71" s="28" t="s">
        <v>178</v>
      </c>
      <c r="B71" s="29">
        <v>44955.747838194198</v>
      </c>
      <c r="C71" s="29">
        <v>44960.352820006497</v>
      </c>
      <c r="D71" s="28" t="s">
        <v>98</v>
      </c>
      <c r="E71" s="28" t="s">
        <v>179</v>
      </c>
      <c r="F71" s="28" t="s">
        <v>125</v>
      </c>
      <c r="G71" s="28">
        <f t="shared" ca="1" si="2"/>
        <v>33</v>
      </c>
      <c r="H71" s="28">
        <v>5</v>
      </c>
      <c r="I71" s="25">
        <f t="shared" ca="1" si="3"/>
        <v>165</v>
      </c>
      <c r="J71" s="25" t="str">
        <f>VLOOKUP(F71,地区表!$D$2:$E$18,2,FALSE)</f>
        <v>办公用品</v>
      </c>
      <c r="K71" s="38" t="str">
        <f>VLOOKUP(E71,地区表!$A$2:$C$255,3,FALSE)</f>
        <v>华东</v>
      </c>
    </row>
    <row r="72" spans="1:11" ht="15.6">
      <c r="A72" s="28" t="s">
        <v>180</v>
      </c>
      <c r="B72" s="29">
        <v>44943.657569695803</v>
      </c>
      <c r="C72" s="29">
        <v>44946.710449909799</v>
      </c>
      <c r="D72" s="28" t="s">
        <v>114</v>
      </c>
      <c r="E72" s="28" t="s">
        <v>181</v>
      </c>
      <c r="F72" s="28" t="s">
        <v>100</v>
      </c>
      <c r="G72" s="28">
        <f t="shared" ca="1" si="2"/>
        <v>83</v>
      </c>
      <c r="H72" s="28">
        <v>5</v>
      </c>
      <c r="I72" s="25">
        <f t="shared" ca="1" si="3"/>
        <v>415</v>
      </c>
      <c r="J72" s="25" t="str">
        <f>VLOOKUP(F72,地区表!$D$2:$E$18,2,FALSE)</f>
        <v>办公用品</v>
      </c>
      <c r="K72" s="38" t="str">
        <f>VLOOKUP(E72,地区表!$A$2:$C$255,3,FALSE)</f>
        <v>华北</v>
      </c>
    </row>
    <row r="73" spans="1:11" ht="15.6">
      <c r="A73" s="28" t="s">
        <v>180</v>
      </c>
      <c r="B73" s="29">
        <v>44943.757039059201</v>
      </c>
      <c r="C73" s="29">
        <v>44946.738106301098</v>
      </c>
      <c r="D73" s="28" t="s">
        <v>114</v>
      </c>
      <c r="E73" s="28" t="s">
        <v>181</v>
      </c>
      <c r="F73" s="28" t="s">
        <v>130</v>
      </c>
      <c r="G73" s="28">
        <f t="shared" ca="1" si="2"/>
        <v>95</v>
      </c>
      <c r="H73" s="28">
        <v>1</v>
      </c>
      <c r="I73" s="25">
        <f t="shared" ca="1" si="3"/>
        <v>95</v>
      </c>
      <c r="J73" s="25" t="str">
        <f>VLOOKUP(F73,地区表!$D$2:$E$18,2,FALSE)</f>
        <v>家具</v>
      </c>
      <c r="K73" s="38" t="str">
        <f>VLOOKUP(E73,地区表!$A$2:$C$255,3,FALSE)</f>
        <v>华北</v>
      </c>
    </row>
    <row r="74" spans="1:11" ht="15.6">
      <c r="A74" s="28" t="s">
        <v>182</v>
      </c>
      <c r="B74" s="29">
        <v>44620.956348045998</v>
      </c>
      <c r="C74" s="29">
        <v>44622.745607619603</v>
      </c>
      <c r="D74" s="28" t="s">
        <v>94</v>
      </c>
      <c r="E74" s="28" t="s">
        <v>183</v>
      </c>
      <c r="F74" s="28" t="s">
        <v>122</v>
      </c>
      <c r="G74" s="28">
        <f t="shared" ca="1" si="2"/>
        <v>91</v>
      </c>
      <c r="H74" s="28">
        <v>3</v>
      </c>
      <c r="I74" s="25">
        <f t="shared" ca="1" si="3"/>
        <v>273</v>
      </c>
      <c r="J74" s="25" t="str">
        <f>VLOOKUP(F74,地区表!$D$2:$E$18,2,FALSE)</f>
        <v>技术</v>
      </c>
      <c r="K74" s="38" t="str">
        <f>VLOOKUP(E74,地区表!$A$2:$C$255,3,FALSE)</f>
        <v>西南</v>
      </c>
    </row>
    <row r="75" spans="1:11" ht="15.6">
      <c r="A75" s="28" t="s">
        <v>182</v>
      </c>
      <c r="B75" s="29">
        <v>44620.309938551902</v>
      </c>
      <c r="C75" s="29">
        <v>44622.674461472197</v>
      </c>
      <c r="D75" s="28" t="s">
        <v>94</v>
      </c>
      <c r="E75" s="28" t="s">
        <v>183</v>
      </c>
      <c r="F75" s="28" t="s">
        <v>100</v>
      </c>
      <c r="G75" s="28">
        <f t="shared" ca="1" si="2"/>
        <v>93</v>
      </c>
      <c r="H75" s="28">
        <v>3</v>
      </c>
      <c r="I75" s="25">
        <f t="shared" ca="1" si="3"/>
        <v>279</v>
      </c>
      <c r="J75" s="25" t="str">
        <f>VLOOKUP(F75,地区表!$D$2:$E$18,2,FALSE)</f>
        <v>办公用品</v>
      </c>
      <c r="K75" s="38" t="str">
        <f>VLOOKUP(E75,地区表!$A$2:$C$255,3,FALSE)</f>
        <v>西南</v>
      </c>
    </row>
    <row r="76" spans="1:11" ht="15.6">
      <c r="A76" s="28" t="s">
        <v>182</v>
      </c>
      <c r="B76" s="29">
        <v>44620.548704937399</v>
      </c>
      <c r="C76" s="29">
        <v>44622.286360373</v>
      </c>
      <c r="D76" s="28" t="s">
        <v>94</v>
      </c>
      <c r="E76" s="28" t="s">
        <v>183</v>
      </c>
      <c r="F76" s="28" t="s">
        <v>122</v>
      </c>
      <c r="G76" s="28">
        <f t="shared" ca="1" si="2"/>
        <v>82</v>
      </c>
      <c r="H76" s="28">
        <v>1</v>
      </c>
      <c r="I76" s="25">
        <f t="shared" ca="1" si="3"/>
        <v>82</v>
      </c>
      <c r="J76" s="25" t="str">
        <f>VLOOKUP(F76,地区表!$D$2:$E$18,2,FALSE)</f>
        <v>技术</v>
      </c>
      <c r="K76" s="38" t="str">
        <f>VLOOKUP(E76,地区表!$A$2:$C$255,3,FALSE)</f>
        <v>西南</v>
      </c>
    </row>
    <row r="77" spans="1:11" ht="15.6">
      <c r="A77" s="28" t="s">
        <v>184</v>
      </c>
      <c r="B77" s="29">
        <v>45084.896404958497</v>
      </c>
      <c r="C77" s="29">
        <v>45088.713405807903</v>
      </c>
      <c r="D77" s="28" t="s">
        <v>98</v>
      </c>
      <c r="E77" s="28" t="s">
        <v>185</v>
      </c>
      <c r="F77" s="28" t="s">
        <v>96</v>
      </c>
      <c r="G77" s="28">
        <f t="shared" ca="1" si="2"/>
        <v>38</v>
      </c>
      <c r="H77" s="28">
        <v>5</v>
      </c>
      <c r="I77" s="25">
        <f t="shared" ca="1" si="3"/>
        <v>190</v>
      </c>
      <c r="J77" s="25" t="str">
        <f>VLOOKUP(F77,地区表!$D$2:$E$18,2,FALSE)</f>
        <v>办公用品</v>
      </c>
      <c r="K77" s="38" t="str">
        <f>VLOOKUP(E77,地区表!$A$2:$C$255,3,FALSE)</f>
        <v>华东</v>
      </c>
    </row>
    <row r="78" spans="1:11" ht="15.6">
      <c r="A78" s="28" t="s">
        <v>186</v>
      </c>
      <c r="B78" s="29">
        <v>44676.117379537704</v>
      </c>
      <c r="C78" s="29">
        <v>44680.4517291628</v>
      </c>
      <c r="D78" s="28" t="s">
        <v>98</v>
      </c>
      <c r="E78" s="28" t="s">
        <v>164</v>
      </c>
      <c r="F78" s="28" t="s">
        <v>112</v>
      </c>
      <c r="G78" s="28">
        <f t="shared" ca="1" si="2"/>
        <v>89</v>
      </c>
      <c r="H78" s="28">
        <v>2</v>
      </c>
      <c r="I78" s="25">
        <f t="shared" ca="1" si="3"/>
        <v>178</v>
      </c>
      <c r="J78" s="25" t="str">
        <f>VLOOKUP(F78,地区表!$D$2:$E$18,2,FALSE)</f>
        <v>办公用品</v>
      </c>
      <c r="K78" s="38" t="str">
        <f>VLOOKUP(E78,地区表!$A$2:$C$255,3,FALSE)</f>
        <v>西北</v>
      </c>
    </row>
    <row r="79" spans="1:11" ht="15.6">
      <c r="A79" s="28" t="s">
        <v>186</v>
      </c>
      <c r="B79" s="29">
        <v>44676.572790925296</v>
      </c>
      <c r="C79" s="29">
        <v>44680.999119029701</v>
      </c>
      <c r="D79" s="28" t="s">
        <v>98</v>
      </c>
      <c r="E79" s="28" t="s">
        <v>164</v>
      </c>
      <c r="F79" s="28" t="s">
        <v>125</v>
      </c>
      <c r="G79" s="28">
        <f t="shared" ca="1" si="2"/>
        <v>42</v>
      </c>
      <c r="H79" s="28">
        <v>3</v>
      </c>
      <c r="I79" s="25">
        <f t="shared" ca="1" si="3"/>
        <v>126</v>
      </c>
      <c r="J79" s="25" t="str">
        <f>VLOOKUP(F79,地区表!$D$2:$E$18,2,FALSE)</f>
        <v>办公用品</v>
      </c>
      <c r="K79" s="38" t="str">
        <f>VLOOKUP(E79,地区表!$A$2:$C$255,3,FALSE)</f>
        <v>西北</v>
      </c>
    </row>
    <row r="80" spans="1:11" ht="15.6">
      <c r="A80" s="28" t="s">
        <v>186</v>
      </c>
      <c r="B80" s="29">
        <v>44676.2837425697</v>
      </c>
      <c r="C80" s="29">
        <v>44680.2150597707</v>
      </c>
      <c r="D80" s="28" t="s">
        <v>98</v>
      </c>
      <c r="E80" s="28" t="s">
        <v>164</v>
      </c>
      <c r="F80" s="28" t="s">
        <v>125</v>
      </c>
      <c r="G80" s="28">
        <f t="shared" ca="1" si="2"/>
        <v>82</v>
      </c>
      <c r="H80" s="28">
        <v>2</v>
      </c>
      <c r="I80" s="25">
        <f t="shared" ca="1" si="3"/>
        <v>164</v>
      </c>
      <c r="J80" s="25" t="str">
        <f>VLOOKUP(F80,地区表!$D$2:$E$18,2,FALSE)</f>
        <v>办公用品</v>
      </c>
      <c r="K80" s="38" t="str">
        <f>VLOOKUP(E80,地区表!$A$2:$C$255,3,FALSE)</f>
        <v>西北</v>
      </c>
    </row>
    <row r="81" spans="1:11" ht="15.6">
      <c r="A81" s="28" t="s">
        <v>187</v>
      </c>
      <c r="B81" s="29">
        <v>45120.788946189001</v>
      </c>
      <c r="C81" s="29">
        <v>45125.266760031103</v>
      </c>
      <c r="D81" s="28" t="s">
        <v>94</v>
      </c>
      <c r="E81" s="28" t="s">
        <v>152</v>
      </c>
      <c r="F81" s="28" t="s">
        <v>125</v>
      </c>
      <c r="G81" s="28">
        <f t="shared" ca="1" si="2"/>
        <v>79</v>
      </c>
      <c r="H81" s="28">
        <v>14</v>
      </c>
      <c r="I81" s="25">
        <f t="shared" ca="1" si="3"/>
        <v>1106</v>
      </c>
      <c r="J81" s="25" t="str">
        <f>VLOOKUP(F81,地区表!$D$2:$E$18,2,FALSE)</f>
        <v>办公用品</v>
      </c>
      <c r="K81" s="38" t="str">
        <f>VLOOKUP(E81,地区表!$A$2:$C$255,3,FALSE)</f>
        <v>华东</v>
      </c>
    </row>
    <row r="82" spans="1:11" ht="15.6">
      <c r="A82" s="28" t="s">
        <v>187</v>
      </c>
      <c r="B82" s="29">
        <v>45120.9525842</v>
      </c>
      <c r="C82" s="29">
        <v>45125.513270351403</v>
      </c>
      <c r="D82" s="28" t="s">
        <v>94</v>
      </c>
      <c r="E82" s="28" t="s">
        <v>152</v>
      </c>
      <c r="F82" s="28" t="s">
        <v>96</v>
      </c>
      <c r="G82" s="28">
        <f t="shared" ca="1" si="2"/>
        <v>87</v>
      </c>
      <c r="H82" s="28">
        <v>2</v>
      </c>
      <c r="I82" s="25">
        <f t="shared" ca="1" si="3"/>
        <v>174</v>
      </c>
      <c r="J82" s="25" t="str">
        <f>VLOOKUP(F82,地区表!$D$2:$E$18,2,FALSE)</f>
        <v>办公用品</v>
      </c>
      <c r="K82" s="38" t="str">
        <f>VLOOKUP(E82,地区表!$A$2:$C$255,3,FALSE)</f>
        <v>华东</v>
      </c>
    </row>
    <row r="83" spans="1:11" ht="15.6">
      <c r="A83" s="28" t="s">
        <v>188</v>
      </c>
      <c r="B83" s="29">
        <v>45270.624363676201</v>
      </c>
      <c r="C83" s="29">
        <v>45270.770317466697</v>
      </c>
      <c r="D83" s="28" t="s">
        <v>98</v>
      </c>
      <c r="E83" s="28" t="s">
        <v>164</v>
      </c>
      <c r="F83" s="28" t="s">
        <v>118</v>
      </c>
      <c r="G83" s="28">
        <f t="shared" ca="1" si="2"/>
        <v>22</v>
      </c>
      <c r="H83" s="28">
        <v>2</v>
      </c>
      <c r="I83" s="25">
        <f t="shared" ca="1" si="3"/>
        <v>44</v>
      </c>
      <c r="J83" s="25" t="str">
        <f>VLOOKUP(F83,地区表!$D$2:$E$18,2,FALSE)</f>
        <v>技术</v>
      </c>
      <c r="K83" s="38" t="str">
        <f>VLOOKUP(E83,地区表!$A$2:$C$255,3,FALSE)</f>
        <v>西北</v>
      </c>
    </row>
    <row r="84" spans="1:11" ht="15.6">
      <c r="A84" s="28" t="s">
        <v>189</v>
      </c>
      <c r="B84" s="29">
        <v>44919.4551135566</v>
      </c>
      <c r="C84" s="29">
        <v>44924.235986416599</v>
      </c>
      <c r="D84" s="28" t="s">
        <v>114</v>
      </c>
      <c r="E84" s="28" t="s">
        <v>190</v>
      </c>
      <c r="F84" s="28" t="s">
        <v>118</v>
      </c>
      <c r="G84" s="28">
        <f t="shared" ca="1" si="2"/>
        <v>100</v>
      </c>
      <c r="H84" s="28">
        <v>2</v>
      </c>
      <c r="I84" s="25">
        <f t="shared" ca="1" si="3"/>
        <v>200</v>
      </c>
      <c r="J84" s="25" t="str">
        <f>VLOOKUP(F84,地区表!$D$2:$E$18,2,FALSE)</f>
        <v>技术</v>
      </c>
      <c r="K84" s="38" t="str">
        <f>VLOOKUP(E84,地区表!$A$2:$C$255,3,FALSE)</f>
        <v>东北</v>
      </c>
    </row>
    <row r="85" spans="1:11" ht="15.6">
      <c r="A85" s="28" t="s">
        <v>189</v>
      </c>
      <c r="B85" s="29">
        <v>44919.649325720799</v>
      </c>
      <c r="C85" s="29">
        <v>44924.491069729702</v>
      </c>
      <c r="D85" s="28" t="s">
        <v>114</v>
      </c>
      <c r="E85" s="28" t="s">
        <v>190</v>
      </c>
      <c r="F85" s="28" t="s">
        <v>125</v>
      </c>
      <c r="G85" s="28">
        <f t="shared" ca="1" si="2"/>
        <v>71</v>
      </c>
      <c r="H85" s="28">
        <v>3</v>
      </c>
      <c r="I85" s="25">
        <f t="shared" ca="1" si="3"/>
        <v>213</v>
      </c>
      <c r="J85" s="25" t="str">
        <f>VLOOKUP(F85,地区表!$D$2:$E$18,2,FALSE)</f>
        <v>办公用品</v>
      </c>
      <c r="K85" s="38" t="str">
        <f>VLOOKUP(E85,地区表!$A$2:$C$255,3,FALSE)</f>
        <v>东北</v>
      </c>
    </row>
    <row r="86" spans="1:11" ht="15.6">
      <c r="A86" s="28" t="s">
        <v>191</v>
      </c>
      <c r="B86" s="29">
        <v>45202.951594268401</v>
      </c>
      <c r="C86" s="29">
        <v>45207.5178758908</v>
      </c>
      <c r="D86" s="28" t="s">
        <v>98</v>
      </c>
      <c r="E86" s="28" t="s">
        <v>127</v>
      </c>
      <c r="F86" s="28" t="s">
        <v>100</v>
      </c>
      <c r="G86" s="28">
        <f t="shared" ca="1" si="2"/>
        <v>67</v>
      </c>
      <c r="H86" s="28">
        <v>7</v>
      </c>
      <c r="I86" s="25">
        <f t="shared" ca="1" si="3"/>
        <v>469</v>
      </c>
      <c r="J86" s="25" t="str">
        <f>VLOOKUP(F86,地区表!$D$2:$E$18,2,FALSE)</f>
        <v>办公用品</v>
      </c>
      <c r="K86" s="38" t="str">
        <f>VLOOKUP(E86,地区表!$A$2:$C$255,3,FALSE)</f>
        <v>华东</v>
      </c>
    </row>
    <row r="87" spans="1:11" ht="15.6">
      <c r="A87" s="28" t="s">
        <v>191</v>
      </c>
      <c r="B87" s="29">
        <v>45202.4583163684</v>
      </c>
      <c r="C87" s="29">
        <v>45207.701221035197</v>
      </c>
      <c r="D87" s="28" t="s">
        <v>98</v>
      </c>
      <c r="E87" s="28" t="s">
        <v>127</v>
      </c>
      <c r="F87" s="28" t="s">
        <v>131</v>
      </c>
      <c r="G87" s="28">
        <f t="shared" ca="1" si="2"/>
        <v>20</v>
      </c>
      <c r="H87" s="28">
        <v>5</v>
      </c>
      <c r="I87" s="25">
        <f t="shared" ca="1" si="3"/>
        <v>100</v>
      </c>
      <c r="J87" s="25" t="str">
        <f>VLOOKUP(F87,地区表!$D$2:$E$18,2,FALSE)</f>
        <v>家具</v>
      </c>
      <c r="K87" s="38" t="str">
        <f>VLOOKUP(E87,地区表!$A$2:$C$255,3,FALSE)</f>
        <v>华东</v>
      </c>
    </row>
    <row r="88" spans="1:11" ht="15.6">
      <c r="A88" s="28" t="s">
        <v>192</v>
      </c>
      <c r="B88" s="29">
        <v>44469.668271133902</v>
      </c>
      <c r="C88" s="29">
        <v>44474.664333252003</v>
      </c>
      <c r="D88" s="28" t="s">
        <v>94</v>
      </c>
      <c r="E88" s="28" t="s">
        <v>193</v>
      </c>
      <c r="F88" s="28" t="s">
        <v>125</v>
      </c>
      <c r="G88" s="28">
        <f t="shared" ca="1" si="2"/>
        <v>46</v>
      </c>
      <c r="H88" s="28">
        <v>6</v>
      </c>
      <c r="I88" s="25">
        <f t="shared" ca="1" si="3"/>
        <v>276</v>
      </c>
      <c r="J88" s="25" t="str">
        <f>VLOOKUP(F88,地区表!$D$2:$E$18,2,FALSE)</f>
        <v>办公用品</v>
      </c>
      <c r="K88" s="38" t="str">
        <f>VLOOKUP(E88,地区表!$A$2:$C$255,3,FALSE)</f>
        <v>西北</v>
      </c>
    </row>
    <row r="89" spans="1:11" ht="15.6">
      <c r="A89" s="28" t="s">
        <v>194</v>
      </c>
      <c r="B89" s="29">
        <v>45257.425645098199</v>
      </c>
      <c r="C89" s="29">
        <v>45257.3959661716</v>
      </c>
      <c r="D89" s="28" t="s">
        <v>98</v>
      </c>
      <c r="E89" s="28" t="s">
        <v>195</v>
      </c>
      <c r="F89" s="28" t="s">
        <v>131</v>
      </c>
      <c r="G89" s="28">
        <f t="shared" ca="1" si="2"/>
        <v>24</v>
      </c>
      <c r="H89" s="28">
        <v>6</v>
      </c>
      <c r="I89" s="25">
        <f t="shared" ca="1" si="3"/>
        <v>144</v>
      </c>
      <c r="J89" s="25" t="str">
        <f>VLOOKUP(F89,地区表!$D$2:$E$18,2,FALSE)</f>
        <v>家具</v>
      </c>
      <c r="K89" s="38" t="str">
        <f>VLOOKUP(E89,地区表!$A$2:$C$255,3,FALSE)</f>
        <v>西南</v>
      </c>
    </row>
    <row r="90" spans="1:11" ht="15.6">
      <c r="A90" s="28" t="s">
        <v>196</v>
      </c>
      <c r="B90" s="29">
        <v>44667.789985880801</v>
      </c>
      <c r="C90" s="29">
        <v>44671.905549632203</v>
      </c>
      <c r="D90" s="28" t="s">
        <v>98</v>
      </c>
      <c r="E90" s="28" t="s">
        <v>197</v>
      </c>
      <c r="F90" s="28" t="s">
        <v>122</v>
      </c>
      <c r="G90" s="28">
        <f t="shared" ca="1" si="2"/>
        <v>83</v>
      </c>
      <c r="H90" s="28">
        <v>4</v>
      </c>
      <c r="I90" s="25">
        <f t="shared" ca="1" si="3"/>
        <v>332</v>
      </c>
      <c r="J90" s="25" t="str">
        <f>VLOOKUP(F90,地区表!$D$2:$E$18,2,FALSE)</f>
        <v>技术</v>
      </c>
      <c r="K90" s="38" t="str">
        <f>VLOOKUP(E90,地区表!$A$2:$C$255,3,FALSE)</f>
        <v>中南</v>
      </c>
    </row>
    <row r="91" spans="1:11" ht="15.6">
      <c r="A91" s="28" t="s">
        <v>198</v>
      </c>
      <c r="B91" s="29">
        <v>44640.155315612901</v>
      </c>
      <c r="C91" s="29">
        <v>44645.787880850003</v>
      </c>
      <c r="D91" s="28" t="s">
        <v>98</v>
      </c>
      <c r="E91" s="28" t="s">
        <v>199</v>
      </c>
      <c r="F91" s="28" t="s">
        <v>101</v>
      </c>
      <c r="G91" s="28">
        <f t="shared" ca="1" si="2"/>
        <v>85</v>
      </c>
      <c r="H91" s="28">
        <v>2</v>
      </c>
      <c r="I91" s="25">
        <f t="shared" ca="1" si="3"/>
        <v>170</v>
      </c>
      <c r="J91" s="25" t="str">
        <f>VLOOKUP(F91,地区表!$D$2:$E$18,2,FALSE)</f>
        <v>办公用品</v>
      </c>
      <c r="K91" s="38" t="str">
        <f>VLOOKUP(E91,地区表!$A$2:$C$255,3,FALSE)</f>
        <v>西北</v>
      </c>
    </row>
    <row r="92" spans="1:11" ht="15.6">
      <c r="A92" s="28" t="s">
        <v>198</v>
      </c>
      <c r="B92" s="29">
        <v>44640.5017564347</v>
      </c>
      <c r="C92" s="29">
        <v>44645.224781300501</v>
      </c>
      <c r="D92" s="28" t="s">
        <v>98</v>
      </c>
      <c r="E92" s="28" t="s">
        <v>199</v>
      </c>
      <c r="F92" s="28" t="s">
        <v>135</v>
      </c>
      <c r="G92" s="28">
        <f t="shared" ca="1" si="2"/>
        <v>71</v>
      </c>
      <c r="H92" s="28">
        <v>3</v>
      </c>
      <c r="I92" s="25">
        <f t="shared" ca="1" si="3"/>
        <v>213</v>
      </c>
      <c r="J92" s="25" t="str">
        <f>VLOOKUP(F92,地区表!$D$2:$E$18,2,FALSE)</f>
        <v>办公用品</v>
      </c>
      <c r="K92" s="38" t="str">
        <f>VLOOKUP(E92,地区表!$A$2:$C$255,3,FALSE)</f>
        <v>西北</v>
      </c>
    </row>
    <row r="93" spans="1:11" ht="15.6">
      <c r="A93" s="28" t="s">
        <v>198</v>
      </c>
      <c r="B93" s="29">
        <v>44640.994159985297</v>
      </c>
      <c r="C93" s="29">
        <v>44645.1258281634</v>
      </c>
      <c r="D93" s="28" t="s">
        <v>98</v>
      </c>
      <c r="E93" s="28" t="s">
        <v>199</v>
      </c>
      <c r="F93" s="28" t="s">
        <v>135</v>
      </c>
      <c r="G93" s="28">
        <f t="shared" ca="1" si="2"/>
        <v>24</v>
      </c>
      <c r="H93" s="28">
        <v>2</v>
      </c>
      <c r="I93" s="25">
        <f t="shared" ca="1" si="3"/>
        <v>48</v>
      </c>
      <c r="J93" s="25" t="str">
        <f>VLOOKUP(F93,地区表!$D$2:$E$18,2,FALSE)</f>
        <v>办公用品</v>
      </c>
      <c r="K93" s="38" t="str">
        <f>VLOOKUP(E93,地区表!$A$2:$C$255,3,FALSE)</f>
        <v>西北</v>
      </c>
    </row>
    <row r="94" spans="1:11" ht="15.6">
      <c r="A94" s="28" t="s">
        <v>198</v>
      </c>
      <c r="B94" s="29">
        <v>44640.383843185198</v>
      </c>
      <c r="C94" s="29">
        <v>44645.1051360864</v>
      </c>
      <c r="D94" s="28" t="s">
        <v>98</v>
      </c>
      <c r="E94" s="28" t="s">
        <v>199</v>
      </c>
      <c r="F94" s="28" t="s">
        <v>135</v>
      </c>
      <c r="G94" s="28">
        <f t="shared" ca="1" si="2"/>
        <v>53</v>
      </c>
      <c r="H94" s="28">
        <v>2</v>
      </c>
      <c r="I94" s="25">
        <f t="shared" ca="1" si="3"/>
        <v>106</v>
      </c>
      <c r="J94" s="25" t="str">
        <f>VLOOKUP(F94,地区表!$D$2:$E$18,2,FALSE)</f>
        <v>办公用品</v>
      </c>
      <c r="K94" s="38" t="str">
        <f>VLOOKUP(E94,地区表!$A$2:$C$255,3,FALSE)</f>
        <v>西北</v>
      </c>
    </row>
    <row r="95" spans="1:11" ht="15.6">
      <c r="A95" s="28" t="s">
        <v>200</v>
      </c>
      <c r="B95" s="29">
        <v>44462.462910357601</v>
      </c>
      <c r="C95" s="29">
        <v>44465.229444411299</v>
      </c>
      <c r="D95" s="28" t="s">
        <v>98</v>
      </c>
      <c r="E95" s="28" t="s">
        <v>201</v>
      </c>
      <c r="F95" s="28" t="s">
        <v>96</v>
      </c>
      <c r="G95" s="28">
        <f t="shared" ca="1" si="2"/>
        <v>25</v>
      </c>
      <c r="H95" s="28">
        <v>3</v>
      </c>
      <c r="I95" s="25">
        <f t="shared" ca="1" si="3"/>
        <v>75</v>
      </c>
      <c r="J95" s="25" t="str">
        <f>VLOOKUP(F95,地区表!$D$2:$E$18,2,FALSE)</f>
        <v>办公用品</v>
      </c>
      <c r="K95" s="38" t="str">
        <f>VLOOKUP(E95,地区表!$A$2:$C$255,3,FALSE)</f>
        <v>华东</v>
      </c>
    </row>
    <row r="96" spans="1:11" ht="15.6">
      <c r="A96" s="28" t="s">
        <v>200</v>
      </c>
      <c r="B96" s="29">
        <v>44462.488214974597</v>
      </c>
      <c r="C96" s="29">
        <v>44465.421119538099</v>
      </c>
      <c r="D96" s="28" t="s">
        <v>98</v>
      </c>
      <c r="E96" s="28" t="s">
        <v>201</v>
      </c>
      <c r="F96" s="28" t="s">
        <v>110</v>
      </c>
      <c r="G96" s="28">
        <f t="shared" ca="1" si="2"/>
        <v>49</v>
      </c>
      <c r="H96" s="28">
        <v>5</v>
      </c>
      <c r="I96" s="25">
        <f t="shared" ca="1" si="3"/>
        <v>245</v>
      </c>
      <c r="J96" s="25" t="str">
        <f>VLOOKUP(F96,地区表!$D$2:$E$18,2,FALSE)</f>
        <v>家具</v>
      </c>
      <c r="K96" s="38" t="str">
        <f>VLOOKUP(E96,地区表!$A$2:$C$255,3,FALSE)</f>
        <v>华东</v>
      </c>
    </row>
    <row r="97" spans="1:11" ht="15.6">
      <c r="A97" s="28" t="s">
        <v>200</v>
      </c>
      <c r="B97" s="29">
        <v>44462.743533654997</v>
      </c>
      <c r="C97" s="29">
        <v>44465.093213518099</v>
      </c>
      <c r="D97" s="28" t="s">
        <v>98</v>
      </c>
      <c r="E97" s="28" t="s">
        <v>201</v>
      </c>
      <c r="F97" s="28" t="s">
        <v>112</v>
      </c>
      <c r="G97" s="28">
        <f t="shared" ca="1" si="2"/>
        <v>62</v>
      </c>
      <c r="H97" s="28">
        <v>5</v>
      </c>
      <c r="I97" s="25">
        <f t="shared" ca="1" si="3"/>
        <v>310</v>
      </c>
      <c r="J97" s="25" t="str">
        <f>VLOOKUP(F97,地区表!$D$2:$E$18,2,FALSE)</f>
        <v>办公用品</v>
      </c>
      <c r="K97" s="38" t="str">
        <f>VLOOKUP(E97,地区表!$A$2:$C$255,3,FALSE)</f>
        <v>华东</v>
      </c>
    </row>
    <row r="98" spans="1:11" ht="15.6">
      <c r="A98" s="28" t="s">
        <v>200</v>
      </c>
      <c r="B98" s="29">
        <v>44462.138453947897</v>
      </c>
      <c r="C98" s="29">
        <v>44465.076383983098</v>
      </c>
      <c r="D98" s="28" t="s">
        <v>98</v>
      </c>
      <c r="E98" s="28" t="s">
        <v>201</v>
      </c>
      <c r="F98" s="28" t="s">
        <v>100</v>
      </c>
      <c r="G98" s="28">
        <f t="shared" ca="1" si="2"/>
        <v>55</v>
      </c>
      <c r="H98" s="28">
        <v>3</v>
      </c>
      <c r="I98" s="25">
        <f t="shared" ca="1" si="3"/>
        <v>165</v>
      </c>
      <c r="J98" s="25" t="str">
        <f>VLOOKUP(F98,地区表!$D$2:$E$18,2,FALSE)</f>
        <v>办公用品</v>
      </c>
      <c r="K98" s="38" t="str">
        <f>VLOOKUP(E98,地区表!$A$2:$C$255,3,FALSE)</f>
        <v>华东</v>
      </c>
    </row>
    <row r="99" spans="1:11" ht="15.6">
      <c r="A99" s="28" t="s">
        <v>200</v>
      </c>
      <c r="B99" s="29">
        <v>44462.205954742501</v>
      </c>
      <c r="C99" s="29">
        <v>44465.264423820598</v>
      </c>
      <c r="D99" s="28" t="s">
        <v>98</v>
      </c>
      <c r="E99" s="28" t="s">
        <v>201</v>
      </c>
      <c r="F99" s="28" t="s">
        <v>141</v>
      </c>
      <c r="G99" s="28">
        <f t="shared" ca="1" si="2"/>
        <v>33</v>
      </c>
      <c r="H99" s="28">
        <v>2</v>
      </c>
      <c r="I99" s="25">
        <f t="shared" ca="1" si="3"/>
        <v>66</v>
      </c>
      <c r="J99" s="25" t="str">
        <f>VLOOKUP(F99,地区表!$D$2:$E$18,2,FALSE)</f>
        <v>办公用品</v>
      </c>
      <c r="K99" s="38" t="str">
        <f>VLOOKUP(E99,地区表!$A$2:$C$255,3,FALSE)</f>
        <v>华东</v>
      </c>
    </row>
    <row r="100" spans="1:11" ht="15.6">
      <c r="A100" s="28" t="s">
        <v>202</v>
      </c>
      <c r="B100" s="29">
        <v>44635.549496347398</v>
      </c>
      <c r="C100" s="29">
        <v>44639.623431211803</v>
      </c>
      <c r="D100" s="28" t="s">
        <v>94</v>
      </c>
      <c r="E100" s="28" t="s">
        <v>203</v>
      </c>
      <c r="F100" s="28" t="s">
        <v>109</v>
      </c>
      <c r="G100" s="28">
        <f t="shared" ca="1" si="2"/>
        <v>63</v>
      </c>
      <c r="H100" s="28">
        <v>4</v>
      </c>
      <c r="I100" s="25">
        <f t="shared" ca="1" si="3"/>
        <v>252</v>
      </c>
      <c r="J100" s="25" t="str">
        <f>VLOOKUP(F100,地区表!$D$2:$E$18,2,FALSE)</f>
        <v>技术</v>
      </c>
      <c r="K100" s="38" t="str">
        <f>VLOOKUP(E100,地区表!$A$2:$C$255,3,FALSE)</f>
        <v>中南</v>
      </c>
    </row>
    <row r="101" spans="1:11" ht="15.6">
      <c r="A101" s="28" t="s">
        <v>204</v>
      </c>
      <c r="B101" s="29">
        <v>44709.2235790044</v>
      </c>
      <c r="C101" s="29">
        <v>44712.422627188302</v>
      </c>
      <c r="D101" s="28" t="s">
        <v>98</v>
      </c>
      <c r="E101" s="28" t="s">
        <v>205</v>
      </c>
      <c r="F101" s="28" t="s">
        <v>96</v>
      </c>
      <c r="G101" s="28">
        <f t="shared" ca="1" si="2"/>
        <v>68</v>
      </c>
      <c r="H101" s="28">
        <v>3</v>
      </c>
      <c r="I101" s="25">
        <f t="shared" ca="1" si="3"/>
        <v>204</v>
      </c>
      <c r="J101" s="25" t="str">
        <f>VLOOKUP(F101,地区表!$D$2:$E$18,2,FALSE)</f>
        <v>办公用品</v>
      </c>
      <c r="K101" s="38" t="str">
        <f>VLOOKUP(E101,地区表!$A$2:$C$255,3,FALSE)</f>
        <v>华东</v>
      </c>
    </row>
    <row r="102" spans="1:11" ht="15.6">
      <c r="A102" s="28" t="s">
        <v>204</v>
      </c>
      <c r="B102" s="29">
        <v>44709.573320560499</v>
      </c>
      <c r="C102" s="29">
        <v>44712.7668925623</v>
      </c>
      <c r="D102" s="28" t="s">
        <v>98</v>
      </c>
      <c r="E102" s="28" t="s">
        <v>205</v>
      </c>
      <c r="F102" s="28" t="s">
        <v>106</v>
      </c>
      <c r="G102" s="28">
        <f t="shared" ca="1" si="2"/>
        <v>84</v>
      </c>
      <c r="H102" s="28">
        <v>4</v>
      </c>
      <c r="I102" s="25">
        <f t="shared" ca="1" si="3"/>
        <v>336</v>
      </c>
      <c r="J102" s="25" t="str">
        <f>VLOOKUP(F102,地区表!$D$2:$E$18,2,FALSE)</f>
        <v>办公用品</v>
      </c>
      <c r="K102" s="38" t="str">
        <f>VLOOKUP(E102,地区表!$A$2:$C$255,3,FALSE)</f>
        <v>华东</v>
      </c>
    </row>
    <row r="103" spans="1:11" ht="15.6">
      <c r="A103" s="28" t="s">
        <v>206</v>
      </c>
      <c r="B103" s="29">
        <v>44639.331615534997</v>
      </c>
      <c r="C103" s="29">
        <v>44643.328551032297</v>
      </c>
      <c r="D103" s="28" t="s">
        <v>114</v>
      </c>
      <c r="E103" s="28" t="s">
        <v>207</v>
      </c>
      <c r="F103" s="28" t="s">
        <v>96</v>
      </c>
      <c r="G103" s="28">
        <f t="shared" ca="1" si="2"/>
        <v>90</v>
      </c>
      <c r="H103" s="28">
        <v>2</v>
      </c>
      <c r="I103" s="25">
        <f t="shared" ca="1" si="3"/>
        <v>180</v>
      </c>
      <c r="J103" s="25" t="str">
        <f>VLOOKUP(F103,地区表!$D$2:$E$18,2,FALSE)</f>
        <v>办公用品</v>
      </c>
      <c r="K103" s="38" t="str">
        <f>VLOOKUP(E103,地区表!$A$2:$C$255,3,FALSE)</f>
        <v>华北</v>
      </c>
    </row>
    <row r="104" spans="1:11" ht="15.6">
      <c r="A104" s="28" t="s">
        <v>208</v>
      </c>
      <c r="B104" s="29">
        <v>44617.095167736203</v>
      </c>
      <c r="C104" s="29">
        <v>44622.673353534003</v>
      </c>
      <c r="D104" s="28" t="s">
        <v>114</v>
      </c>
      <c r="E104" s="28" t="s">
        <v>207</v>
      </c>
      <c r="F104" s="28" t="s">
        <v>101</v>
      </c>
      <c r="G104" s="28">
        <f t="shared" ca="1" si="2"/>
        <v>84</v>
      </c>
      <c r="H104" s="28">
        <v>3</v>
      </c>
      <c r="I104" s="25">
        <f t="shared" ca="1" si="3"/>
        <v>252</v>
      </c>
      <c r="J104" s="25" t="str">
        <f>VLOOKUP(F104,地区表!$D$2:$E$18,2,FALSE)</f>
        <v>办公用品</v>
      </c>
      <c r="K104" s="38" t="str">
        <f>VLOOKUP(E104,地区表!$A$2:$C$255,3,FALSE)</f>
        <v>华北</v>
      </c>
    </row>
    <row r="105" spans="1:11" ht="15.6">
      <c r="A105" s="28" t="s">
        <v>208</v>
      </c>
      <c r="B105" s="29">
        <v>44617.343571688398</v>
      </c>
      <c r="C105" s="29">
        <v>44622.794922217901</v>
      </c>
      <c r="D105" s="28" t="s">
        <v>114</v>
      </c>
      <c r="E105" s="28" t="s">
        <v>207</v>
      </c>
      <c r="F105" s="28" t="s">
        <v>131</v>
      </c>
      <c r="G105" s="28">
        <f t="shared" ca="1" si="2"/>
        <v>29</v>
      </c>
      <c r="H105" s="28">
        <v>9</v>
      </c>
      <c r="I105" s="25">
        <f t="shared" ca="1" si="3"/>
        <v>261</v>
      </c>
      <c r="J105" s="25" t="str">
        <f>VLOOKUP(F105,地区表!$D$2:$E$18,2,FALSE)</f>
        <v>家具</v>
      </c>
      <c r="K105" s="38" t="str">
        <f>VLOOKUP(E105,地区表!$A$2:$C$255,3,FALSE)</f>
        <v>华北</v>
      </c>
    </row>
    <row r="106" spans="1:11" ht="15.6">
      <c r="A106" s="28" t="s">
        <v>208</v>
      </c>
      <c r="B106" s="29">
        <v>44617.404676235798</v>
      </c>
      <c r="C106" s="29">
        <v>44622.162748667797</v>
      </c>
      <c r="D106" s="28" t="s">
        <v>114</v>
      </c>
      <c r="E106" s="28" t="s">
        <v>207</v>
      </c>
      <c r="F106" s="28" t="s">
        <v>110</v>
      </c>
      <c r="G106" s="28">
        <f t="shared" ca="1" si="2"/>
        <v>36</v>
      </c>
      <c r="H106" s="28">
        <v>1</v>
      </c>
      <c r="I106" s="25">
        <f t="shared" ca="1" si="3"/>
        <v>36</v>
      </c>
      <c r="J106" s="25" t="str">
        <f>VLOOKUP(F106,地区表!$D$2:$E$18,2,FALSE)</f>
        <v>家具</v>
      </c>
      <c r="K106" s="38" t="str">
        <f>VLOOKUP(E106,地区表!$A$2:$C$255,3,FALSE)</f>
        <v>华北</v>
      </c>
    </row>
    <row r="107" spans="1:11" ht="15.6">
      <c r="A107" s="28" t="s">
        <v>209</v>
      </c>
      <c r="B107" s="29">
        <v>44968.564080538497</v>
      </c>
      <c r="C107" s="29">
        <v>44970.509323506099</v>
      </c>
      <c r="D107" s="28" t="s">
        <v>114</v>
      </c>
      <c r="E107" s="28" t="s">
        <v>210</v>
      </c>
      <c r="F107" s="28" t="s">
        <v>110</v>
      </c>
      <c r="G107" s="28">
        <f t="shared" ca="1" si="2"/>
        <v>81</v>
      </c>
      <c r="H107" s="28">
        <v>7</v>
      </c>
      <c r="I107" s="25">
        <f t="shared" ca="1" si="3"/>
        <v>567</v>
      </c>
      <c r="J107" s="25" t="str">
        <f>VLOOKUP(F107,地区表!$D$2:$E$18,2,FALSE)</f>
        <v>家具</v>
      </c>
      <c r="K107" s="38" t="str">
        <f>VLOOKUP(E107,地区表!$A$2:$C$255,3,FALSE)</f>
        <v>东北</v>
      </c>
    </row>
    <row r="108" spans="1:11" ht="15.6">
      <c r="A108" s="28" t="s">
        <v>209</v>
      </c>
      <c r="B108" s="29">
        <v>44968.6563375521</v>
      </c>
      <c r="C108" s="29">
        <v>44970.200039559</v>
      </c>
      <c r="D108" s="28" t="s">
        <v>114</v>
      </c>
      <c r="E108" s="28" t="s">
        <v>210</v>
      </c>
      <c r="F108" s="28" t="s">
        <v>121</v>
      </c>
      <c r="G108" s="28">
        <f t="shared" ca="1" si="2"/>
        <v>49</v>
      </c>
      <c r="H108" s="28">
        <v>4</v>
      </c>
      <c r="I108" s="25">
        <f t="shared" ca="1" si="3"/>
        <v>196</v>
      </c>
      <c r="J108" s="25" t="str">
        <f>VLOOKUP(F108,地区表!$D$2:$E$18,2,FALSE)</f>
        <v>技术</v>
      </c>
      <c r="K108" s="38" t="str">
        <f>VLOOKUP(E108,地区表!$A$2:$C$255,3,FALSE)</f>
        <v>东北</v>
      </c>
    </row>
    <row r="109" spans="1:11" ht="15.6">
      <c r="A109" s="28" t="s">
        <v>211</v>
      </c>
      <c r="B109" s="29">
        <v>44245.969085901197</v>
      </c>
      <c r="C109" s="29">
        <v>44246.8750400512</v>
      </c>
      <c r="D109" s="28" t="s">
        <v>94</v>
      </c>
      <c r="E109" s="28" t="s">
        <v>124</v>
      </c>
      <c r="F109" s="28" t="s">
        <v>96</v>
      </c>
      <c r="G109" s="28">
        <f t="shared" ca="1" si="2"/>
        <v>48</v>
      </c>
      <c r="H109" s="28">
        <v>5</v>
      </c>
      <c r="I109" s="25">
        <f t="shared" ca="1" si="3"/>
        <v>240</v>
      </c>
      <c r="J109" s="25" t="str">
        <f>VLOOKUP(F109,地区表!$D$2:$E$18,2,FALSE)</f>
        <v>办公用品</v>
      </c>
      <c r="K109" s="38" t="str">
        <f>VLOOKUP(E109,地区表!$A$2:$C$255,3,FALSE)</f>
        <v>华东</v>
      </c>
    </row>
    <row r="110" spans="1:11" ht="15.6">
      <c r="A110" s="28" t="s">
        <v>211</v>
      </c>
      <c r="B110" s="29">
        <v>44245.897348792598</v>
      </c>
      <c r="C110" s="29">
        <v>44246.7749511453</v>
      </c>
      <c r="D110" s="28" t="s">
        <v>94</v>
      </c>
      <c r="E110" s="28" t="s">
        <v>124</v>
      </c>
      <c r="F110" s="28" t="s">
        <v>118</v>
      </c>
      <c r="G110" s="28">
        <f t="shared" ca="1" si="2"/>
        <v>56</v>
      </c>
      <c r="H110" s="28">
        <v>6</v>
      </c>
      <c r="I110" s="25">
        <f t="shared" ca="1" si="3"/>
        <v>336</v>
      </c>
      <c r="J110" s="25" t="str">
        <f>VLOOKUP(F110,地区表!$D$2:$E$18,2,FALSE)</f>
        <v>技术</v>
      </c>
      <c r="K110" s="38" t="str">
        <f>VLOOKUP(E110,地区表!$A$2:$C$255,3,FALSE)</f>
        <v>华东</v>
      </c>
    </row>
    <row r="111" spans="1:11" ht="15.6">
      <c r="A111" s="28" t="s">
        <v>212</v>
      </c>
      <c r="B111" s="29">
        <v>44576.378124831499</v>
      </c>
      <c r="C111" s="29">
        <v>44579.093791989901</v>
      </c>
      <c r="D111" s="28" t="s">
        <v>98</v>
      </c>
      <c r="E111" s="28" t="s">
        <v>213</v>
      </c>
      <c r="F111" s="28" t="s">
        <v>111</v>
      </c>
      <c r="G111" s="28">
        <f t="shared" ca="1" si="2"/>
        <v>84</v>
      </c>
      <c r="H111" s="28">
        <v>3</v>
      </c>
      <c r="I111" s="25">
        <f t="shared" ca="1" si="3"/>
        <v>252</v>
      </c>
      <c r="J111" s="25" t="str">
        <f>VLOOKUP(F111,地区表!$D$2:$E$18,2,FALSE)</f>
        <v>办公用品</v>
      </c>
      <c r="K111" s="38" t="str">
        <f>VLOOKUP(E111,地区表!$A$2:$C$255,3,FALSE)</f>
        <v>华东</v>
      </c>
    </row>
    <row r="112" spans="1:11" ht="15.6">
      <c r="A112" s="28" t="s">
        <v>214</v>
      </c>
      <c r="B112" s="29">
        <v>45267.4197769487</v>
      </c>
      <c r="C112" s="29">
        <v>45269.036132127701</v>
      </c>
      <c r="D112" s="28" t="s">
        <v>94</v>
      </c>
      <c r="E112" s="28" t="s">
        <v>181</v>
      </c>
      <c r="F112" s="28" t="s">
        <v>101</v>
      </c>
      <c r="G112" s="28">
        <f t="shared" ca="1" si="2"/>
        <v>13</v>
      </c>
      <c r="H112" s="28">
        <v>3</v>
      </c>
      <c r="I112" s="25">
        <f t="shared" ca="1" si="3"/>
        <v>39</v>
      </c>
      <c r="J112" s="25" t="str">
        <f>VLOOKUP(F112,地区表!$D$2:$E$18,2,FALSE)</f>
        <v>办公用品</v>
      </c>
      <c r="K112" s="38" t="str">
        <f>VLOOKUP(E112,地区表!$A$2:$C$255,3,FALSE)</f>
        <v>华北</v>
      </c>
    </row>
    <row r="113" spans="1:11" ht="15.6">
      <c r="A113" s="28" t="s">
        <v>215</v>
      </c>
      <c r="B113" s="29">
        <v>44348.250086155</v>
      </c>
      <c r="C113" s="29">
        <v>44353.4327033726</v>
      </c>
      <c r="D113" s="28" t="s">
        <v>98</v>
      </c>
      <c r="E113" s="28" t="s">
        <v>216</v>
      </c>
      <c r="F113" s="28" t="s">
        <v>106</v>
      </c>
      <c r="G113" s="28">
        <f t="shared" ca="1" si="2"/>
        <v>57</v>
      </c>
      <c r="H113" s="28">
        <v>1</v>
      </c>
      <c r="I113" s="25">
        <f t="shared" ca="1" si="3"/>
        <v>57</v>
      </c>
      <c r="J113" s="25" t="str">
        <f>VLOOKUP(F113,地区表!$D$2:$E$18,2,FALSE)</f>
        <v>办公用品</v>
      </c>
      <c r="K113" s="38" t="str">
        <f>VLOOKUP(E113,地区表!$A$2:$C$255,3,FALSE)</f>
        <v>中南</v>
      </c>
    </row>
    <row r="114" spans="1:11" ht="15.6">
      <c r="A114" s="28" t="s">
        <v>217</v>
      </c>
      <c r="B114" s="29">
        <v>44461.497251430599</v>
      </c>
      <c r="C114" s="29">
        <v>44466.9269381739</v>
      </c>
      <c r="D114" s="28" t="s">
        <v>98</v>
      </c>
      <c r="E114" s="28" t="s">
        <v>218</v>
      </c>
      <c r="F114" s="28" t="s">
        <v>122</v>
      </c>
      <c r="G114" s="28">
        <f t="shared" ca="1" si="2"/>
        <v>64</v>
      </c>
      <c r="H114" s="28">
        <v>3</v>
      </c>
      <c r="I114" s="25">
        <f t="shared" ca="1" si="3"/>
        <v>192</v>
      </c>
      <c r="J114" s="25" t="str">
        <f>VLOOKUP(F114,地区表!$D$2:$E$18,2,FALSE)</f>
        <v>技术</v>
      </c>
      <c r="K114" s="38" t="str">
        <f>VLOOKUP(E114,地区表!$A$2:$C$255,3,FALSE)</f>
        <v>东北</v>
      </c>
    </row>
    <row r="115" spans="1:11" ht="15.6">
      <c r="A115" s="28" t="s">
        <v>219</v>
      </c>
      <c r="B115" s="29">
        <v>45223.338783678897</v>
      </c>
      <c r="C115" s="29">
        <v>45223.721124167103</v>
      </c>
      <c r="D115" s="28" t="s">
        <v>98</v>
      </c>
      <c r="E115" s="28" t="s">
        <v>220</v>
      </c>
      <c r="F115" s="28" t="s">
        <v>121</v>
      </c>
      <c r="G115" s="28">
        <f t="shared" ca="1" si="2"/>
        <v>70</v>
      </c>
      <c r="H115" s="28">
        <v>2</v>
      </c>
      <c r="I115" s="25">
        <f t="shared" ca="1" si="3"/>
        <v>140</v>
      </c>
      <c r="J115" s="25" t="str">
        <f>VLOOKUP(F115,地区表!$D$2:$E$18,2,FALSE)</f>
        <v>技术</v>
      </c>
      <c r="K115" s="38" t="str">
        <f>VLOOKUP(E115,地区表!$A$2:$C$255,3,FALSE)</f>
        <v>华东</v>
      </c>
    </row>
    <row r="116" spans="1:11" ht="15.6">
      <c r="A116" s="28" t="s">
        <v>219</v>
      </c>
      <c r="B116" s="29">
        <v>45223.442714903198</v>
      </c>
      <c r="C116" s="29">
        <v>45223.172129835599</v>
      </c>
      <c r="D116" s="28" t="s">
        <v>98</v>
      </c>
      <c r="E116" s="28" t="s">
        <v>220</v>
      </c>
      <c r="F116" s="28" t="s">
        <v>96</v>
      </c>
      <c r="G116" s="28">
        <f t="shared" ca="1" si="2"/>
        <v>11</v>
      </c>
      <c r="H116" s="28">
        <v>5</v>
      </c>
      <c r="I116" s="25">
        <f t="shared" ca="1" si="3"/>
        <v>55</v>
      </c>
      <c r="J116" s="25" t="str">
        <f>VLOOKUP(F116,地区表!$D$2:$E$18,2,FALSE)</f>
        <v>办公用品</v>
      </c>
      <c r="K116" s="38" t="str">
        <f>VLOOKUP(E116,地区表!$A$2:$C$255,3,FALSE)</f>
        <v>华东</v>
      </c>
    </row>
    <row r="117" spans="1:11" ht="15.6">
      <c r="A117" s="28" t="s">
        <v>221</v>
      </c>
      <c r="B117" s="29">
        <v>44372.161604820198</v>
      </c>
      <c r="C117" s="29">
        <v>44375.949090896698</v>
      </c>
      <c r="D117" s="28" t="s">
        <v>94</v>
      </c>
      <c r="E117" s="28" t="s">
        <v>222</v>
      </c>
      <c r="F117" s="28" t="s">
        <v>141</v>
      </c>
      <c r="G117" s="28">
        <f t="shared" ca="1" si="2"/>
        <v>85</v>
      </c>
      <c r="H117" s="28">
        <v>6</v>
      </c>
      <c r="I117" s="25">
        <f t="shared" ca="1" si="3"/>
        <v>510</v>
      </c>
      <c r="J117" s="25" t="str">
        <f>VLOOKUP(F117,地区表!$D$2:$E$18,2,FALSE)</f>
        <v>办公用品</v>
      </c>
      <c r="K117" s="38" t="str">
        <f>VLOOKUP(E117,地区表!$A$2:$C$255,3,FALSE)</f>
        <v>华东</v>
      </c>
    </row>
    <row r="118" spans="1:11" ht="15.6">
      <c r="A118" s="28" t="s">
        <v>221</v>
      </c>
      <c r="B118" s="29">
        <v>44372.834146884903</v>
      </c>
      <c r="C118" s="29">
        <v>44375.023775096401</v>
      </c>
      <c r="D118" s="28" t="s">
        <v>94</v>
      </c>
      <c r="E118" s="28" t="s">
        <v>222</v>
      </c>
      <c r="F118" s="28" t="s">
        <v>101</v>
      </c>
      <c r="G118" s="28">
        <f t="shared" ca="1" si="2"/>
        <v>70</v>
      </c>
      <c r="H118" s="28">
        <v>3</v>
      </c>
      <c r="I118" s="25">
        <f t="shared" ca="1" si="3"/>
        <v>210</v>
      </c>
      <c r="J118" s="25" t="str">
        <f>VLOOKUP(F118,地区表!$D$2:$E$18,2,FALSE)</f>
        <v>办公用品</v>
      </c>
      <c r="K118" s="38" t="str">
        <f>VLOOKUP(E118,地区表!$A$2:$C$255,3,FALSE)</f>
        <v>华东</v>
      </c>
    </row>
    <row r="119" spans="1:11" ht="15.6">
      <c r="A119" s="28" t="s">
        <v>223</v>
      </c>
      <c r="B119" s="29">
        <v>44966.566913662202</v>
      </c>
      <c r="C119" s="29">
        <v>44966.8126692238</v>
      </c>
      <c r="D119" s="28" t="s">
        <v>98</v>
      </c>
      <c r="E119" s="28" t="s">
        <v>103</v>
      </c>
      <c r="F119" s="28" t="s">
        <v>100</v>
      </c>
      <c r="G119" s="28">
        <f t="shared" ca="1" si="2"/>
        <v>24</v>
      </c>
      <c r="H119" s="28">
        <v>6</v>
      </c>
      <c r="I119" s="25">
        <f t="shared" ca="1" si="3"/>
        <v>144</v>
      </c>
      <c r="J119" s="25" t="str">
        <f>VLOOKUP(F119,地区表!$D$2:$E$18,2,FALSE)</f>
        <v>办公用品</v>
      </c>
      <c r="K119" s="38" t="str">
        <f>VLOOKUP(E119,地区表!$A$2:$C$255,3,FALSE)</f>
        <v>华东</v>
      </c>
    </row>
    <row r="120" spans="1:11" ht="15.6">
      <c r="A120" s="28" t="s">
        <v>223</v>
      </c>
      <c r="B120" s="29">
        <v>44966.010885357297</v>
      </c>
      <c r="C120" s="29">
        <v>44966.966772621498</v>
      </c>
      <c r="D120" s="28" t="s">
        <v>98</v>
      </c>
      <c r="E120" s="28" t="s">
        <v>103</v>
      </c>
      <c r="F120" s="28" t="s">
        <v>109</v>
      </c>
      <c r="G120" s="28">
        <f t="shared" ca="1" si="2"/>
        <v>39</v>
      </c>
      <c r="H120" s="28">
        <v>1</v>
      </c>
      <c r="I120" s="25">
        <f t="shared" ca="1" si="3"/>
        <v>39</v>
      </c>
      <c r="J120" s="25" t="str">
        <f>VLOOKUP(F120,地区表!$D$2:$E$18,2,FALSE)</f>
        <v>技术</v>
      </c>
      <c r="K120" s="38" t="str">
        <f>VLOOKUP(E120,地区表!$A$2:$C$255,3,FALSE)</f>
        <v>华东</v>
      </c>
    </row>
    <row r="121" spans="1:11" ht="15.6">
      <c r="A121" s="28" t="s">
        <v>223</v>
      </c>
      <c r="B121" s="29">
        <v>44966.270953706298</v>
      </c>
      <c r="C121" s="29">
        <v>44966.6589833658</v>
      </c>
      <c r="D121" s="28" t="s">
        <v>98</v>
      </c>
      <c r="E121" s="28" t="s">
        <v>103</v>
      </c>
      <c r="F121" s="28" t="s">
        <v>100</v>
      </c>
      <c r="G121" s="28">
        <f t="shared" ca="1" si="2"/>
        <v>14</v>
      </c>
      <c r="H121" s="28">
        <v>2</v>
      </c>
      <c r="I121" s="25">
        <f t="shared" ca="1" si="3"/>
        <v>28</v>
      </c>
      <c r="J121" s="25" t="str">
        <f>VLOOKUP(F121,地区表!$D$2:$E$18,2,FALSE)</f>
        <v>办公用品</v>
      </c>
      <c r="K121" s="38" t="str">
        <f>VLOOKUP(E121,地区表!$A$2:$C$255,3,FALSE)</f>
        <v>华东</v>
      </c>
    </row>
    <row r="122" spans="1:11" ht="15.6">
      <c r="A122" s="28" t="s">
        <v>223</v>
      </c>
      <c r="B122" s="29">
        <v>44966.532028094603</v>
      </c>
      <c r="C122" s="29">
        <v>44966.148686465604</v>
      </c>
      <c r="D122" s="28" t="s">
        <v>98</v>
      </c>
      <c r="E122" s="28" t="s">
        <v>103</v>
      </c>
      <c r="F122" s="28" t="s">
        <v>121</v>
      </c>
      <c r="G122" s="28">
        <f t="shared" ca="1" si="2"/>
        <v>90</v>
      </c>
      <c r="H122" s="28">
        <v>4</v>
      </c>
      <c r="I122" s="25">
        <f t="shared" ca="1" si="3"/>
        <v>360</v>
      </c>
      <c r="J122" s="25" t="str">
        <f>VLOOKUP(F122,地区表!$D$2:$E$18,2,FALSE)</f>
        <v>技术</v>
      </c>
      <c r="K122" s="38" t="str">
        <f>VLOOKUP(E122,地区表!$A$2:$C$255,3,FALSE)</f>
        <v>华东</v>
      </c>
    </row>
    <row r="123" spans="1:11" ht="15.6">
      <c r="A123" s="28" t="s">
        <v>223</v>
      </c>
      <c r="B123" s="29">
        <v>44966.419637370702</v>
      </c>
      <c r="C123" s="29">
        <v>44966.951764294201</v>
      </c>
      <c r="D123" s="28" t="s">
        <v>98</v>
      </c>
      <c r="E123" s="28" t="s">
        <v>103</v>
      </c>
      <c r="F123" s="28" t="s">
        <v>122</v>
      </c>
      <c r="G123" s="28">
        <f t="shared" ca="1" si="2"/>
        <v>16</v>
      </c>
      <c r="H123" s="28">
        <v>7</v>
      </c>
      <c r="I123" s="25">
        <f t="shared" ca="1" si="3"/>
        <v>112</v>
      </c>
      <c r="J123" s="25" t="str">
        <f>VLOOKUP(F123,地区表!$D$2:$E$18,2,FALSE)</f>
        <v>技术</v>
      </c>
      <c r="K123" s="38" t="str">
        <f>VLOOKUP(E123,地区表!$A$2:$C$255,3,FALSE)</f>
        <v>华东</v>
      </c>
    </row>
    <row r="124" spans="1:11" ht="15.6">
      <c r="A124" s="28" t="s">
        <v>223</v>
      </c>
      <c r="B124" s="29">
        <v>44966.809247862897</v>
      </c>
      <c r="C124" s="29">
        <v>44966.731957045798</v>
      </c>
      <c r="D124" s="28" t="s">
        <v>98</v>
      </c>
      <c r="E124" s="28" t="s">
        <v>103</v>
      </c>
      <c r="F124" s="28" t="s">
        <v>135</v>
      </c>
      <c r="G124" s="28">
        <f t="shared" ca="1" si="2"/>
        <v>12</v>
      </c>
      <c r="H124" s="28">
        <v>3</v>
      </c>
      <c r="I124" s="25">
        <f t="shared" ca="1" si="3"/>
        <v>36</v>
      </c>
      <c r="J124" s="25" t="str">
        <f>VLOOKUP(F124,地区表!$D$2:$E$18,2,FALSE)</f>
        <v>办公用品</v>
      </c>
      <c r="K124" s="38" t="str">
        <f>VLOOKUP(E124,地区表!$A$2:$C$255,3,FALSE)</f>
        <v>华东</v>
      </c>
    </row>
    <row r="125" spans="1:11" ht="15.6">
      <c r="A125" s="28" t="s">
        <v>223</v>
      </c>
      <c r="B125" s="29">
        <v>44966.717472065997</v>
      </c>
      <c r="C125" s="29">
        <v>44966.530352741298</v>
      </c>
      <c r="D125" s="28" t="s">
        <v>98</v>
      </c>
      <c r="E125" s="28" t="s">
        <v>103</v>
      </c>
      <c r="F125" s="28" t="s">
        <v>100</v>
      </c>
      <c r="G125" s="28">
        <f t="shared" ca="1" si="2"/>
        <v>61</v>
      </c>
      <c r="H125" s="28">
        <v>4</v>
      </c>
      <c r="I125" s="25">
        <f t="shared" ca="1" si="3"/>
        <v>244</v>
      </c>
      <c r="J125" s="25" t="str">
        <f>VLOOKUP(F125,地区表!$D$2:$E$18,2,FALSE)</f>
        <v>办公用品</v>
      </c>
      <c r="K125" s="38" t="str">
        <f>VLOOKUP(E125,地区表!$A$2:$C$255,3,FALSE)</f>
        <v>华东</v>
      </c>
    </row>
    <row r="126" spans="1:11" ht="15.6">
      <c r="A126" s="28" t="s">
        <v>223</v>
      </c>
      <c r="B126" s="29">
        <v>44966.994478522902</v>
      </c>
      <c r="C126" s="29">
        <v>44966.488702313902</v>
      </c>
      <c r="D126" s="28" t="s">
        <v>98</v>
      </c>
      <c r="E126" s="28" t="s">
        <v>103</v>
      </c>
      <c r="F126" s="28" t="s">
        <v>96</v>
      </c>
      <c r="G126" s="28">
        <f t="shared" ca="1" si="2"/>
        <v>17</v>
      </c>
      <c r="H126" s="28">
        <v>2</v>
      </c>
      <c r="I126" s="25">
        <f t="shared" ca="1" si="3"/>
        <v>34</v>
      </c>
      <c r="J126" s="25" t="str">
        <f>VLOOKUP(F126,地区表!$D$2:$E$18,2,FALSE)</f>
        <v>办公用品</v>
      </c>
      <c r="K126" s="38" t="str">
        <f>VLOOKUP(E126,地区表!$A$2:$C$255,3,FALSE)</f>
        <v>华东</v>
      </c>
    </row>
    <row r="127" spans="1:11" ht="15.6">
      <c r="A127" s="28" t="s">
        <v>224</v>
      </c>
      <c r="B127" s="29">
        <v>44730.537367033401</v>
      </c>
      <c r="C127" s="29">
        <v>44736.841303782501</v>
      </c>
      <c r="D127" s="28" t="s">
        <v>98</v>
      </c>
      <c r="E127" s="28" t="s">
        <v>95</v>
      </c>
      <c r="F127" s="28" t="s">
        <v>110</v>
      </c>
      <c r="G127" s="28">
        <f t="shared" ca="1" si="2"/>
        <v>89</v>
      </c>
      <c r="H127" s="28">
        <v>2</v>
      </c>
      <c r="I127" s="25">
        <f t="shared" ca="1" si="3"/>
        <v>178</v>
      </c>
      <c r="J127" s="25" t="str">
        <f>VLOOKUP(F127,地区表!$D$2:$E$18,2,FALSE)</f>
        <v>家具</v>
      </c>
      <c r="K127" s="38" t="str">
        <f>VLOOKUP(E127,地区表!$A$2:$C$255,3,FALSE)</f>
        <v>华东</v>
      </c>
    </row>
    <row r="128" spans="1:11" ht="15.6">
      <c r="A128" s="28" t="s">
        <v>225</v>
      </c>
      <c r="B128" s="29">
        <v>44677.314027348002</v>
      </c>
      <c r="C128" s="29">
        <v>44679.168623100602</v>
      </c>
      <c r="D128" s="28" t="s">
        <v>94</v>
      </c>
      <c r="E128" s="28" t="s">
        <v>95</v>
      </c>
      <c r="F128" s="28" t="s">
        <v>121</v>
      </c>
      <c r="G128" s="28">
        <f t="shared" ca="1" si="2"/>
        <v>30</v>
      </c>
      <c r="H128" s="28">
        <v>5</v>
      </c>
      <c r="I128" s="25">
        <f t="shared" ca="1" si="3"/>
        <v>150</v>
      </c>
      <c r="J128" s="25" t="str">
        <f>VLOOKUP(F128,地区表!$D$2:$E$18,2,FALSE)</f>
        <v>技术</v>
      </c>
      <c r="K128" s="38" t="str">
        <f>VLOOKUP(E128,地区表!$A$2:$C$255,3,FALSE)</f>
        <v>华东</v>
      </c>
    </row>
    <row r="129" spans="1:11" ht="15.6">
      <c r="A129" s="28" t="s">
        <v>226</v>
      </c>
      <c r="B129" s="29">
        <v>45108.290660801002</v>
      </c>
      <c r="C129" s="29">
        <v>45113.570874375502</v>
      </c>
      <c r="D129" s="28" t="s">
        <v>94</v>
      </c>
      <c r="E129" s="28" t="s">
        <v>227</v>
      </c>
      <c r="F129" s="28" t="s">
        <v>118</v>
      </c>
      <c r="G129" s="28">
        <f t="shared" ca="1" si="2"/>
        <v>79</v>
      </c>
      <c r="H129" s="28">
        <v>5</v>
      </c>
      <c r="I129" s="25">
        <f t="shared" ca="1" si="3"/>
        <v>395</v>
      </c>
      <c r="J129" s="25" t="str">
        <f>VLOOKUP(F129,地区表!$D$2:$E$18,2,FALSE)</f>
        <v>技术</v>
      </c>
      <c r="K129" s="38" t="str">
        <f>VLOOKUP(E129,地区表!$A$2:$C$255,3,FALSE)</f>
        <v>中南</v>
      </c>
    </row>
    <row r="130" spans="1:11" ht="15.6">
      <c r="A130" s="28" t="s">
        <v>228</v>
      </c>
      <c r="B130" s="29">
        <v>44575.506956683603</v>
      </c>
      <c r="C130" s="29">
        <v>44581.607653979598</v>
      </c>
      <c r="D130" s="28" t="s">
        <v>98</v>
      </c>
      <c r="E130" s="28" t="s">
        <v>160</v>
      </c>
      <c r="F130" s="28" t="s">
        <v>121</v>
      </c>
      <c r="G130" s="28">
        <f t="shared" ref="G130:G193" ca="1" si="4">RANDBETWEEN(10,100)</f>
        <v>75</v>
      </c>
      <c r="H130" s="28">
        <v>6</v>
      </c>
      <c r="I130" s="25">
        <f t="shared" ref="I130:I193" ca="1" si="5">G130*H130</f>
        <v>450</v>
      </c>
      <c r="J130" s="25" t="str">
        <f>VLOOKUP(F130,地区表!$D$2:$E$18,2,FALSE)</f>
        <v>技术</v>
      </c>
      <c r="K130" s="38" t="str">
        <f>VLOOKUP(E130,地区表!$A$2:$C$255,3,FALSE)</f>
        <v>东北</v>
      </c>
    </row>
    <row r="131" spans="1:11" ht="15.6">
      <c r="A131" s="28" t="s">
        <v>228</v>
      </c>
      <c r="B131" s="29">
        <v>44575.7587391501</v>
      </c>
      <c r="C131" s="29">
        <v>44581.069617371802</v>
      </c>
      <c r="D131" s="28" t="s">
        <v>98</v>
      </c>
      <c r="E131" s="28" t="s">
        <v>160</v>
      </c>
      <c r="F131" s="28" t="s">
        <v>101</v>
      </c>
      <c r="G131" s="28">
        <f t="shared" ca="1" si="4"/>
        <v>11</v>
      </c>
      <c r="H131" s="28">
        <v>11</v>
      </c>
      <c r="I131" s="25">
        <f t="shared" ca="1" si="5"/>
        <v>121</v>
      </c>
      <c r="J131" s="25" t="str">
        <f>VLOOKUP(F131,地区表!$D$2:$E$18,2,FALSE)</f>
        <v>办公用品</v>
      </c>
      <c r="K131" s="38" t="str">
        <f>VLOOKUP(E131,地区表!$A$2:$C$255,3,FALSE)</f>
        <v>东北</v>
      </c>
    </row>
    <row r="132" spans="1:11" ht="15.6">
      <c r="A132" s="28" t="s">
        <v>229</v>
      </c>
      <c r="B132" s="29">
        <v>44883.473154338099</v>
      </c>
      <c r="C132" s="29">
        <v>44883.723614443501</v>
      </c>
      <c r="D132" s="28" t="s">
        <v>114</v>
      </c>
      <c r="E132" s="28" t="s">
        <v>230</v>
      </c>
      <c r="F132" s="28" t="s">
        <v>125</v>
      </c>
      <c r="G132" s="28">
        <f t="shared" ca="1" si="4"/>
        <v>90</v>
      </c>
      <c r="H132" s="28">
        <v>9</v>
      </c>
      <c r="I132" s="25">
        <f t="shared" ca="1" si="5"/>
        <v>810</v>
      </c>
      <c r="J132" s="25" t="str">
        <f>VLOOKUP(F132,地区表!$D$2:$E$18,2,FALSE)</f>
        <v>办公用品</v>
      </c>
      <c r="K132" s="38" t="str">
        <f>VLOOKUP(E132,地区表!$A$2:$C$255,3,FALSE)</f>
        <v>中南</v>
      </c>
    </row>
    <row r="133" spans="1:11" ht="15.6">
      <c r="A133" s="28" t="s">
        <v>231</v>
      </c>
      <c r="B133" s="29">
        <v>44271.467921510601</v>
      </c>
      <c r="C133" s="29">
        <v>44276.506863620598</v>
      </c>
      <c r="D133" s="28" t="s">
        <v>98</v>
      </c>
      <c r="E133" s="28" t="s">
        <v>183</v>
      </c>
      <c r="F133" s="28" t="s">
        <v>125</v>
      </c>
      <c r="G133" s="28">
        <f t="shared" ca="1" si="4"/>
        <v>15</v>
      </c>
      <c r="H133" s="28">
        <v>4</v>
      </c>
      <c r="I133" s="25">
        <f t="shared" ca="1" si="5"/>
        <v>60</v>
      </c>
      <c r="J133" s="25" t="str">
        <f>VLOOKUP(F133,地区表!$D$2:$E$18,2,FALSE)</f>
        <v>办公用品</v>
      </c>
      <c r="K133" s="38" t="str">
        <f>VLOOKUP(E133,地区表!$A$2:$C$255,3,FALSE)</f>
        <v>西南</v>
      </c>
    </row>
    <row r="134" spans="1:11" ht="15.6">
      <c r="A134" s="28" t="s">
        <v>231</v>
      </c>
      <c r="B134" s="29">
        <v>44271.230018435897</v>
      </c>
      <c r="C134" s="29">
        <v>44276.409440601798</v>
      </c>
      <c r="D134" s="28" t="s">
        <v>98</v>
      </c>
      <c r="E134" s="28" t="s">
        <v>183</v>
      </c>
      <c r="F134" s="28" t="s">
        <v>101</v>
      </c>
      <c r="G134" s="28">
        <f t="shared" ca="1" si="4"/>
        <v>32</v>
      </c>
      <c r="H134" s="28">
        <v>4</v>
      </c>
      <c r="I134" s="25">
        <f t="shared" ca="1" si="5"/>
        <v>128</v>
      </c>
      <c r="J134" s="25" t="str">
        <f>VLOOKUP(F134,地区表!$D$2:$E$18,2,FALSE)</f>
        <v>办公用品</v>
      </c>
      <c r="K134" s="38" t="str">
        <f>VLOOKUP(E134,地区表!$A$2:$C$255,3,FALSE)</f>
        <v>西南</v>
      </c>
    </row>
    <row r="135" spans="1:11" ht="15.6">
      <c r="A135" s="28" t="s">
        <v>232</v>
      </c>
      <c r="B135" s="29">
        <v>44337.827570788198</v>
      </c>
      <c r="C135" s="29">
        <v>44342.874205697997</v>
      </c>
      <c r="D135" s="28" t="s">
        <v>98</v>
      </c>
      <c r="E135" s="28" t="s">
        <v>233</v>
      </c>
      <c r="F135" s="28" t="s">
        <v>101</v>
      </c>
      <c r="G135" s="28">
        <f t="shared" ca="1" si="4"/>
        <v>14</v>
      </c>
      <c r="H135" s="28">
        <v>4</v>
      </c>
      <c r="I135" s="25">
        <f t="shared" ca="1" si="5"/>
        <v>56</v>
      </c>
      <c r="J135" s="25" t="str">
        <f>VLOOKUP(F135,地区表!$D$2:$E$18,2,FALSE)</f>
        <v>办公用品</v>
      </c>
      <c r="K135" s="38" t="str">
        <f>VLOOKUP(E135,地区表!$A$2:$C$255,3,FALSE)</f>
        <v>西北</v>
      </c>
    </row>
    <row r="136" spans="1:11" ht="15.6">
      <c r="A136" s="28" t="s">
        <v>234</v>
      </c>
      <c r="B136" s="29">
        <v>44963.907533986297</v>
      </c>
      <c r="C136" s="29">
        <v>44969.638079053198</v>
      </c>
      <c r="D136" s="28" t="s">
        <v>98</v>
      </c>
      <c r="E136" s="28" t="s">
        <v>235</v>
      </c>
      <c r="F136" s="28" t="s">
        <v>110</v>
      </c>
      <c r="G136" s="28">
        <f t="shared" ca="1" si="4"/>
        <v>45</v>
      </c>
      <c r="H136" s="28">
        <v>5</v>
      </c>
      <c r="I136" s="25">
        <f t="shared" ca="1" si="5"/>
        <v>225</v>
      </c>
      <c r="J136" s="25" t="str">
        <f>VLOOKUP(F136,地区表!$D$2:$E$18,2,FALSE)</f>
        <v>家具</v>
      </c>
      <c r="K136" s="38" t="str">
        <f>VLOOKUP(E136,地区表!$A$2:$C$255,3,FALSE)</f>
        <v>华东</v>
      </c>
    </row>
    <row r="137" spans="1:11" ht="15.6">
      <c r="A137" s="28" t="s">
        <v>234</v>
      </c>
      <c r="B137" s="29">
        <v>44963.124412825498</v>
      </c>
      <c r="C137" s="29">
        <v>44969.3353167983</v>
      </c>
      <c r="D137" s="28" t="s">
        <v>98</v>
      </c>
      <c r="E137" s="28" t="s">
        <v>235</v>
      </c>
      <c r="F137" s="28" t="s">
        <v>131</v>
      </c>
      <c r="G137" s="28">
        <f t="shared" ca="1" si="4"/>
        <v>44</v>
      </c>
      <c r="H137" s="28">
        <v>3</v>
      </c>
      <c r="I137" s="25">
        <f t="shared" ca="1" si="5"/>
        <v>132</v>
      </c>
      <c r="J137" s="25" t="str">
        <f>VLOOKUP(F137,地区表!$D$2:$E$18,2,FALSE)</f>
        <v>家具</v>
      </c>
      <c r="K137" s="38" t="str">
        <f>VLOOKUP(E137,地区表!$A$2:$C$255,3,FALSE)</f>
        <v>华东</v>
      </c>
    </row>
    <row r="138" spans="1:11" ht="15.6">
      <c r="A138" s="28" t="s">
        <v>234</v>
      </c>
      <c r="B138" s="29">
        <v>44963.112231364903</v>
      </c>
      <c r="C138" s="29">
        <v>44969.206886966502</v>
      </c>
      <c r="D138" s="28" t="s">
        <v>98</v>
      </c>
      <c r="E138" s="28" t="s">
        <v>235</v>
      </c>
      <c r="F138" s="28" t="s">
        <v>125</v>
      </c>
      <c r="G138" s="28">
        <f t="shared" ca="1" si="4"/>
        <v>82</v>
      </c>
      <c r="H138" s="28">
        <v>2</v>
      </c>
      <c r="I138" s="25">
        <f t="shared" ca="1" si="5"/>
        <v>164</v>
      </c>
      <c r="J138" s="25" t="str">
        <f>VLOOKUP(F138,地区表!$D$2:$E$18,2,FALSE)</f>
        <v>办公用品</v>
      </c>
      <c r="K138" s="38" t="str">
        <f>VLOOKUP(E138,地区表!$A$2:$C$255,3,FALSE)</f>
        <v>华东</v>
      </c>
    </row>
    <row r="139" spans="1:11" ht="15.6">
      <c r="A139" s="28" t="s">
        <v>236</v>
      </c>
      <c r="B139" s="29">
        <v>44731.255734590799</v>
      </c>
      <c r="C139" s="29">
        <v>44737.812943434903</v>
      </c>
      <c r="D139" s="28" t="s">
        <v>114</v>
      </c>
      <c r="E139" s="28" t="s">
        <v>237</v>
      </c>
      <c r="F139" s="28" t="s">
        <v>112</v>
      </c>
      <c r="G139" s="28">
        <f t="shared" ca="1" si="4"/>
        <v>21</v>
      </c>
      <c r="H139" s="28">
        <v>2</v>
      </c>
      <c r="I139" s="25">
        <f t="shared" ca="1" si="5"/>
        <v>42</v>
      </c>
      <c r="J139" s="25" t="str">
        <f>VLOOKUP(F139,地区表!$D$2:$E$18,2,FALSE)</f>
        <v>办公用品</v>
      </c>
      <c r="K139" s="38" t="str">
        <f>VLOOKUP(E139,地区表!$A$2:$C$255,3,FALSE)</f>
        <v>华东</v>
      </c>
    </row>
    <row r="140" spans="1:11" ht="15.6">
      <c r="A140" s="28" t="s">
        <v>238</v>
      </c>
      <c r="B140" s="29">
        <v>44420.7838731023</v>
      </c>
      <c r="C140" s="29">
        <v>44421.206782396803</v>
      </c>
      <c r="D140" s="28" t="s">
        <v>94</v>
      </c>
      <c r="E140" s="28" t="s">
        <v>239</v>
      </c>
      <c r="F140" s="28" t="s">
        <v>130</v>
      </c>
      <c r="G140" s="28">
        <f t="shared" ca="1" si="4"/>
        <v>33</v>
      </c>
      <c r="H140" s="28">
        <v>2</v>
      </c>
      <c r="I140" s="25">
        <f t="shared" ca="1" si="5"/>
        <v>66</v>
      </c>
      <c r="J140" s="25" t="str">
        <f>VLOOKUP(F140,地区表!$D$2:$E$18,2,FALSE)</f>
        <v>家具</v>
      </c>
      <c r="K140" s="38" t="str">
        <f>VLOOKUP(E140,地区表!$A$2:$C$255,3,FALSE)</f>
        <v>中南</v>
      </c>
    </row>
    <row r="141" spans="1:11" ht="15.6">
      <c r="A141" s="28" t="s">
        <v>238</v>
      </c>
      <c r="B141" s="29">
        <v>44420.765824850998</v>
      </c>
      <c r="C141" s="29">
        <v>44421.267122816898</v>
      </c>
      <c r="D141" s="28" t="s">
        <v>94</v>
      </c>
      <c r="E141" s="28" t="s">
        <v>239</v>
      </c>
      <c r="F141" s="28" t="s">
        <v>106</v>
      </c>
      <c r="G141" s="28">
        <f t="shared" ca="1" si="4"/>
        <v>63</v>
      </c>
      <c r="H141" s="28">
        <v>3</v>
      </c>
      <c r="I141" s="25">
        <f t="shared" ca="1" si="5"/>
        <v>189</v>
      </c>
      <c r="J141" s="25" t="str">
        <f>VLOOKUP(F141,地区表!$D$2:$E$18,2,FALSE)</f>
        <v>办公用品</v>
      </c>
      <c r="K141" s="38" t="str">
        <f>VLOOKUP(E141,地区表!$A$2:$C$255,3,FALSE)</f>
        <v>中南</v>
      </c>
    </row>
    <row r="142" spans="1:11" ht="15.6">
      <c r="A142" s="28" t="s">
        <v>240</v>
      </c>
      <c r="B142" s="29">
        <v>45156.666320219301</v>
      </c>
      <c r="C142" s="29">
        <v>45160.732960682399</v>
      </c>
      <c r="D142" s="28" t="s">
        <v>94</v>
      </c>
      <c r="E142" s="28" t="s">
        <v>241</v>
      </c>
      <c r="F142" s="28" t="s">
        <v>100</v>
      </c>
      <c r="G142" s="28">
        <f t="shared" ca="1" si="4"/>
        <v>79</v>
      </c>
      <c r="H142" s="28">
        <v>8</v>
      </c>
      <c r="I142" s="25">
        <f t="shared" ca="1" si="5"/>
        <v>632</v>
      </c>
      <c r="J142" s="25" t="str">
        <f>VLOOKUP(F142,地区表!$D$2:$E$18,2,FALSE)</f>
        <v>办公用品</v>
      </c>
      <c r="K142" s="38" t="str">
        <f>VLOOKUP(E142,地区表!$A$2:$C$255,3,FALSE)</f>
        <v>西南</v>
      </c>
    </row>
    <row r="143" spans="1:11" ht="15.6">
      <c r="A143" s="28" t="s">
        <v>242</v>
      </c>
      <c r="B143" s="29">
        <v>44659.780884658401</v>
      </c>
      <c r="C143" s="29">
        <v>44659.715618370901</v>
      </c>
      <c r="D143" s="28" t="s">
        <v>98</v>
      </c>
      <c r="E143" s="28" t="s">
        <v>243</v>
      </c>
      <c r="F143" s="28" t="s">
        <v>110</v>
      </c>
      <c r="G143" s="28">
        <f t="shared" ca="1" si="4"/>
        <v>52</v>
      </c>
      <c r="H143" s="28">
        <v>2</v>
      </c>
      <c r="I143" s="25">
        <f t="shared" ca="1" si="5"/>
        <v>104</v>
      </c>
      <c r="J143" s="25" t="str">
        <f>VLOOKUP(F143,地区表!$D$2:$E$18,2,FALSE)</f>
        <v>家具</v>
      </c>
      <c r="K143" s="38" t="str">
        <f>VLOOKUP(E143,地区表!$A$2:$C$255,3,FALSE)</f>
        <v>东北</v>
      </c>
    </row>
    <row r="144" spans="1:11" ht="15.6">
      <c r="A144" s="28" t="s">
        <v>242</v>
      </c>
      <c r="B144" s="29">
        <v>44659.930945082902</v>
      </c>
      <c r="C144" s="29">
        <v>44659.661642604297</v>
      </c>
      <c r="D144" s="28" t="s">
        <v>98</v>
      </c>
      <c r="E144" s="28" t="s">
        <v>243</v>
      </c>
      <c r="F144" s="28" t="s">
        <v>135</v>
      </c>
      <c r="G144" s="28">
        <f t="shared" ca="1" si="4"/>
        <v>54</v>
      </c>
      <c r="H144" s="28">
        <v>3</v>
      </c>
      <c r="I144" s="25">
        <f t="shared" ca="1" si="5"/>
        <v>162</v>
      </c>
      <c r="J144" s="25" t="str">
        <f>VLOOKUP(F144,地区表!$D$2:$E$18,2,FALSE)</f>
        <v>办公用品</v>
      </c>
      <c r="K144" s="38" t="str">
        <f>VLOOKUP(E144,地区表!$A$2:$C$255,3,FALSE)</f>
        <v>东北</v>
      </c>
    </row>
    <row r="145" spans="1:11" ht="15.6">
      <c r="A145" s="28" t="s">
        <v>242</v>
      </c>
      <c r="B145" s="29">
        <v>44659.293965624398</v>
      </c>
      <c r="C145" s="29">
        <v>44659.297948741303</v>
      </c>
      <c r="D145" s="28" t="s">
        <v>98</v>
      </c>
      <c r="E145" s="28" t="s">
        <v>243</v>
      </c>
      <c r="F145" s="28" t="s">
        <v>111</v>
      </c>
      <c r="G145" s="28">
        <f t="shared" ca="1" si="4"/>
        <v>92</v>
      </c>
      <c r="H145" s="28">
        <v>3</v>
      </c>
      <c r="I145" s="25">
        <f t="shared" ca="1" si="5"/>
        <v>276</v>
      </c>
      <c r="J145" s="25" t="str">
        <f>VLOOKUP(F145,地区表!$D$2:$E$18,2,FALSE)</f>
        <v>办公用品</v>
      </c>
      <c r="K145" s="38" t="str">
        <f>VLOOKUP(E145,地区表!$A$2:$C$255,3,FALSE)</f>
        <v>东北</v>
      </c>
    </row>
    <row r="146" spans="1:11" ht="15.6">
      <c r="A146" s="28" t="s">
        <v>244</v>
      </c>
      <c r="B146" s="29">
        <v>44526.119969277002</v>
      </c>
      <c r="C146" s="29">
        <v>44533.47904916</v>
      </c>
      <c r="D146" s="28" t="s">
        <v>98</v>
      </c>
      <c r="E146" s="28" t="s">
        <v>245</v>
      </c>
      <c r="F146" s="28" t="s">
        <v>125</v>
      </c>
      <c r="G146" s="28">
        <f t="shared" ca="1" si="4"/>
        <v>10</v>
      </c>
      <c r="H146" s="28">
        <v>3</v>
      </c>
      <c r="I146" s="25">
        <f t="shared" ca="1" si="5"/>
        <v>30</v>
      </c>
      <c r="J146" s="25" t="str">
        <f>VLOOKUP(F146,地区表!$D$2:$E$18,2,FALSE)</f>
        <v>办公用品</v>
      </c>
      <c r="K146" s="38" t="str">
        <f>VLOOKUP(E146,地区表!$A$2:$C$255,3,FALSE)</f>
        <v>华东</v>
      </c>
    </row>
    <row r="147" spans="1:11" ht="15.6">
      <c r="A147" s="28" t="s">
        <v>246</v>
      </c>
      <c r="B147" s="29">
        <v>44263.599899802597</v>
      </c>
      <c r="C147" s="29">
        <v>44266.707074805199</v>
      </c>
      <c r="D147" s="28" t="s">
        <v>98</v>
      </c>
      <c r="E147" s="28" t="s">
        <v>150</v>
      </c>
      <c r="F147" s="28" t="s">
        <v>118</v>
      </c>
      <c r="G147" s="28">
        <f t="shared" ca="1" si="4"/>
        <v>38</v>
      </c>
      <c r="H147" s="28">
        <v>1</v>
      </c>
      <c r="I147" s="25">
        <f t="shared" ca="1" si="5"/>
        <v>38</v>
      </c>
      <c r="J147" s="25" t="str">
        <f>VLOOKUP(F147,地区表!$D$2:$E$18,2,FALSE)</f>
        <v>技术</v>
      </c>
      <c r="K147" s="38" t="str">
        <f>VLOOKUP(E147,地区表!$A$2:$C$255,3,FALSE)</f>
        <v>东北</v>
      </c>
    </row>
    <row r="148" spans="1:11" ht="15.6">
      <c r="A148" s="28" t="s">
        <v>247</v>
      </c>
      <c r="B148" s="29">
        <v>44250.9753651266</v>
      </c>
      <c r="C148" s="29">
        <v>44256.886247938499</v>
      </c>
      <c r="D148" s="28" t="s">
        <v>98</v>
      </c>
      <c r="E148" s="28" t="s">
        <v>248</v>
      </c>
      <c r="F148" s="28" t="s">
        <v>96</v>
      </c>
      <c r="G148" s="28">
        <f t="shared" ca="1" si="4"/>
        <v>95</v>
      </c>
      <c r="H148" s="28">
        <v>2</v>
      </c>
      <c r="I148" s="25">
        <f t="shared" ca="1" si="5"/>
        <v>190</v>
      </c>
      <c r="J148" s="25" t="str">
        <f>VLOOKUP(F148,地区表!$D$2:$E$18,2,FALSE)</f>
        <v>办公用品</v>
      </c>
      <c r="K148" s="38" t="str">
        <f>VLOOKUP(E148,地区表!$A$2:$C$255,3,FALSE)</f>
        <v>西南</v>
      </c>
    </row>
    <row r="149" spans="1:11" ht="15.6">
      <c r="A149" s="28" t="s">
        <v>247</v>
      </c>
      <c r="B149" s="29">
        <v>44250.270168475603</v>
      </c>
      <c r="C149" s="29">
        <v>44256.512297370602</v>
      </c>
      <c r="D149" s="28" t="s">
        <v>98</v>
      </c>
      <c r="E149" s="28" t="s">
        <v>248</v>
      </c>
      <c r="F149" s="28" t="s">
        <v>131</v>
      </c>
      <c r="G149" s="28">
        <f t="shared" ca="1" si="4"/>
        <v>20</v>
      </c>
      <c r="H149" s="28">
        <v>5</v>
      </c>
      <c r="I149" s="25">
        <f t="shared" ca="1" si="5"/>
        <v>100</v>
      </c>
      <c r="J149" s="25" t="str">
        <f>VLOOKUP(F149,地区表!$D$2:$E$18,2,FALSE)</f>
        <v>家具</v>
      </c>
      <c r="K149" s="38" t="str">
        <f>VLOOKUP(E149,地区表!$A$2:$C$255,3,FALSE)</f>
        <v>西南</v>
      </c>
    </row>
    <row r="150" spans="1:11" ht="15.6">
      <c r="A150" s="28" t="s">
        <v>247</v>
      </c>
      <c r="B150" s="29">
        <v>44250.205049938202</v>
      </c>
      <c r="C150" s="29">
        <v>44256.811038911903</v>
      </c>
      <c r="D150" s="28" t="s">
        <v>98</v>
      </c>
      <c r="E150" s="28" t="s">
        <v>248</v>
      </c>
      <c r="F150" s="28" t="s">
        <v>100</v>
      </c>
      <c r="G150" s="28">
        <f t="shared" ca="1" si="4"/>
        <v>81</v>
      </c>
      <c r="H150" s="28">
        <v>1</v>
      </c>
      <c r="I150" s="25">
        <f t="shared" ca="1" si="5"/>
        <v>81</v>
      </c>
      <c r="J150" s="25" t="str">
        <f>VLOOKUP(F150,地区表!$D$2:$E$18,2,FALSE)</f>
        <v>办公用品</v>
      </c>
      <c r="K150" s="38" t="str">
        <f>VLOOKUP(E150,地区表!$A$2:$C$255,3,FALSE)</f>
        <v>西南</v>
      </c>
    </row>
    <row r="151" spans="1:11" ht="15.6">
      <c r="A151" s="28" t="s">
        <v>249</v>
      </c>
      <c r="B151" s="29">
        <v>44973.294191736401</v>
      </c>
      <c r="C151" s="29">
        <v>44978.821013576002</v>
      </c>
      <c r="D151" s="28" t="s">
        <v>94</v>
      </c>
      <c r="E151" s="28" t="s">
        <v>150</v>
      </c>
      <c r="F151" s="28" t="s">
        <v>106</v>
      </c>
      <c r="G151" s="28">
        <f t="shared" ca="1" si="4"/>
        <v>60</v>
      </c>
      <c r="H151" s="28">
        <v>11</v>
      </c>
      <c r="I151" s="25">
        <f t="shared" ca="1" si="5"/>
        <v>660</v>
      </c>
      <c r="J151" s="25" t="str">
        <f>VLOOKUP(F151,地区表!$D$2:$E$18,2,FALSE)</f>
        <v>办公用品</v>
      </c>
      <c r="K151" s="38" t="str">
        <f>VLOOKUP(E151,地区表!$A$2:$C$255,3,FALSE)</f>
        <v>东北</v>
      </c>
    </row>
    <row r="152" spans="1:11" ht="15.6">
      <c r="A152" s="28" t="s">
        <v>250</v>
      </c>
      <c r="B152" s="29">
        <v>44216.5972253285</v>
      </c>
      <c r="C152" s="29">
        <v>44218.433340594202</v>
      </c>
      <c r="D152" s="28" t="s">
        <v>98</v>
      </c>
      <c r="E152" s="28" t="s">
        <v>251</v>
      </c>
      <c r="F152" s="28" t="s">
        <v>100</v>
      </c>
      <c r="G152" s="28">
        <f t="shared" ca="1" si="4"/>
        <v>74</v>
      </c>
      <c r="H152" s="28">
        <v>2</v>
      </c>
      <c r="I152" s="25">
        <f t="shared" ca="1" si="5"/>
        <v>148</v>
      </c>
      <c r="J152" s="25" t="str">
        <f>VLOOKUP(F152,地区表!$D$2:$E$18,2,FALSE)</f>
        <v>办公用品</v>
      </c>
      <c r="K152" s="38" t="str">
        <f>VLOOKUP(E152,地区表!$A$2:$C$255,3,FALSE)</f>
        <v>中南</v>
      </c>
    </row>
    <row r="153" spans="1:11" ht="15.6">
      <c r="A153" s="28" t="s">
        <v>250</v>
      </c>
      <c r="B153" s="29">
        <v>44216.083852177602</v>
      </c>
      <c r="C153" s="29">
        <v>44218.578249623497</v>
      </c>
      <c r="D153" s="28" t="s">
        <v>98</v>
      </c>
      <c r="E153" s="28" t="s">
        <v>251</v>
      </c>
      <c r="F153" s="28" t="s">
        <v>110</v>
      </c>
      <c r="G153" s="28">
        <f t="shared" ca="1" si="4"/>
        <v>14</v>
      </c>
      <c r="H153" s="28">
        <v>1</v>
      </c>
      <c r="I153" s="25">
        <f t="shared" ca="1" si="5"/>
        <v>14</v>
      </c>
      <c r="J153" s="25" t="str">
        <f>VLOOKUP(F153,地区表!$D$2:$E$18,2,FALSE)</f>
        <v>家具</v>
      </c>
      <c r="K153" s="38" t="str">
        <f>VLOOKUP(E153,地区表!$A$2:$C$255,3,FALSE)</f>
        <v>中南</v>
      </c>
    </row>
    <row r="154" spans="1:11" ht="15.6">
      <c r="A154" s="28" t="s">
        <v>252</v>
      </c>
      <c r="B154" s="29">
        <v>45024.8977671924</v>
      </c>
      <c r="C154" s="29">
        <v>45029.157732315201</v>
      </c>
      <c r="D154" s="28" t="s">
        <v>94</v>
      </c>
      <c r="E154" s="28" t="s">
        <v>253</v>
      </c>
      <c r="F154" s="28" t="s">
        <v>141</v>
      </c>
      <c r="G154" s="28">
        <f t="shared" ca="1" si="4"/>
        <v>57</v>
      </c>
      <c r="H154" s="28">
        <v>4</v>
      </c>
      <c r="I154" s="25">
        <f t="shared" ca="1" si="5"/>
        <v>228</v>
      </c>
      <c r="J154" s="25" t="str">
        <f>VLOOKUP(F154,地区表!$D$2:$E$18,2,FALSE)</f>
        <v>办公用品</v>
      </c>
      <c r="K154" s="38" t="str">
        <f>VLOOKUP(E154,地区表!$A$2:$C$255,3,FALSE)</f>
        <v>东北</v>
      </c>
    </row>
    <row r="155" spans="1:11" ht="15.6">
      <c r="A155" s="28" t="s">
        <v>254</v>
      </c>
      <c r="B155" s="29">
        <v>44447.146207205697</v>
      </c>
      <c r="C155" s="29">
        <v>44452.768201241197</v>
      </c>
      <c r="D155" s="28" t="s">
        <v>94</v>
      </c>
      <c r="E155" s="28" t="s">
        <v>207</v>
      </c>
      <c r="F155" s="28" t="s">
        <v>96</v>
      </c>
      <c r="G155" s="28">
        <f t="shared" ca="1" si="4"/>
        <v>21</v>
      </c>
      <c r="H155" s="28">
        <v>3</v>
      </c>
      <c r="I155" s="25">
        <f t="shared" ca="1" si="5"/>
        <v>63</v>
      </c>
      <c r="J155" s="25" t="str">
        <f>VLOOKUP(F155,地区表!$D$2:$E$18,2,FALSE)</f>
        <v>办公用品</v>
      </c>
      <c r="K155" s="38" t="str">
        <f>VLOOKUP(E155,地区表!$A$2:$C$255,3,FALSE)</f>
        <v>华北</v>
      </c>
    </row>
    <row r="156" spans="1:11" ht="15.6">
      <c r="A156" s="28" t="s">
        <v>255</v>
      </c>
      <c r="B156" s="29">
        <v>45172.227717491201</v>
      </c>
      <c r="C156" s="29">
        <v>45177.493141722203</v>
      </c>
      <c r="D156" s="28" t="s">
        <v>98</v>
      </c>
      <c r="E156" s="28" t="s">
        <v>256</v>
      </c>
      <c r="F156" s="28" t="s">
        <v>122</v>
      </c>
      <c r="G156" s="28">
        <f t="shared" ca="1" si="4"/>
        <v>53</v>
      </c>
      <c r="H156" s="28">
        <v>6</v>
      </c>
      <c r="I156" s="25">
        <f t="shared" ca="1" si="5"/>
        <v>318</v>
      </c>
      <c r="J156" s="25" t="str">
        <f>VLOOKUP(F156,地区表!$D$2:$E$18,2,FALSE)</f>
        <v>技术</v>
      </c>
      <c r="K156" s="38" t="str">
        <f>VLOOKUP(E156,地区表!$A$2:$C$255,3,FALSE)</f>
        <v>华东</v>
      </c>
    </row>
    <row r="157" spans="1:11" ht="15.6">
      <c r="A157" s="28" t="s">
        <v>257</v>
      </c>
      <c r="B157" s="29">
        <v>44623.246796004903</v>
      </c>
      <c r="C157" s="29">
        <v>44628.620693349301</v>
      </c>
      <c r="D157" s="28" t="s">
        <v>98</v>
      </c>
      <c r="E157" s="28" t="s">
        <v>258</v>
      </c>
      <c r="F157" s="28" t="s">
        <v>131</v>
      </c>
      <c r="G157" s="28">
        <f t="shared" ca="1" si="4"/>
        <v>34</v>
      </c>
      <c r="H157" s="28">
        <v>3</v>
      </c>
      <c r="I157" s="25">
        <f t="shared" ca="1" si="5"/>
        <v>102</v>
      </c>
      <c r="J157" s="25" t="str">
        <f>VLOOKUP(F157,地区表!$D$2:$E$18,2,FALSE)</f>
        <v>家具</v>
      </c>
      <c r="K157" s="38" t="str">
        <f>VLOOKUP(E157,地区表!$A$2:$C$255,3,FALSE)</f>
        <v>东北</v>
      </c>
    </row>
    <row r="158" spans="1:11" ht="15.6">
      <c r="A158" s="28" t="s">
        <v>257</v>
      </c>
      <c r="B158" s="29">
        <v>44623.483526606498</v>
      </c>
      <c r="C158" s="29">
        <v>44628.930901419</v>
      </c>
      <c r="D158" s="28" t="s">
        <v>98</v>
      </c>
      <c r="E158" s="28" t="s">
        <v>258</v>
      </c>
      <c r="F158" s="28" t="s">
        <v>112</v>
      </c>
      <c r="G158" s="28">
        <f t="shared" ca="1" si="4"/>
        <v>16</v>
      </c>
      <c r="H158" s="28">
        <v>2</v>
      </c>
      <c r="I158" s="25">
        <f t="shared" ca="1" si="5"/>
        <v>32</v>
      </c>
      <c r="J158" s="25" t="str">
        <f>VLOOKUP(F158,地区表!$D$2:$E$18,2,FALSE)</f>
        <v>办公用品</v>
      </c>
      <c r="K158" s="38" t="str">
        <f>VLOOKUP(E158,地区表!$A$2:$C$255,3,FALSE)</f>
        <v>东北</v>
      </c>
    </row>
    <row r="159" spans="1:11" ht="15.6">
      <c r="A159" s="28" t="s">
        <v>259</v>
      </c>
      <c r="B159" s="29">
        <v>44455.847380809602</v>
      </c>
      <c r="C159" s="29">
        <v>44461.333915625102</v>
      </c>
      <c r="D159" s="28" t="s">
        <v>98</v>
      </c>
      <c r="E159" s="28" t="s">
        <v>260</v>
      </c>
      <c r="F159" s="28" t="s">
        <v>122</v>
      </c>
      <c r="G159" s="28">
        <f t="shared" ca="1" si="4"/>
        <v>22</v>
      </c>
      <c r="H159" s="28">
        <v>5</v>
      </c>
      <c r="I159" s="25">
        <f t="shared" ca="1" si="5"/>
        <v>110</v>
      </c>
      <c r="J159" s="25" t="str">
        <f>VLOOKUP(F159,地区表!$D$2:$E$18,2,FALSE)</f>
        <v>技术</v>
      </c>
      <c r="K159" s="38" t="str">
        <f>VLOOKUP(E159,地区表!$A$2:$C$255,3,FALSE)</f>
        <v>西南</v>
      </c>
    </row>
    <row r="160" spans="1:11" ht="15.6">
      <c r="A160" s="28" t="s">
        <v>259</v>
      </c>
      <c r="B160" s="29">
        <v>44455.129203152799</v>
      </c>
      <c r="C160" s="29">
        <v>44461.6666414274</v>
      </c>
      <c r="D160" s="28" t="s">
        <v>98</v>
      </c>
      <c r="E160" s="28" t="s">
        <v>260</v>
      </c>
      <c r="F160" s="28" t="s">
        <v>135</v>
      </c>
      <c r="G160" s="28">
        <f t="shared" ca="1" si="4"/>
        <v>89</v>
      </c>
      <c r="H160" s="28">
        <v>5</v>
      </c>
      <c r="I160" s="25">
        <f t="shared" ca="1" si="5"/>
        <v>445</v>
      </c>
      <c r="J160" s="25" t="str">
        <f>VLOOKUP(F160,地区表!$D$2:$E$18,2,FALSE)</f>
        <v>办公用品</v>
      </c>
      <c r="K160" s="38" t="str">
        <f>VLOOKUP(E160,地区表!$A$2:$C$255,3,FALSE)</f>
        <v>西南</v>
      </c>
    </row>
    <row r="161" spans="1:11" ht="15.6">
      <c r="A161" s="28" t="s">
        <v>259</v>
      </c>
      <c r="B161" s="29">
        <v>44455.497470292401</v>
      </c>
      <c r="C161" s="29">
        <v>44461.826286983101</v>
      </c>
      <c r="D161" s="28" t="s">
        <v>98</v>
      </c>
      <c r="E161" s="28" t="s">
        <v>260</v>
      </c>
      <c r="F161" s="28" t="s">
        <v>121</v>
      </c>
      <c r="G161" s="28">
        <f t="shared" ca="1" si="4"/>
        <v>35</v>
      </c>
      <c r="H161" s="28">
        <v>2</v>
      </c>
      <c r="I161" s="25">
        <f t="shared" ca="1" si="5"/>
        <v>70</v>
      </c>
      <c r="J161" s="25" t="str">
        <f>VLOOKUP(F161,地区表!$D$2:$E$18,2,FALSE)</f>
        <v>技术</v>
      </c>
      <c r="K161" s="38" t="str">
        <f>VLOOKUP(E161,地区表!$A$2:$C$255,3,FALSE)</f>
        <v>西南</v>
      </c>
    </row>
    <row r="162" spans="1:11" ht="15.6">
      <c r="A162" s="28" t="s">
        <v>261</v>
      </c>
      <c r="B162" s="29">
        <v>44825.268520061603</v>
      </c>
      <c r="C162" s="29">
        <v>44829.621386752398</v>
      </c>
      <c r="D162" s="28" t="s">
        <v>114</v>
      </c>
      <c r="E162" s="28" t="s">
        <v>262</v>
      </c>
      <c r="F162" s="28" t="s">
        <v>118</v>
      </c>
      <c r="G162" s="28">
        <f t="shared" ca="1" si="4"/>
        <v>54</v>
      </c>
      <c r="H162" s="28">
        <v>2</v>
      </c>
      <c r="I162" s="25">
        <f t="shared" ca="1" si="5"/>
        <v>108</v>
      </c>
      <c r="J162" s="25" t="str">
        <f>VLOOKUP(F162,地区表!$D$2:$E$18,2,FALSE)</f>
        <v>技术</v>
      </c>
      <c r="K162" s="38" t="str">
        <f>VLOOKUP(E162,地区表!$A$2:$C$255,3,FALSE)</f>
        <v>华东</v>
      </c>
    </row>
    <row r="163" spans="1:11" ht="15.6">
      <c r="A163" s="28" t="s">
        <v>263</v>
      </c>
      <c r="B163" s="29">
        <v>44452.788520697701</v>
      </c>
      <c r="C163" s="29">
        <v>44452.1032353177</v>
      </c>
      <c r="D163" s="28" t="s">
        <v>98</v>
      </c>
      <c r="E163" s="28" t="s">
        <v>264</v>
      </c>
      <c r="F163" s="28" t="s">
        <v>112</v>
      </c>
      <c r="G163" s="28">
        <f t="shared" ca="1" si="4"/>
        <v>22</v>
      </c>
      <c r="H163" s="28">
        <v>1</v>
      </c>
      <c r="I163" s="25">
        <f t="shared" ca="1" si="5"/>
        <v>22</v>
      </c>
      <c r="J163" s="25" t="str">
        <f>VLOOKUP(F163,地区表!$D$2:$E$18,2,FALSE)</f>
        <v>办公用品</v>
      </c>
      <c r="K163" s="38" t="str">
        <f>VLOOKUP(E163,地区表!$A$2:$C$255,3,FALSE)</f>
        <v>东北</v>
      </c>
    </row>
    <row r="164" spans="1:11" ht="15.6">
      <c r="A164" s="28" t="s">
        <v>263</v>
      </c>
      <c r="B164" s="29">
        <v>44452.807672380797</v>
      </c>
      <c r="C164" s="29">
        <v>44452.431917705297</v>
      </c>
      <c r="D164" s="28" t="s">
        <v>98</v>
      </c>
      <c r="E164" s="28" t="s">
        <v>264</v>
      </c>
      <c r="F164" s="28" t="s">
        <v>111</v>
      </c>
      <c r="G164" s="28">
        <f t="shared" ca="1" si="4"/>
        <v>72</v>
      </c>
      <c r="H164" s="28">
        <v>5</v>
      </c>
      <c r="I164" s="25">
        <f t="shared" ca="1" si="5"/>
        <v>360</v>
      </c>
      <c r="J164" s="25" t="str">
        <f>VLOOKUP(F164,地区表!$D$2:$E$18,2,FALSE)</f>
        <v>办公用品</v>
      </c>
      <c r="K164" s="38" t="str">
        <f>VLOOKUP(E164,地区表!$A$2:$C$255,3,FALSE)</f>
        <v>东北</v>
      </c>
    </row>
    <row r="165" spans="1:11" ht="15.6">
      <c r="A165" s="28" t="s">
        <v>263</v>
      </c>
      <c r="B165" s="29">
        <v>44452.445991938701</v>
      </c>
      <c r="C165" s="29">
        <v>44452.183763848203</v>
      </c>
      <c r="D165" s="28" t="s">
        <v>98</v>
      </c>
      <c r="E165" s="28" t="s">
        <v>264</v>
      </c>
      <c r="F165" s="28" t="s">
        <v>106</v>
      </c>
      <c r="G165" s="28">
        <f t="shared" ca="1" si="4"/>
        <v>64</v>
      </c>
      <c r="H165" s="28">
        <v>2</v>
      </c>
      <c r="I165" s="25">
        <f t="shared" ca="1" si="5"/>
        <v>128</v>
      </c>
      <c r="J165" s="25" t="str">
        <f>VLOOKUP(F165,地区表!$D$2:$E$18,2,FALSE)</f>
        <v>办公用品</v>
      </c>
      <c r="K165" s="38" t="str">
        <f>VLOOKUP(E165,地区表!$A$2:$C$255,3,FALSE)</f>
        <v>东北</v>
      </c>
    </row>
    <row r="166" spans="1:11" ht="15.6">
      <c r="A166" s="28" t="s">
        <v>263</v>
      </c>
      <c r="B166" s="29">
        <v>44452.139867576298</v>
      </c>
      <c r="C166" s="29">
        <v>44452.165113227398</v>
      </c>
      <c r="D166" s="28" t="s">
        <v>98</v>
      </c>
      <c r="E166" s="28" t="s">
        <v>264</v>
      </c>
      <c r="F166" s="28" t="s">
        <v>135</v>
      </c>
      <c r="G166" s="28">
        <f t="shared" ca="1" si="4"/>
        <v>84</v>
      </c>
      <c r="H166" s="28">
        <v>5</v>
      </c>
      <c r="I166" s="25">
        <f t="shared" ca="1" si="5"/>
        <v>420</v>
      </c>
      <c r="J166" s="25" t="str">
        <f>VLOOKUP(F166,地区表!$D$2:$E$18,2,FALSE)</f>
        <v>办公用品</v>
      </c>
      <c r="K166" s="38" t="str">
        <f>VLOOKUP(E166,地区表!$A$2:$C$255,3,FALSE)</f>
        <v>东北</v>
      </c>
    </row>
    <row r="167" spans="1:11" ht="15.6">
      <c r="A167" s="28" t="s">
        <v>263</v>
      </c>
      <c r="B167" s="29">
        <v>44452.6676378704</v>
      </c>
      <c r="C167" s="29">
        <v>44452.455720166399</v>
      </c>
      <c r="D167" s="28" t="s">
        <v>98</v>
      </c>
      <c r="E167" s="28" t="s">
        <v>264</v>
      </c>
      <c r="F167" s="28" t="s">
        <v>106</v>
      </c>
      <c r="G167" s="28">
        <f t="shared" ca="1" si="4"/>
        <v>28</v>
      </c>
      <c r="H167" s="28">
        <v>5</v>
      </c>
      <c r="I167" s="25">
        <f t="shared" ca="1" si="5"/>
        <v>140</v>
      </c>
      <c r="J167" s="25" t="str">
        <f>VLOOKUP(F167,地区表!$D$2:$E$18,2,FALSE)</f>
        <v>办公用品</v>
      </c>
      <c r="K167" s="38" t="str">
        <f>VLOOKUP(E167,地区表!$A$2:$C$255,3,FALSE)</f>
        <v>东北</v>
      </c>
    </row>
    <row r="168" spans="1:11" ht="15.6">
      <c r="A168" s="28" t="s">
        <v>263</v>
      </c>
      <c r="B168" s="29">
        <v>44452.198705791699</v>
      </c>
      <c r="C168" s="29">
        <v>44452.0512744609</v>
      </c>
      <c r="D168" s="28" t="s">
        <v>98</v>
      </c>
      <c r="E168" s="28" t="s">
        <v>264</v>
      </c>
      <c r="F168" s="28" t="s">
        <v>109</v>
      </c>
      <c r="G168" s="28">
        <f t="shared" ca="1" si="4"/>
        <v>48</v>
      </c>
      <c r="H168" s="28">
        <v>3</v>
      </c>
      <c r="I168" s="25">
        <f t="shared" ca="1" si="5"/>
        <v>144</v>
      </c>
      <c r="J168" s="25" t="str">
        <f>VLOOKUP(F168,地区表!$D$2:$E$18,2,FALSE)</f>
        <v>技术</v>
      </c>
      <c r="K168" s="38" t="str">
        <f>VLOOKUP(E168,地区表!$A$2:$C$255,3,FALSE)</f>
        <v>东北</v>
      </c>
    </row>
    <row r="169" spans="1:11" ht="15.6">
      <c r="A169" s="28" t="s">
        <v>263</v>
      </c>
      <c r="B169" s="29">
        <v>44452.540180803597</v>
      </c>
      <c r="C169" s="29">
        <v>44452.353692905301</v>
      </c>
      <c r="D169" s="28" t="s">
        <v>98</v>
      </c>
      <c r="E169" s="28" t="s">
        <v>264</v>
      </c>
      <c r="F169" s="28" t="s">
        <v>122</v>
      </c>
      <c r="G169" s="28">
        <f t="shared" ca="1" si="4"/>
        <v>51</v>
      </c>
      <c r="H169" s="28">
        <v>2</v>
      </c>
      <c r="I169" s="25">
        <f t="shared" ca="1" si="5"/>
        <v>102</v>
      </c>
      <c r="J169" s="25" t="str">
        <f>VLOOKUP(F169,地区表!$D$2:$E$18,2,FALSE)</f>
        <v>技术</v>
      </c>
      <c r="K169" s="38" t="str">
        <f>VLOOKUP(E169,地区表!$A$2:$C$255,3,FALSE)</f>
        <v>东北</v>
      </c>
    </row>
    <row r="170" spans="1:11" ht="15.6">
      <c r="A170" s="28" t="s">
        <v>263</v>
      </c>
      <c r="B170" s="29">
        <v>44452.811238555201</v>
      </c>
      <c r="C170" s="29">
        <v>44452.496288930197</v>
      </c>
      <c r="D170" s="28" t="s">
        <v>98</v>
      </c>
      <c r="E170" s="28" t="s">
        <v>264</v>
      </c>
      <c r="F170" s="28" t="s">
        <v>131</v>
      </c>
      <c r="G170" s="28">
        <f t="shared" ca="1" si="4"/>
        <v>44</v>
      </c>
      <c r="H170" s="28">
        <v>4</v>
      </c>
      <c r="I170" s="25">
        <f t="shared" ca="1" si="5"/>
        <v>176</v>
      </c>
      <c r="J170" s="25" t="str">
        <f>VLOOKUP(F170,地区表!$D$2:$E$18,2,FALSE)</f>
        <v>家具</v>
      </c>
      <c r="K170" s="38" t="str">
        <f>VLOOKUP(E170,地区表!$A$2:$C$255,3,FALSE)</f>
        <v>东北</v>
      </c>
    </row>
    <row r="171" spans="1:11" ht="15.6">
      <c r="A171" s="28" t="s">
        <v>263</v>
      </c>
      <c r="B171" s="29">
        <v>44452.739085909801</v>
      </c>
      <c r="C171" s="29">
        <v>44452.125284472197</v>
      </c>
      <c r="D171" s="28" t="s">
        <v>98</v>
      </c>
      <c r="E171" s="28" t="s">
        <v>264</v>
      </c>
      <c r="F171" s="28" t="s">
        <v>110</v>
      </c>
      <c r="G171" s="28">
        <f t="shared" ca="1" si="4"/>
        <v>97</v>
      </c>
      <c r="H171" s="28">
        <v>3</v>
      </c>
      <c r="I171" s="25">
        <f t="shared" ca="1" si="5"/>
        <v>291</v>
      </c>
      <c r="J171" s="25" t="str">
        <f>VLOOKUP(F171,地区表!$D$2:$E$18,2,FALSE)</f>
        <v>家具</v>
      </c>
      <c r="K171" s="38" t="str">
        <f>VLOOKUP(E171,地区表!$A$2:$C$255,3,FALSE)</f>
        <v>东北</v>
      </c>
    </row>
    <row r="172" spans="1:11" ht="15.6">
      <c r="A172" s="28" t="s">
        <v>263</v>
      </c>
      <c r="B172" s="29">
        <v>44452.170541165098</v>
      </c>
      <c r="C172" s="29">
        <v>44452.498773007101</v>
      </c>
      <c r="D172" s="28" t="s">
        <v>98</v>
      </c>
      <c r="E172" s="28" t="s">
        <v>264</v>
      </c>
      <c r="F172" s="28" t="s">
        <v>101</v>
      </c>
      <c r="G172" s="28">
        <f t="shared" ca="1" si="4"/>
        <v>65</v>
      </c>
      <c r="H172" s="28">
        <v>2</v>
      </c>
      <c r="I172" s="25">
        <f t="shared" ca="1" si="5"/>
        <v>130</v>
      </c>
      <c r="J172" s="25" t="str">
        <f>VLOOKUP(F172,地区表!$D$2:$E$18,2,FALSE)</f>
        <v>办公用品</v>
      </c>
      <c r="K172" s="38" t="str">
        <f>VLOOKUP(E172,地区表!$A$2:$C$255,3,FALSE)</f>
        <v>东北</v>
      </c>
    </row>
    <row r="173" spans="1:11" ht="15.6">
      <c r="A173" s="28" t="s">
        <v>265</v>
      </c>
      <c r="B173" s="29">
        <v>44258.207529379302</v>
      </c>
      <c r="C173" s="29">
        <v>44263.532265933602</v>
      </c>
      <c r="D173" s="28" t="s">
        <v>94</v>
      </c>
      <c r="E173" s="28" t="s">
        <v>266</v>
      </c>
      <c r="F173" s="28" t="s">
        <v>141</v>
      </c>
      <c r="G173" s="28">
        <f t="shared" ca="1" si="4"/>
        <v>77</v>
      </c>
      <c r="H173" s="28">
        <v>3</v>
      </c>
      <c r="I173" s="25">
        <f t="shared" ca="1" si="5"/>
        <v>231</v>
      </c>
      <c r="J173" s="25" t="str">
        <f>VLOOKUP(F173,地区表!$D$2:$E$18,2,FALSE)</f>
        <v>办公用品</v>
      </c>
      <c r="K173" s="38" t="str">
        <f>VLOOKUP(E173,地区表!$A$2:$C$255,3,FALSE)</f>
        <v>东北</v>
      </c>
    </row>
    <row r="174" spans="1:11" ht="15.6">
      <c r="A174" s="28" t="s">
        <v>267</v>
      </c>
      <c r="B174" s="29">
        <v>44766.753411231599</v>
      </c>
      <c r="C174" s="29">
        <v>44769.864409840498</v>
      </c>
      <c r="D174" s="28" t="s">
        <v>94</v>
      </c>
      <c r="E174" s="28" t="s">
        <v>164</v>
      </c>
      <c r="F174" s="28" t="s">
        <v>118</v>
      </c>
      <c r="G174" s="28">
        <f t="shared" ca="1" si="4"/>
        <v>67</v>
      </c>
      <c r="H174" s="28">
        <v>3</v>
      </c>
      <c r="I174" s="25">
        <f t="shared" ca="1" si="5"/>
        <v>201</v>
      </c>
      <c r="J174" s="25" t="str">
        <f>VLOOKUP(F174,地区表!$D$2:$E$18,2,FALSE)</f>
        <v>技术</v>
      </c>
      <c r="K174" s="38" t="str">
        <f>VLOOKUP(E174,地区表!$A$2:$C$255,3,FALSE)</f>
        <v>西北</v>
      </c>
    </row>
    <row r="175" spans="1:11" ht="15.6">
      <c r="A175" s="28" t="s">
        <v>268</v>
      </c>
      <c r="B175" s="29">
        <v>44362.555344815599</v>
      </c>
      <c r="C175" s="29">
        <v>44367.362306669798</v>
      </c>
      <c r="D175" s="28" t="s">
        <v>94</v>
      </c>
      <c r="E175" s="28" t="s">
        <v>269</v>
      </c>
      <c r="F175" s="28" t="s">
        <v>125</v>
      </c>
      <c r="G175" s="28">
        <f t="shared" ca="1" si="4"/>
        <v>29</v>
      </c>
      <c r="H175" s="28">
        <v>1</v>
      </c>
      <c r="I175" s="25">
        <f t="shared" ca="1" si="5"/>
        <v>29</v>
      </c>
      <c r="J175" s="25" t="str">
        <f>VLOOKUP(F175,地区表!$D$2:$E$18,2,FALSE)</f>
        <v>办公用品</v>
      </c>
      <c r="K175" s="38" t="str">
        <f>VLOOKUP(E175,地区表!$A$2:$C$255,3,FALSE)</f>
        <v>西南</v>
      </c>
    </row>
    <row r="176" spans="1:11" ht="15.6">
      <c r="A176" s="28" t="s">
        <v>268</v>
      </c>
      <c r="B176" s="29">
        <v>44362.687140225898</v>
      </c>
      <c r="C176" s="29">
        <v>44367.665462695601</v>
      </c>
      <c r="D176" s="28" t="s">
        <v>94</v>
      </c>
      <c r="E176" s="28" t="s">
        <v>269</v>
      </c>
      <c r="F176" s="28" t="s">
        <v>100</v>
      </c>
      <c r="G176" s="28">
        <f t="shared" ca="1" si="4"/>
        <v>44</v>
      </c>
      <c r="H176" s="28">
        <v>3</v>
      </c>
      <c r="I176" s="25">
        <f t="shared" ca="1" si="5"/>
        <v>132</v>
      </c>
      <c r="J176" s="25" t="str">
        <f>VLOOKUP(F176,地区表!$D$2:$E$18,2,FALSE)</f>
        <v>办公用品</v>
      </c>
      <c r="K176" s="38" t="str">
        <f>VLOOKUP(E176,地区表!$A$2:$C$255,3,FALSE)</f>
        <v>西南</v>
      </c>
    </row>
    <row r="177" spans="1:11" ht="15.6">
      <c r="A177" s="28" t="s">
        <v>268</v>
      </c>
      <c r="B177" s="29">
        <v>44362.823699604698</v>
      </c>
      <c r="C177" s="29">
        <v>44367.538933248201</v>
      </c>
      <c r="D177" s="28" t="s">
        <v>94</v>
      </c>
      <c r="E177" s="28" t="s">
        <v>269</v>
      </c>
      <c r="F177" s="28" t="s">
        <v>101</v>
      </c>
      <c r="G177" s="28">
        <f t="shared" ca="1" si="4"/>
        <v>18</v>
      </c>
      <c r="H177" s="28">
        <v>8</v>
      </c>
      <c r="I177" s="25">
        <f t="shared" ca="1" si="5"/>
        <v>144</v>
      </c>
      <c r="J177" s="25" t="str">
        <f>VLOOKUP(F177,地区表!$D$2:$E$18,2,FALSE)</f>
        <v>办公用品</v>
      </c>
      <c r="K177" s="38" t="str">
        <f>VLOOKUP(E177,地区表!$A$2:$C$255,3,FALSE)</f>
        <v>西南</v>
      </c>
    </row>
    <row r="178" spans="1:11" ht="15.6">
      <c r="A178" s="28" t="s">
        <v>270</v>
      </c>
      <c r="B178" s="29">
        <v>45108.298697270402</v>
      </c>
      <c r="C178" s="29">
        <v>45112.614333318197</v>
      </c>
      <c r="D178" s="28" t="s">
        <v>94</v>
      </c>
      <c r="E178" s="28" t="s">
        <v>271</v>
      </c>
      <c r="F178" s="28" t="s">
        <v>144</v>
      </c>
      <c r="G178" s="28">
        <f t="shared" ca="1" si="4"/>
        <v>67</v>
      </c>
      <c r="H178" s="28">
        <v>5</v>
      </c>
      <c r="I178" s="25">
        <f t="shared" ca="1" si="5"/>
        <v>335</v>
      </c>
      <c r="J178" s="25" t="str">
        <f>VLOOKUP(F178,地区表!$D$2:$E$18,2,FALSE)</f>
        <v>家具</v>
      </c>
      <c r="K178" s="38" t="str">
        <f>VLOOKUP(E178,地区表!$A$2:$C$255,3,FALSE)</f>
        <v>华北</v>
      </c>
    </row>
    <row r="179" spans="1:11" ht="15.6">
      <c r="A179" s="28" t="s">
        <v>272</v>
      </c>
      <c r="B179" s="29">
        <v>44449.1070118922</v>
      </c>
      <c r="C179" s="29">
        <v>44452.457230943</v>
      </c>
      <c r="D179" s="28" t="s">
        <v>94</v>
      </c>
      <c r="E179" s="28" t="s">
        <v>273</v>
      </c>
      <c r="F179" s="28" t="s">
        <v>121</v>
      </c>
      <c r="G179" s="28">
        <f t="shared" ca="1" si="4"/>
        <v>64</v>
      </c>
      <c r="H179" s="28">
        <v>3</v>
      </c>
      <c r="I179" s="25">
        <f t="shared" ca="1" si="5"/>
        <v>192</v>
      </c>
      <c r="J179" s="25" t="str">
        <f>VLOOKUP(F179,地区表!$D$2:$E$18,2,FALSE)</f>
        <v>技术</v>
      </c>
      <c r="K179" s="38" t="str">
        <f>VLOOKUP(E179,地区表!$A$2:$C$255,3,FALSE)</f>
        <v>中南</v>
      </c>
    </row>
    <row r="180" spans="1:11" ht="15.6">
      <c r="A180" s="28" t="s">
        <v>272</v>
      </c>
      <c r="B180" s="29">
        <v>44449.402926711802</v>
      </c>
      <c r="C180" s="29">
        <v>44452.078507393897</v>
      </c>
      <c r="D180" s="28" t="s">
        <v>94</v>
      </c>
      <c r="E180" s="28" t="s">
        <v>273</v>
      </c>
      <c r="F180" s="28" t="s">
        <v>144</v>
      </c>
      <c r="G180" s="28">
        <f t="shared" ca="1" si="4"/>
        <v>99</v>
      </c>
      <c r="H180" s="28">
        <v>4</v>
      </c>
      <c r="I180" s="25">
        <f t="shared" ca="1" si="5"/>
        <v>396</v>
      </c>
      <c r="J180" s="25" t="str">
        <f>VLOOKUP(F180,地区表!$D$2:$E$18,2,FALSE)</f>
        <v>家具</v>
      </c>
      <c r="K180" s="38" t="str">
        <f>VLOOKUP(E180,地区表!$A$2:$C$255,3,FALSE)</f>
        <v>中南</v>
      </c>
    </row>
    <row r="181" spans="1:11" ht="15.6">
      <c r="A181" s="28" t="s">
        <v>274</v>
      </c>
      <c r="B181" s="29">
        <v>45280.628823310602</v>
      </c>
      <c r="C181" s="29">
        <v>45284.008250202802</v>
      </c>
      <c r="D181" s="28" t="s">
        <v>98</v>
      </c>
      <c r="E181" s="28" t="s">
        <v>95</v>
      </c>
      <c r="F181" s="28" t="s">
        <v>135</v>
      </c>
      <c r="G181" s="28">
        <f t="shared" ca="1" si="4"/>
        <v>78</v>
      </c>
      <c r="H181" s="28">
        <v>5</v>
      </c>
      <c r="I181" s="25">
        <f t="shared" ca="1" si="5"/>
        <v>390</v>
      </c>
      <c r="J181" s="25" t="str">
        <f>VLOOKUP(F181,地区表!$D$2:$E$18,2,FALSE)</f>
        <v>办公用品</v>
      </c>
      <c r="K181" s="38" t="str">
        <f>VLOOKUP(E181,地区表!$A$2:$C$255,3,FALSE)</f>
        <v>华东</v>
      </c>
    </row>
    <row r="182" spans="1:11" ht="15.6">
      <c r="A182" s="28" t="s">
        <v>275</v>
      </c>
      <c r="B182" s="29">
        <v>45192.864110965304</v>
      </c>
      <c r="C182" s="29">
        <v>45196.416639177303</v>
      </c>
      <c r="D182" s="28" t="s">
        <v>114</v>
      </c>
      <c r="E182" s="28" t="s">
        <v>152</v>
      </c>
      <c r="F182" s="28" t="s">
        <v>109</v>
      </c>
      <c r="G182" s="28">
        <f t="shared" ca="1" si="4"/>
        <v>95</v>
      </c>
      <c r="H182" s="28">
        <v>2</v>
      </c>
      <c r="I182" s="25">
        <f t="shared" ca="1" si="5"/>
        <v>190</v>
      </c>
      <c r="J182" s="25" t="str">
        <f>VLOOKUP(F182,地区表!$D$2:$E$18,2,FALSE)</f>
        <v>技术</v>
      </c>
      <c r="K182" s="38" t="str">
        <f>VLOOKUP(E182,地区表!$A$2:$C$255,3,FALSE)</f>
        <v>华东</v>
      </c>
    </row>
    <row r="183" spans="1:11" ht="15.6">
      <c r="A183" s="28" t="s">
        <v>276</v>
      </c>
      <c r="B183" s="29">
        <v>44575.096356021997</v>
      </c>
      <c r="C183" s="29">
        <v>44580.630735816303</v>
      </c>
      <c r="D183" s="28" t="s">
        <v>94</v>
      </c>
      <c r="E183" s="28" t="s">
        <v>277</v>
      </c>
      <c r="F183" s="28" t="s">
        <v>106</v>
      </c>
      <c r="G183" s="28">
        <f t="shared" ca="1" si="4"/>
        <v>75</v>
      </c>
      <c r="H183" s="28">
        <v>5</v>
      </c>
      <c r="I183" s="25">
        <f t="shared" ca="1" si="5"/>
        <v>375</v>
      </c>
      <c r="J183" s="25" t="str">
        <f>VLOOKUP(F183,地区表!$D$2:$E$18,2,FALSE)</f>
        <v>办公用品</v>
      </c>
      <c r="K183" s="38" t="str">
        <f>VLOOKUP(E183,地区表!$A$2:$C$255,3,FALSE)</f>
        <v>东北</v>
      </c>
    </row>
    <row r="184" spans="1:11" ht="15.6">
      <c r="A184" s="28" t="s">
        <v>276</v>
      </c>
      <c r="B184" s="29">
        <v>44575.817163763197</v>
      </c>
      <c r="C184" s="29">
        <v>44580.539215600897</v>
      </c>
      <c r="D184" s="28" t="s">
        <v>94</v>
      </c>
      <c r="E184" s="28" t="s">
        <v>277</v>
      </c>
      <c r="F184" s="28" t="s">
        <v>122</v>
      </c>
      <c r="G184" s="28">
        <f t="shared" ca="1" si="4"/>
        <v>72</v>
      </c>
      <c r="H184" s="28">
        <v>3</v>
      </c>
      <c r="I184" s="25">
        <f t="shared" ca="1" si="5"/>
        <v>216</v>
      </c>
      <c r="J184" s="25" t="str">
        <f>VLOOKUP(F184,地区表!$D$2:$E$18,2,FALSE)</f>
        <v>技术</v>
      </c>
      <c r="K184" s="38" t="str">
        <f>VLOOKUP(E184,地区表!$A$2:$C$255,3,FALSE)</f>
        <v>东北</v>
      </c>
    </row>
    <row r="185" spans="1:11" ht="15.6">
      <c r="A185" s="28" t="s">
        <v>278</v>
      </c>
      <c r="B185" s="29">
        <v>44491.034441585398</v>
      </c>
      <c r="C185" s="29">
        <v>44495.606130998101</v>
      </c>
      <c r="D185" s="28" t="s">
        <v>98</v>
      </c>
      <c r="E185" s="28" t="s">
        <v>279</v>
      </c>
      <c r="F185" s="28" t="s">
        <v>112</v>
      </c>
      <c r="G185" s="28">
        <f t="shared" ca="1" si="4"/>
        <v>27</v>
      </c>
      <c r="H185" s="28">
        <v>3</v>
      </c>
      <c r="I185" s="25">
        <f t="shared" ca="1" si="5"/>
        <v>81</v>
      </c>
      <c r="J185" s="25" t="str">
        <f>VLOOKUP(F185,地区表!$D$2:$E$18,2,FALSE)</f>
        <v>办公用品</v>
      </c>
      <c r="K185" s="38" t="str">
        <f>VLOOKUP(E185,地区表!$A$2:$C$255,3,FALSE)</f>
        <v>中南</v>
      </c>
    </row>
    <row r="186" spans="1:11" ht="15.6">
      <c r="A186" s="28" t="s">
        <v>280</v>
      </c>
      <c r="B186" s="29">
        <v>44576.868628036602</v>
      </c>
      <c r="C186" s="29">
        <v>44577.935647797101</v>
      </c>
      <c r="D186" s="28" t="s">
        <v>98</v>
      </c>
      <c r="E186" s="28" t="s">
        <v>146</v>
      </c>
      <c r="F186" s="28" t="s">
        <v>100</v>
      </c>
      <c r="G186" s="28">
        <f t="shared" ca="1" si="4"/>
        <v>97</v>
      </c>
      <c r="H186" s="28">
        <v>2</v>
      </c>
      <c r="I186" s="25">
        <f t="shared" ca="1" si="5"/>
        <v>194</v>
      </c>
      <c r="J186" s="25" t="str">
        <f>VLOOKUP(F186,地区表!$D$2:$E$18,2,FALSE)</f>
        <v>办公用品</v>
      </c>
      <c r="K186" s="38" t="str">
        <f>VLOOKUP(E186,地区表!$A$2:$C$255,3,FALSE)</f>
        <v>西北</v>
      </c>
    </row>
    <row r="187" spans="1:11" ht="15.6">
      <c r="A187" s="28" t="s">
        <v>280</v>
      </c>
      <c r="B187" s="29">
        <v>44576.631112696203</v>
      </c>
      <c r="C187" s="29">
        <v>44577.069289546002</v>
      </c>
      <c r="D187" s="28" t="s">
        <v>98</v>
      </c>
      <c r="E187" s="28" t="s">
        <v>146</v>
      </c>
      <c r="F187" s="28" t="s">
        <v>112</v>
      </c>
      <c r="G187" s="28">
        <f t="shared" ca="1" si="4"/>
        <v>18</v>
      </c>
      <c r="H187" s="28">
        <v>10</v>
      </c>
      <c r="I187" s="25">
        <f t="shared" ca="1" si="5"/>
        <v>180</v>
      </c>
      <c r="J187" s="25" t="str">
        <f>VLOOKUP(F187,地区表!$D$2:$E$18,2,FALSE)</f>
        <v>办公用品</v>
      </c>
      <c r="K187" s="38" t="str">
        <f>VLOOKUP(E187,地区表!$A$2:$C$255,3,FALSE)</f>
        <v>西北</v>
      </c>
    </row>
    <row r="188" spans="1:11" ht="15.6">
      <c r="A188" s="28" t="s">
        <v>280</v>
      </c>
      <c r="B188" s="29">
        <v>44576.081903027101</v>
      </c>
      <c r="C188" s="29">
        <v>44577.214097488701</v>
      </c>
      <c r="D188" s="28" t="s">
        <v>98</v>
      </c>
      <c r="E188" s="28" t="s">
        <v>146</v>
      </c>
      <c r="F188" s="28" t="s">
        <v>101</v>
      </c>
      <c r="G188" s="28">
        <f t="shared" ca="1" si="4"/>
        <v>71</v>
      </c>
      <c r="H188" s="28">
        <v>3</v>
      </c>
      <c r="I188" s="25">
        <f t="shared" ca="1" si="5"/>
        <v>213</v>
      </c>
      <c r="J188" s="25" t="str">
        <f>VLOOKUP(F188,地区表!$D$2:$E$18,2,FALSE)</f>
        <v>办公用品</v>
      </c>
      <c r="K188" s="38" t="str">
        <f>VLOOKUP(E188,地区表!$A$2:$C$255,3,FALSE)</f>
        <v>西北</v>
      </c>
    </row>
    <row r="189" spans="1:11" ht="15.6">
      <c r="A189" s="28" t="s">
        <v>281</v>
      </c>
      <c r="B189" s="29">
        <v>44630.376762947999</v>
      </c>
      <c r="C189" s="29">
        <v>44635.961572875298</v>
      </c>
      <c r="D189" s="28" t="s">
        <v>98</v>
      </c>
      <c r="E189" s="28" t="s">
        <v>282</v>
      </c>
      <c r="F189" s="28" t="s">
        <v>118</v>
      </c>
      <c r="G189" s="28">
        <f t="shared" ca="1" si="4"/>
        <v>100</v>
      </c>
      <c r="H189" s="28">
        <v>6</v>
      </c>
      <c r="I189" s="25">
        <f t="shared" ca="1" si="5"/>
        <v>600</v>
      </c>
      <c r="J189" s="25" t="str">
        <f>VLOOKUP(F189,地区表!$D$2:$E$18,2,FALSE)</f>
        <v>技术</v>
      </c>
      <c r="K189" s="38" t="str">
        <f>VLOOKUP(E189,地区表!$A$2:$C$255,3,FALSE)</f>
        <v>中南</v>
      </c>
    </row>
    <row r="190" spans="1:11" ht="15.6">
      <c r="A190" s="28" t="s">
        <v>281</v>
      </c>
      <c r="B190" s="29">
        <v>44630.8878014031</v>
      </c>
      <c r="C190" s="29">
        <v>44635.905423554403</v>
      </c>
      <c r="D190" s="28" t="s">
        <v>98</v>
      </c>
      <c r="E190" s="28" t="s">
        <v>282</v>
      </c>
      <c r="F190" s="28" t="s">
        <v>122</v>
      </c>
      <c r="G190" s="28">
        <f t="shared" ca="1" si="4"/>
        <v>80</v>
      </c>
      <c r="H190" s="28">
        <v>4</v>
      </c>
      <c r="I190" s="25">
        <f t="shared" ca="1" si="5"/>
        <v>320</v>
      </c>
      <c r="J190" s="25" t="str">
        <f>VLOOKUP(F190,地区表!$D$2:$E$18,2,FALSE)</f>
        <v>技术</v>
      </c>
      <c r="K190" s="38" t="str">
        <f>VLOOKUP(E190,地区表!$A$2:$C$255,3,FALSE)</f>
        <v>中南</v>
      </c>
    </row>
    <row r="191" spans="1:11" ht="15.6">
      <c r="A191" s="28" t="s">
        <v>283</v>
      </c>
      <c r="B191" s="29">
        <v>44817.032803160502</v>
      </c>
      <c r="C191" s="29">
        <v>44823.755566232503</v>
      </c>
      <c r="D191" s="28" t="s">
        <v>94</v>
      </c>
      <c r="E191" s="28" t="s">
        <v>284</v>
      </c>
      <c r="F191" s="28" t="s">
        <v>111</v>
      </c>
      <c r="G191" s="28">
        <f t="shared" ca="1" si="4"/>
        <v>21</v>
      </c>
      <c r="H191" s="28">
        <v>2</v>
      </c>
      <c r="I191" s="25">
        <f t="shared" ca="1" si="5"/>
        <v>42</v>
      </c>
      <c r="J191" s="25" t="str">
        <f>VLOOKUP(F191,地区表!$D$2:$E$18,2,FALSE)</f>
        <v>办公用品</v>
      </c>
      <c r="K191" s="38" t="str">
        <f>VLOOKUP(E191,地区表!$A$2:$C$255,3,FALSE)</f>
        <v>华北</v>
      </c>
    </row>
    <row r="192" spans="1:11" ht="15.6">
      <c r="A192" s="28" t="s">
        <v>285</v>
      </c>
      <c r="B192" s="29">
        <v>44679.696778137702</v>
      </c>
      <c r="C192" s="29">
        <v>44684.189285479297</v>
      </c>
      <c r="D192" s="28" t="s">
        <v>114</v>
      </c>
      <c r="E192" s="28" t="s">
        <v>286</v>
      </c>
      <c r="F192" s="28" t="s">
        <v>112</v>
      </c>
      <c r="G192" s="28">
        <f t="shared" ca="1" si="4"/>
        <v>20</v>
      </c>
      <c r="H192" s="28">
        <v>3</v>
      </c>
      <c r="I192" s="25">
        <f t="shared" ca="1" si="5"/>
        <v>60</v>
      </c>
      <c r="J192" s="25" t="str">
        <f>VLOOKUP(F192,地区表!$D$2:$E$18,2,FALSE)</f>
        <v>办公用品</v>
      </c>
      <c r="K192" s="38" t="str">
        <f>VLOOKUP(E192,地区表!$A$2:$C$255,3,FALSE)</f>
        <v>华北</v>
      </c>
    </row>
    <row r="193" spans="1:11" ht="15.6">
      <c r="A193" s="28" t="s">
        <v>285</v>
      </c>
      <c r="B193" s="29">
        <v>44679.052745105597</v>
      </c>
      <c r="C193" s="29">
        <v>44684.010906980802</v>
      </c>
      <c r="D193" s="28" t="s">
        <v>114</v>
      </c>
      <c r="E193" s="28" t="s">
        <v>286</v>
      </c>
      <c r="F193" s="28" t="s">
        <v>101</v>
      </c>
      <c r="G193" s="28">
        <f t="shared" ca="1" si="4"/>
        <v>37</v>
      </c>
      <c r="H193" s="28">
        <v>3</v>
      </c>
      <c r="I193" s="25">
        <f t="shared" ca="1" si="5"/>
        <v>111</v>
      </c>
      <c r="J193" s="25" t="str">
        <f>VLOOKUP(F193,地区表!$D$2:$E$18,2,FALSE)</f>
        <v>办公用品</v>
      </c>
      <c r="K193" s="38" t="str">
        <f>VLOOKUP(E193,地区表!$A$2:$C$255,3,FALSE)</f>
        <v>华北</v>
      </c>
    </row>
    <row r="194" spans="1:11" ht="15.6">
      <c r="A194" s="28" t="s">
        <v>285</v>
      </c>
      <c r="B194" s="29">
        <v>44679.984409883698</v>
      </c>
      <c r="C194" s="29">
        <v>44684.769566257601</v>
      </c>
      <c r="D194" s="28" t="s">
        <v>114</v>
      </c>
      <c r="E194" s="28" t="s">
        <v>286</v>
      </c>
      <c r="F194" s="28" t="s">
        <v>135</v>
      </c>
      <c r="G194" s="28">
        <f t="shared" ref="G194:G257" ca="1" si="6">RANDBETWEEN(10,100)</f>
        <v>88</v>
      </c>
      <c r="H194" s="28">
        <v>2</v>
      </c>
      <c r="I194" s="25">
        <f t="shared" ref="I194:I257" ca="1" si="7">G194*H194</f>
        <v>176</v>
      </c>
      <c r="J194" s="25" t="str">
        <f>VLOOKUP(F194,地区表!$D$2:$E$18,2,FALSE)</f>
        <v>办公用品</v>
      </c>
      <c r="K194" s="38" t="str">
        <f>VLOOKUP(E194,地区表!$A$2:$C$255,3,FALSE)</f>
        <v>华北</v>
      </c>
    </row>
    <row r="195" spans="1:11" ht="15.6">
      <c r="A195" s="28" t="s">
        <v>285</v>
      </c>
      <c r="B195" s="29">
        <v>44679.343824759701</v>
      </c>
      <c r="C195" s="29">
        <v>44684.0251744048</v>
      </c>
      <c r="D195" s="28" t="s">
        <v>114</v>
      </c>
      <c r="E195" s="28" t="s">
        <v>286</v>
      </c>
      <c r="F195" s="28" t="s">
        <v>135</v>
      </c>
      <c r="G195" s="28">
        <f t="shared" ca="1" si="6"/>
        <v>38</v>
      </c>
      <c r="H195" s="28">
        <v>5</v>
      </c>
      <c r="I195" s="25">
        <f t="shared" ca="1" si="7"/>
        <v>190</v>
      </c>
      <c r="J195" s="25" t="str">
        <f>VLOOKUP(F195,地区表!$D$2:$E$18,2,FALSE)</f>
        <v>办公用品</v>
      </c>
      <c r="K195" s="38" t="str">
        <f>VLOOKUP(E195,地区表!$A$2:$C$255,3,FALSE)</f>
        <v>华北</v>
      </c>
    </row>
    <row r="196" spans="1:11" ht="15.6">
      <c r="A196" s="28" t="s">
        <v>285</v>
      </c>
      <c r="B196" s="29">
        <v>44679.054136006802</v>
      </c>
      <c r="C196" s="29">
        <v>44684.3373692389</v>
      </c>
      <c r="D196" s="28" t="s">
        <v>114</v>
      </c>
      <c r="E196" s="28" t="s">
        <v>286</v>
      </c>
      <c r="F196" s="28" t="s">
        <v>100</v>
      </c>
      <c r="G196" s="28">
        <f t="shared" ca="1" si="6"/>
        <v>12</v>
      </c>
      <c r="H196" s="28">
        <v>5</v>
      </c>
      <c r="I196" s="25">
        <f t="shared" ca="1" si="7"/>
        <v>60</v>
      </c>
      <c r="J196" s="25" t="str">
        <f>VLOOKUP(F196,地区表!$D$2:$E$18,2,FALSE)</f>
        <v>办公用品</v>
      </c>
      <c r="K196" s="38" t="str">
        <f>VLOOKUP(E196,地区表!$A$2:$C$255,3,FALSE)</f>
        <v>华北</v>
      </c>
    </row>
    <row r="197" spans="1:11" ht="15.6">
      <c r="A197" s="28" t="s">
        <v>285</v>
      </c>
      <c r="B197" s="29">
        <v>44679.952585411498</v>
      </c>
      <c r="C197" s="29">
        <v>44684.954955392401</v>
      </c>
      <c r="D197" s="28" t="s">
        <v>114</v>
      </c>
      <c r="E197" s="28" t="s">
        <v>286</v>
      </c>
      <c r="F197" s="28" t="s">
        <v>109</v>
      </c>
      <c r="G197" s="28">
        <f t="shared" ca="1" si="6"/>
        <v>62</v>
      </c>
      <c r="H197" s="28">
        <v>1</v>
      </c>
      <c r="I197" s="25">
        <f t="shared" ca="1" si="7"/>
        <v>62</v>
      </c>
      <c r="J197" s="25" t="str">
        <f>VLOOKUP(F197,地区表!$D$2:$E$18,2,FALSE)</f>
        <v>技术</v>
      </c>
      <c r="K197" s="38" t="str">
        <f>VLOOKUP(E197,地区表!$A$2:$C$255,3,FALSE)</f>
        <v>华北</v>
      </c>
    </row>
    <row r="198" spans="1:11" ht="15.6">
      <c r="A198" s="28" t="s">
        <v>287</v>
      </c>
      <c r="B198" s="29">
        <v>44751.246528114803</v>
      </c>
      <c r="C198" s="29">
        <v>44756.517141976998</v>
      </c>
      <c r="D198" s="28" t="s">
        <v>98</v>
      </c>
      <c r="E198" s="28" t="s">
        <v>117</v>
      </c>
      <c r="F198" s="28" t="s">
        <v>141</v>
      </c>
      <c r="G198" s="28">
        <f t="shared" ca="1" si="6"/>
        <v>58</v>
      </c>
      <c r="H198" s="28">
        <v>1</v>
      </c>
      <c r="I198" s="25">
        <f t="shared" ca="1" si="7"/>
        <v>58</v>
      </c>
      <c r="J198" s="25" t="str">
        <f>VLOOKUP(F198,地区表!$D$2:$E$18,2,FALSE)</f>
        <v>办公用品</v>
      </c>
      <c r="K198" s="38" t="str">
        <f>VLOOKUP(E198,地区表!$A$2:$C$255,3,FALSE)</f>
        <v>东北</v>
      </c>
    </row>
    <row r="199" spans="1:11" ht="15.6">
      <c r="A199" s="28" t="s">
        <v>287</v>
      </c>
      <c r="B199" s="29">
        <v>44751.181135377403</v>
      </c>
      <c r="C199" s="29">
        <v>44756.633725823303</v>
      </c>
      <c r="D199" s="28" t="s">
        <v>98</v>
      </c>
      <c r="E199" s="28" t="s">
        <v>117</v>
      </c>
      <c r="F199" s="28" t="s">
        <v>96</v>
      </c>
      <c r="G199" s="28">
        <f t="shared" ca="1" si="6"/>
        <v>96</v>
      </c>
      <c r="H199" s="28">
        <v>3</v>
      </c>
      <c r="I199" s="25">
        <f t="shared" ca="1" si="7"/>
        <v>288</v>
      </c>
      <c r="J199" s="25" t="str">
        <f>VLOOKUP(F199,地区表!$D$2:$E$18,2,FALSE)</f>
        <v>办公用品</v>
      </c>
      <c r="K199" s="38" t="str">
        <f>VLOOKUP(E199,地区表!$A$2:$C$255,3,FALSE)</f>
        <v>东北</v>
      </c>
    </row>
    <row r="200" spans="1:11" ht="15.6">
      <c r="A200" s="28" t="s">
        <v>288</v>
      </c>
      <c r="B200" s="29">
        <v>44454.364420596699</v>
      </c>
      <c r="C200" s="29">
        <v>44459.145909955601</v>
      </c>
      <c r="D200" s="28" t="s">
        <v>94</v>
      </c>
      <c r="E200" s="28" t="s">
        <v>197</v>
      </c>
      <c r="F200" s="28" t="s">
        <v>121</v>
      </c>
      <c r="G200" s="28">
        <f t="shared" ca="1" si="6"/>
        <v>22</v>
      </c>
      <c r="H200" s="28">
        <v>4</v>
      </c>
      <c r="I200" s="25">
        <f t="shared" ca="1" si="7"/>
        <v>88</v>
      </c>
      <c r="J200" s="25" t="str">
        <f>VLOOKUP(F200,地区表!$D$2:$E$18,2,FALSE)</f>
        <v>技术</v>
      </c>
      <c r="K200" s="38" t="str">
        <f>VLOOKUP(E200,地区表!$A$2:$C$255,3,FALSE)</f>
        <v>中南</v>
      </c>
    </row>
    <row r="201" spans="1:11" ht="15.6">
      <c r="A201" s="28" t="s">
        <v>289</v>
      </c>
      <c r="B201" s="29">
        <v>45220.371248498603</v>
      </c>
      <c r="C201" s="29">
        <v>45225.662835801901</v>
      </c>
      <c r="D201" s="28" t="s">
        <v>114</v>
      </c>
      <c r="E201" s="28" t="s">
        <v>290</v>
      </c>
      <c r="F201" s="28" t="s">
        <v>144</v>
      </c>
      <c r="G201" s="28">
        <f t="shared" ca="1" si="6"/>
        <v>91</v>
      </c>
      <c r="H201" s="28">
        <v>3</v>
      </c>
      <c r="I201" s="25">
        <f t="shared" ca="1" si="7"/>
        <v>273</v>
      </c>
      <c r="J201" s="25" t="str">
        <f>VLOOKUP(F201,地区表!$D$2:$E$18,2,FALSE)</f>
        <v>家具</v>
      </c>
      <c r="K201" s="38" t="str">
        <f>VLOOKUP(E201,地区表!$A$2:$C$255,3,FALSE)</f>
        <v>华东</v>
      </c>
    </row>
    <row r="202" spans="1:11" ht="15.6">
      <c r="A202" s="28" t="s">
        <v>291</v>
      </c>
      <c r="B202" s="29">
        <v>45083.534160033101</v>
      </c>
      <c r="C202" s="29">
        <v>45087.982845367398</v>
      </c>
      <c r="D202" s="28" t="s">
        <v>98</v>
      </c>
      <c r="E202" s="28" t="s">
        <v>292</v>
      </c>
      <c r="F202" s="28" t="s">
        <v>110</v>
      </c>
      <c r="G202" s="28">
        <f t="shared" ca="1" si="6"/>
        <v>93</v>
      </c>
      <c r="H202" s="28">
        <v>2</v>
      </c>
      <c r="I202" s="25">
        <f t="shared" ca="1" si="7"/>
        <v>186</v>
      </c>
      <c r="J202" s="25" t="str">
        <f>VLOOKUP(F202,地区表!$D$2:$E$18,2,FALSE)</f>
        <v>家具</v>
      </c>
      <c r="K202" s="38" t="str">
        <f>VLOOKUP(E202,地区表!$A$2:$C$255,3,FALSE)</f>
        <v>西南</v>
      </c>
    </row>
    <row r="203" spans="1:11" ht="15.6">
      <c r="A203" s="28" t="s">
        <v>291</v>
      </c>
      <c r="B203" s="29">
        <v>45083.308200591498</v>
      </c>
      <c r="C203" s="29">
        <v>45087.841936652403</v>
      </c>
      <c r="D203" s="28" t="s">
        <v>98</v>
      </c>
      <c r="E203" s="28" t="s">
        <v>292</v>
      </c>
      <c r="F203" s="28" t="s">
        <v>121</v>
      </c>
      <c r="G203" s="28">
        <f t="shared" ca="1" si="6"/>
        <v>71</v>
      </c>
      <c r="H203" s="28">
        <v>4</v>
      </c>
      <c r="I203" s="25">
        <f t="shared" ca="1" si="7"/>
        <v>284</v>
      </c>
      <c r="J203" s="25" t="str">
        <f>VLOOKUP(F203,地区表!$D$2:$E$18,2,FALSE)</f>
        <v>技术</v>
      </c>
      <c r="K203" s="38" t="str">
        <f>VLOOKUP(E203,地区表!$A$2:$C$255,3,FALSE)</f>
        <v>西南</v>
      </c>
    </row>
    <row r="204" spans="1:11" ht="15.6">
      <c r="A204" s="28" t="s">
        <v>293</v>
      </c>
      <c r="B204" s="29">
        <v>44687.7925114319</v>
      </c>
      <c r="C204" s="29">
        <v>44692.849201343102</v>
      </c>
      <c r="D204" s="28" t="s">
        <v>98</v>
      </c>
      <c r="E204" s="28" t="s">
        <v>294</v>
      </c>
      <c r="F204" s="28" t="s">
        <v>125</v>
      </c>
      <c r="G204" s="28">
        <f t="shared" ca="1" si="6"/>
        <v>97</v>
      </c>
      <c r="H204" s="28">
        <v>4</v>
      </c>
      <c r="I204" s="25">
        <f t="shared" ca="1" si="7"/>
        <v>388</v>
      </c>
      <c r="J204" s="25" t="str">
        <f>VLOOKUP(F204,地区表!$D$2:$E$18,2,FALSE)</f>
        <v>办公用品</v>
      </c>
      <c r="K204" s="38" t="str">
        <f>VLOOKUP(E204,地区表!$A$2:$C$255,3,FALSE)</f>
        <v>华北</v>
      </c>
    </row>
    <row r="205" spans="1:11" ht="15.6">
      <c r="A205" s="28" t="s">
        <v>295</v>
      </c>
      <c r="B205" s="29">
        <v>44440.654560953597</v>
      </c>
      <c r="C205" s="29">
        <v>44442.128399431902</v>
      </c>
      <c r="D205" s="28" t="s">
        <v>98</v>
      </c>
      <c r="E205" s="28" t="s">
        <v>127</v>
      </c>
      <c r="F205" s="28" t="s">
        <v>101</v>
      </c>
      <c r="G205" s="28">
        <f t="shared" ca="1" si="6"/>
        <v>82</v>
      </c>
      <c r="H205" s="28">
        <v>2</v>
      </c>
      <c r="I205" s="25">
        <f t="shared" ca="1" si="7"/>
        <v>164</v>
      </c>
      <c r="J205" s="25" t="str">
        <f>VLOOKUP(F205,地区表!$D$2:$E$18,2,FALSE)</f>
        <v>办公用品</v>
      </c>
      <c r="K205" s="38" t="str">
        <f>VLOOKUP(E205,地区表!$A$2:$C$255,3,FALSE)</f>
        <v>华东</v>
      </c>
    </row>
    <row r="206" spans="1:11" ht="15.6">
      <c r="A206" s="28" t="s">
        <v>296</v>
      </c>
      <c r="B206" s="29">
        <v>44463.2632762215</v>
      </c>
      <c r="C206" s="29">
        <v>44467.565961054097</v>
      </c>
      <c r="D206" s="28" t="s">
        <v>94</v>
      </c>
      <c r="E206" s="28" t="s">
        <v>297</v>
      </c>
      <c r="F206" s="28" t="s">
        <v>111</v>
      </c>
      <c r="G206" s="28">
        <f t="shared" ca="1" si="6"/>
        <v>34</v>
      </c>
      <c r="H206" s="28">
        <v>7</v>
      </c>
      <c r="I206" s="25">
        <f t="shared" ca="1" si="7"/>
        <v>238</v>
      </c>
      <c r="J206" s="25" t="str">
        <f>VLOOKUP(F206,地区表!$D$2:$E$18,2,FALSE)</f>
        <v>办公用品</v>
      </c>
      <c r="K206" s="38" t="str">
        <f>VLOOKUP(E206,地区表!$A$2:$C$255,3,FALSE)</f>
        <v>华北</v>
      </c>
    </row>
    <row r="207" spans="1:11" ht="15.6">
      <c r="A207" s="28" t="s">
        <v>296</v>
      </c>
      <c r="B207" s="29">
        <v>44463.445087927699</v>
      </c>
      <c r="C207" s="29">
        <v>44467.713856652801</v>
      </c>
      <c r="D207" s="28" t="s">
        <v>94</v>
      </c>
      <c r="E207" s="28" t="s">
        <v>297</v>
      </c>
      <c r="F207" s="28" t="s">
        <v>122</v>
      </c>
      <c r="G207" s="28">
        <f t="shared" ca="1" si="6"/>
        <v>77</v>
      </c>
      <c r="H207" s="28">
        <v>5</v>
      </c>
      <c r="I207" s="25">
        <f t="shared" ca="1" si="7"/>
        <v>385</v>
      </c>
      <c r="J207" s="25" t="str">
        <f>VLOOKUP(F207,地区表!$D$2:$E$18,2,FALSE)</f>
        <v>技术</v>
      </c>
      <c r="K207" s="38" t="str">
        <f>VLOOKUP(E207,地区表!$A$2:$C$255,3,FALSE)</f>
        <v>华北</v>
      </c>
    </row>
    <row r="208" spans="1:11" ht="15.6">
      <c r="A208" s="28" t="s">
        <v>298</v>
      </c>
      <c r="B208" s="29">
        <v>44288.953682130697</v>
      </c>
      <c r="C208" s="29">
        <v>44292.788892532102</v>
      </c>
      <c r="D208" s="28" t="s">
        <v>94</v>
      </c>
      <c r="E208" s="28" t="s">
        <v>299</v>
      </c>
      <c r="F208" s="28" t="s">
        <v>121</v>
      </c>
      <c r="G208" s="28">
        <f t="shared" ca="1" si="6"/>
        <v>48</v>
      </c>
      <c r="H208" s="28">
        <v>8</v>
      </c>
      <c r="I208" s="25">
        <f t="shared" ca="1" si="7"/>
        <v>384</v>
      </c>
      <c r="J208" s="25" t="str">
        <f>VLOOKUP(F208,地区表!$D$2:$E$18,2,FALSE)</f>
        <v>技术</v>
      </c>
      <c r="K208" s="38" t="str">
        <f>VLOOKUP(E208,地区表!$A$2:$C$255,3,FALSE)</f>
        <v>中南</v>
      </c>
    </row>
    <row r="209" spans="1:11" ht="15.6">
      <c r="A209" s="28" t="s">
        <v>298</v>
      </c>
      <c r="B209" s="29">
        <v>44288.956365981903</v>
      </c>
      <c r="C209" s="29">
        <v>44292.402787910702</v>
      </c>
      <c r="D209" s="28" t="s">
        <v>94</v>
      </c>
      <c r="E209" s="28" t="s">
        <v>299</v>
      </c>
      <c r="F209" s="28" t="s">
        <v>122</v>
      </c>
      <c r="G209" s="28">
        <f t="shared" ca="1" si="6"/>
        <v>91</v>
      </c>
      <c r="H209" s="28">
        <v>4</v>
      </c>
      <c r="I209" s="25">
        <f t="shared" ca="1" si="7"/>
        <v>364</v>
      </c>
      <c r="J209" s="25" t="str">
        <f>VLOOKUP(F209,地区表!$D$2:$E$18,2,FALSE)</f>
        <v>技术</v>
      </c>
      <c r="K209" s="38" t="str">
        <f>VLOOKUP(E209,地区表!$A$2:$C$255,3,FALSE)</f>
        <v>中南</v>
      </c>
    </row>
    <row r="210" spans="1:11" ht="15.6">
      <c r="A210" s="28" t="s">
        <v>300</v>
      </c>
      <c r="B210" s="29">
        <v>44770.087122048702</v>
      </c>
      <c r="C210" s="29">
        <v>44777.228604918702</v>
      </c>
      <c r="D210" s="28" t="s">
        <v>114</v>
      </c>
      <c r="E210" s="28" t="s">
        <v>233</v>
      </c>
      <c r="F210" s="28" t="s">
        <v>96</v>
      </c>
      <c r="G210" s="28">
        <f t="shared" ca="1" si="6"/>
        <v>79</v>
      </c>
      <c r="H210" s="28">
        <v>9</v>
      </c>
      <c r="I210" s="25">
        <f t="shared" ca="1" si="7"/>
        <v>711</v>
      </c>
      <c r="J210" s="25" t="str">
        <f>VLOOKUP(F210,地区表!$D$2:$E$18,2,FALSE)</f>
        <v>办公用品</v>
      </c>
      <c r="K210" s="38" t="str">
        <f>VLOOKUP(E210,地区表!$A$2:$C$255,3,FALSE)</f>
        <v>西北</v>
      </c>
    </row>
    <row r="211" spans="1:11" ht="15.6">
      <c r="A211" s="28" t="s">
        <v>300</v>
      </c>
      <c r="B211" s="29">
        <v>44770.3673005483</v>
      </c>
      <c r="C211" s="29">
        <v>44777.609317521601</v>
      </c>
      <c r="D211" s="28" t="s">
        <v>114</v>
      </c>
      <c r="E211" s="28" t="s">
        <v>233</v>
      </c>
      <c r="F211" s="28" t="s">
        <v>135</v>
      </c>
      <c r="G211" s="28">
        <f t="shared" ca="1" si="6"/>
        <v>70</v>
      </c>
      <c r="H211" s="28">
        <v>3</v>
      </c>
      <c r="I211" s="25">
        <f t="shared" ca="1" si="7"/>
        <v>210</v>
      </c>
      <c r="J211" s="25" t="str">
        <f>VLOOKUP(F211,地区表!$D$2:$E$18,2,FALSE)</f>
        <v>办公用品</v>
      </c>
      <c r="K211" s="38" t="str">
        <f>VLOOKUP(E211,地区表!$A$2:$C$255,3,FALSE)</f>
        <v>西北</v>
      </c>
    </row>
    <row r="212" spans="1:11" ht="15.6">
      <c r="A212" s="28" t="s">
        <v>301</v>
      </c>
      <c r="B212" s="29">
        <v>45150.978564875702</v>
      </c>
      <c r="C212" s="29">
        <v>45152.358252764003</v>
      </c>
      <c r="D212" s="28" t="s">
        <v>114</v>
      </c>
      <c r="E212" s="28" t="s">
        <v>302</v>
      </c>
      <c r="F212" s="28" t="s">
        <v>125</v>
      </c>
      <c r="G212" s="28">
        <f t="shared" ca="1" si="6"/>
        <v>12</v>
      </c>
      <c r="H212" s="28">
        <v>1</v>
      </c>
      <c r="I212" s="25">
        <f t="shared" ca="1" si="7"/>
        <v>12</v>
      </c>
      <c r="J212" s="25" t="str">
        <f>VLOOKUP(F212,地区表!$D$2:$E$18,2,FALSE)</f>
        <v>办公用品</v>
      </c>
      <c r="K212" s="38" t="str">
        <f>VLOOKUP(E212,地区表!$A$2:$C$255,3,FALSE)</f>
        <v>华东</v>
      </c>
    </row>
    <row r="213" spans="1:11" ht="15.6">
      <c r="A213" s="28" t="s">
        <v>301</v>
      </c>
      <c r="B213" s="29">
        <v>45150.230337314599</v>
      </c>
      <c r="C213" s="29">
        <v>45152.876964030002</v>
      </c>
      <c r="D213" s="28" t="s">
        <v>114</v>
      </c>
      <c r="E213" s="28" t="s">
        <v>302</v>
      </c>
      <c r="F213" s="28" t="s">
        <v>135</v>
      </c>
      <c r="G213" s="28">
        <f t="shared" ca="1" si="6"/>
        <v>51</v>
      </c>
      <c r="H213" s="28">
        <v>3</v>
      </c>
      <c r="I213" s="25">
        <f t="shared" ca="1" si="7"/>
        <v>153</v>
      </c>
      <c r="J213" s="25" t="str">
        <f>VLOOKUP(F213,地区表!$D$2:$E$18,2,FALSE)</f>
        <v>办公用品</v>
      </c>
      <c r="K213" s="38" t="str">
        <f>VLOOKUP(E213,地区表!$A$2:$C$255,3,FALSE)</f>
        <v>华东</v>
      </c>
    </row>
    <row r="214" spans="1:11" ht="15.6">
      <c r="A214" s="28" t="s">
        <v>303</v>
      </c>
      <c r="B214" s="29">
        <v>45267.064767932803</v>
      </c>
      <c r="C214" s="29">
        <v>45269.549770010301</v>
      </c>
      <c r="D214" s="28" t="s">
        <v>94</v>
      </c>
      <c r="E214" s="28" t="s">
        <v>302</v>
      </c>
      <c r="F214" s="28" t="s">
        <v>101</v>
      </c>
      <c r="G214" s="28">
        <f t="shared" ca="1" si="6"/>
        <v>74</v>
      </c>
      <c r="H214" s="28">
        <v>5</v>
      </c>
      <c r="I214" s="25">
        <f t="shared" ca="1" si="7"/>
        <v>370</v>
      </c>
      <c r="J214" s="25" t="str">
        <f>VLOOKUP(F214,地区表!$D$2:$E$18,2,FALSE)</f>
        <v>办公用品</v>
      </c>
      <c r="K214" s="38" t="str">
        <f>VLOOKUP(E214,地区表!$A$2:$C$255,3,FALSE)</f>
        <v>华东</v>
      </c>
    </row>
    <row r="215" spans="1:11" ht="15.6">
      <c r="A215" s="28" t="s">
        <v>303</v>
      </c>
      <c r="B215" s="29">
        <v>45267.461302003299</v>
      </c>
      <c r="C215" s="29">
        <v>45269.046369702402</v>
      </c>
      <c r="D215" s="28" t="s">
        <v>94</v>
      </c>
      <c r="E215" s="28" t="s">
        <v>302</v>
      </c>
      <c r="F215" s="28" t="s">
        <v>101</v>
      </c>
      <c r="G215" s="28">
        <f t="shared" ca="1" si="6"/>
        <v>97</v>
      </c>
      <c r="H215" s="28">
        <v>4</v>
      </c>
      <c r="I215" s="25">
        <f t="shared" ca="1" si="7"/>
        <v>388</v>
      </c>
      <c r="J215" s="25" t="str">
        <f>VLOOKUP(F215,地区表!$D$2:$E$18,2,FALSE)</f>
        <v>办公用品</v>
      </c>
      <c r="K215" s="38" t="str">
        <f>VLOOKUP(E215,地区表!$A$2:$C$255,3,FALSE)</f>
        <v>华东</v>
      </c>
    </row>
    <row r="216" spans="1:11" ht="15.6">
      <c r="A216" s="28" t="s">
        <v>303</v>
      </c>
      <c r="B216" s="29">
        <v>45267.102647193002</v>
      </c>
      <c r="C216" s="29">
        <v>45269.625303198904</v>
      </c>
      <c r="D216" s="28" t="s">
        <v>94</v>
      </c>
      <c r="E216" s="28" t="s">
        <v>302</v>
      </c>
      <c r="F216" s="28" t="s">
        <v>121</v>
      </c>
      <c r="G216" s="28">
        <f t="shared" ca="1" si="6"/>
        <v>34</v>
      </c>
      <c r="H216" s="28">
        <v>2</v>
      </c>
      <c r="I216" s="25">
        <f t="shared" ca="1" si="7"/>
        <v>68</v>
      </c>
      <c r="J216" s="25" t="str">
        <f>VLOOKUP(F216,地区表!$D$2:$E$18,2,FALSE)</f>
        <v>技术</v>
      </c>
      <c r="K216" s="38" t="str">
        <f>VLOOKUP(E216,地区表!$A$2:$C$255,3,FALSE)</f>
        <v>华东</v>
      </c>
    </row>
    <row r="217" spans="1:11" ht="15.6">
      <c r="A217" s="28" t="s">
        <v>304</v>
      </c>
      <c r="B217" s="29">
        <v>44254.592879387499</v>
      </c>
      <c r="C217" s="29">
        <v>44256.538820466703</v>
      </c>
      <c r="D217" s="28" t="s">
        <v>98</v>
      </c>
      <c r="E217" s="28" t="s">
        <v>305</v>
      </c>
      <c r="F217" s="28" t="s">
        <v>121</v>
      </c>
      <c r="G217" s="28">
        <f t="shared" ca="1" si="6"/>
        <v>81</v>
      </c>
      <c r="H217" s="28">
        <v>2</v>
      </c>
      <c r="I217" s="25">
        <f t="shared" ca="1" si="7"/>
        <v>162</v>
      </c>
      <c r="J217" s="25" t="str">
        <f>VLOOKUP(F217,地区表!$D$2:$E$18,2,FALSE)</f>
        <v>技术</v>
      </c>
      <c r="K217" s="38" t="str">
        <f>VLOOKUP(E217,地区表!$A$2:$C$255,3,FALSE)</f>
        <v>中南</v>
      </c>
    </row>
    <row r="218" spans="1:11" ht="15.6">
      <c r="A218" s="28" t="s">
        <v>304</v>
      </c>
      <c r="B218" s="29">
        <v>44254.191528994903</v>
      </c>
      <c r="C218" s="29">
        <v>44256.2241022132</v>
      </c>
      <c r="D218" s="28" t="s">
        <v>98</v>
      </c>
      <c r="E218" s="28" t="s">
        <v>305</v>
      </c>
      <c r="F218" s="28" t="s">
        <v>96</v>
      </c>
      <c r="G218" s="28">
        <f t="shared" ca="1" si="6"/>
        <v>85</v>
      </c>
      <c r="H218" s="28">
        <v>2</v>
      </c>
      <c r="I218" s="25">
        <f t="shared" ca="1" si="7"/>
        <v>170</v>
      </c>
      <c r="J218" s="25" t="str">
        <f>VLOOKUP(F218,地区表!$D$2:$E$18,2,FALSE)</f>
        <v>办公用品</v>
      </c>
      <c r="K218" s="38" t="str">
        <f>VLOOKUP(E218,地区表!$A$2:$C$255,3,FALSE)</f>
        <v>中南</v>
      </c>
    </row>
    <row r="219" spans="1:11" ht="15.6">
      <c r="A219" s="28" t="s">
        <v>304</v>
      </c>
      <c r="B219" s="29">
        <v>44254.790219550399</v>
      </c>
      <c r="C219" s="29">
        <v>44256.285476042998</v>
      </c>
      <c r="D219" s="28" t="s">
        <v>98</v>
      </c>
      <c r="E219" s="28" t="s">
        <v>305</v>
      </c>
      <c r="F219" s="28" t="s">
        <v>121</v>
      </c>
      <c r="G219" s="28">
        <f t="shared" ca="1" si="6"/>
        <v>36</v>
      </c>
      <c r="H219" s="28">
        <v>3</v>
      </c>
      <c r="I219" s="25">
        <f t="shared" ca="1" si="7"/>
        <v>108</v>
      </c>
      <c r="J219" s="25" t="str">
        <f>VLOOKUP(F219,地区表!$D$2:$E$18,2,FALSE)</f>
        <v>技术</v>
      </c>
      <c r="K219" s="38" t="str">
        <f>VLOOKUP(E219,地区表!$A$2:$C$255,3,FALSE)</f>
        <v>中南</v>
      </c>
    </row>
    <row r="220" spans="1:11" ht="15.6">
      <c r="A220" s="28" t="s">
        <v>304</v>
      </c>
      <c r="B220" s="29">
        <v>44254.850653975402</v>
      </c>
      <c r="C220" s="29">
        <v>44256.910787702203</v>
      </c>
      <c r="D220" s="28" t="s">
        <v>98</v>
      </c>
      <c r="E220" s="28" t="s">
        <v>305</v>
      </c>
      <c r="F220" s="28" t="s">
        <v>125</v>
      </c>
      <c r="G220" s="28">
        <f t="shared" ca="1" si="6"/>
        <v>55</v>
      </c>
      <c r="H220" s="28">
        <v>7</v>
      </c>
      <c r="I220" s="25">
        <f t="shared" ca="1" si="7"/>
        <v>385</v>
      </c>
      <c r="J220" s="25" t="str">
        <f>VLOOKUP(F220,地区表!$D$2:$E$18,2,FALSE)</f>
        <v>办公用品</v>
      </c>
      <c r="K220" s="38" t="str">
        <f>VLOOKUP(E220,地区表!$A$2:$C$255,3,FALSE)</f>
        <v>中南</v>
      </c>
    </row>
    <row r="221" spans="1:11" ht="15.6">
      <c r="A221" s="28" t="s">
        <v>306</v>
      </c>
      <c r="B221" s="29">
        <v>45081.324204782897</v>
      </c>
      <c r="C221" s="29">
        <v>45085.249475158103</v>
      </c>
      <c r="D221" s="28" t="s">
        <v>98</v>
      </c>
      <c r="E221" s="28" t="s">
        <v>307</v>
      </c>
      <c r="F221" s="28" t="s">
        <v>141</v>
      </c>
      <c r="G221" s="28">
        <f t="shared" ca="1" si="6"/>
        <v>87</v>
      </c>
      <c r="H221" s="28">
        <v>2</v>
      </c>
      <c r="I221" s="25">
        <f t="shared" ca="1" si="7"/>
        <v>174</v>
      </c>
      <c r="J221" s="25" t="str">
        <f>VLOOKUP(F221,地区表!$D$2:$E$18,2,FALSE)</f>
        <v>办公用品</v>
      </c>
      <c r="K221" s="38" t="str">
        <f>VLOOKUP(E221,地区表!$A$2:$C$255,3,FALSE)</f>
        <v>东北</v>
      </c>
    </row>
    <row r="222" spans="1:11" ht="15.6">
      <c r="A222" s="28" t="s">
        <v>306</v>
      </c>
      <c r="B222" s="29">
        <v>45081.177155413003</v>
      </c>
      <c r="C222" s="29">
        <v>45085.276745141397</v>
      </c>
      <c r="D222" s="28" t="s">
        <v>98</v>
      </c>
      <c r="E222" s="28" t="s">
        <v>307</v>
      </c>
      <c r="F222" s="28" t="s">
        <v>96</v>
      </c>
      <c r="G222" s="28">
        <f t="shared" ca="1" si="6"/>
        <v>71</v>
      </c>
      <c r="H222" s="28">
        <v>4</v>
      </c>
      <c r="I222" s="25">
        <f t="shared" ca="1" si="7"/>
        <v>284</v>
      </c>
      <c r="J222" s="25" t="str">
        <f>VLOOKUP(F222,地区表!$D$2:$E$18,2,FALSE)</f>
        <v>办公用品</v>
      </c>
      <c r="K222" s="38" t="str">
        <f>VLOOKUP(E222,地区表!$A$2:$C$255,3,FALSE)</f>
        <v>东北</v>
      </c>
    </row>
    <row r="223" spans="1:11" ht="15.6">
      <c r="A223" s="28" t="s">
        <v>306</v>
      </c>
      <c r="B223" s="29">
        <v>45081.214797272303</v>
      </c>
      <c r="C223" s="29">
        <v>45085.116327206597</v>
      </c>
      <c r="D223" s="28" t="s">
        <v>98</v>
      </c>
      <c r="E223" s="28" t="s">
        <v>307</v>
      </c>
      <c r="F223" s="28" t="s">
        <v>125</v>
      </c>
      <c r="G223" s="28">
        <f t="shared" ca="1" si="6"/>
        <v>31</v>
      </c>
      <c r="H223" s="28">
        <v>3</v>
      </c>
      <c r="I223" s="25">
        <f t="shared" ca="1" si="7"/>
        <v>93</v>
      </c>
      <c r="J223" s="25" t="str">
        <f>VLOOKUP(F223,地区表!$D$2:$E$18,2,FALSE)</f>
        <v>办公用品</v>
      </c>
      <c r="K223" s="38" t="str">
        <f>VLOOKUP(E223,地区表!$A$2:$C$255,3,FALSE)</f>
        <v>东北</v>
      </c>
    </row>
    <row r="224" spans="1:11" ht="15.6">
      <c r="A224" s="28" t="s">
        <v>306</v>
      </c>
      <c r="B224" s="29">
        <v>45081.598141577502</v>
      </c>
      <c r="C224" s="29">
        <v>45085.164477953003</v>
      </c>
      <c r="D224" s="28" t="s">
        <v>98</v>
      </c>
      <c r="E224" s="28" t="s">
        <v>307</v>
      </c>
      <c r="F224" s="28" t="s">
        <v>121</v>
      </c>
      <c r="G224" s="28">
        <f t="shared" ca="1" si="6"/>
        <v>23</v>
      </c>
      <c r="H224" s="28">
        <v>5</v>
      </c>
      <c r="I224" s="25">
        <f t="shared" ca="1" si="7"/>
        <v>115</v>
      </c>
      <c r="J224" s="25" t="str">
        <f>VLOOKUP(F224,地区表!$D$2:$E$18,2,FALSE)</f>
        <v>技术</v>
      </c>
      <c r="K224" s="38" t="str">
        <f>VLOOKUP(E224,地区表!$A$2:$C$255,3,FALSE)</f>
        <v>东北</v>
      </c>
    </row>
    <row r="225" spans="1:11" ht="15.6">
      <c r="A225" s="28" t="s">
        <v>306</v>
      </c>
      <c r="B225" s="29">
        <v>45081.358939774</v>
      </c>
      <c r="C225" s="29">
        <v>45085.485257942302</v>
      </c>
      <c r="D225" s="28" t="s">
        <v>98</v>
      </c>
      <c r="E225" s="28" t="s">
        <v>307</v>
      </c>
      <c r="F225" s="28" t="s">
        <v>101</v>
      </c>
      <c r="G225" s="28">
        <f t="shared" ca="1" si="6"/>
        <v>42</v>
      </c>
      <c r="H225" s="28">
        <v>3</v>
      </c>
      <c r="I225" s="25">
        <f t="shared" ca="1" si="7"/>
        <v>126</v>
      </c>
      <c r="J225" s="25" t="str">
        <f>VLOOKUP(F225,地区表!$D$2:$E$18,2,FALSE)</f>
        <v>办公用品</v>
      </c>
      <c r="K225" s="38" t="str">
        <f>VLOOKUP(E225,地区表!$A$2:$C$255,3,FALSE)</f>
        <v>东北</v>
      </c>
    </row>
    <row r="226" spans="1:11" ht="15.6">
      <c r="A226" s="28" t="s">
        <v>306</v>
      </c>
      <c r="B226" s="29">
        <v>45081.877472002598</v>
      </c>
      <c r="C226" s="29">
        <v>45085.6485616848</v>
      </c>
      <c r="D226" s="28" t="s">
        <v>98</v>
      </c>
      <c r="E226" s="28" t="s">
        <v>307</v>
      </c>
      <c r="F226" s="28" t="s">
        <v>106</v>
      </c>
      <c r="G226" s="28">
        <f t="shared" ca="1" si="6"/>
        <v>97</v>
      </c>
      <c r="H226" s="28">
        <v>2</v>
      </c>
      <c r="I226" s="25">
        <f t="shared" ca="1" si="7"/>
        <v>194</v>
      </c>
      <c r="J226" s="25" t="str">
        <f>VLOOKUP(F226,地区表!$D$2:$E$18,2,FALSE)</f>
        <v>办公用品</v>
      </c>
      <c r="K226" s="38" t="str">
        <f>VLOOKUP(E226,地区表!$A$2:$C$255,3,FALSE)</f>
        <v>东北</v>
      </c>
    </row>
    <row r="227" spans="1:11" ht="15.6">
      <c r="A227" s="28" t="s">
        <v>306</v>
      </c>
      <c r="B227" s="29">
        <v>45081.811143578998</v>
      </c>
      <c r="C227" s="29">
        <v>45085.148219605602</v>
      </c>
      <c r="D227" s="28" t="s">
        <v>98</v>
      </c>
      <c r="E227" s="28" t="s">
        <v>307</v>
      </c>
      <c r="F227" s="28" t="s">
        <v>110</v>
      </c>
      <c r="G227" s="28">
        <f t="shared" ca="1" si="6"/>
        <v>87</v>
      </c>
      <c r="H227" s="28">
        <v>4</v>
      </c>
      <c r="I227" s="25">
        <f t="shared" ca="1" si="7"/>
        <v>348</v>
      </c>
      <c r="J227" s="25" t="str">
        <f>VLOOKUP(F227,地区表!$D$2:$E$18,2,FALSE)</f>
        <v>家具</v>
      </c>
      <c r="K227" s="38" t="str">
        <f>VLOOKUP(E227,地区表!$A$2:$C$255,3,FALSE)</f>
        <v>东北</v>
      </c>
    </row>
    <row r="228" spans="1:11" ht="15.6">
      <c r="A228" s="28" t="s">
        <v>306</v>
      </c>
      <c r="B228" s="29">
        <v>45081.144354014599</v>
      </c>
      <c r="C228" s="29">
        <v>45085.947466066398</v>
      </c>
      <c r="D228" s="28" t="s">
        <v>98</v>
      </c>
      <c r="E228" s="28" t="s">
        <v>307</v>
      </c>
      <c r="F228" s="28" t="s">
        <v>121</v>
      </c>
      <c r="G228" s="28">
        <f t="shared" ca="1" si="6"/>
        <v>58</v>
      </c>
      <c r="H228" s="28">
        <v>4</v>
      </c>
      <c r="I228" s="25">
        <f t="shared" ca="1" si="7"/>
        <v>232</v>
      </c>
      <c r="J228" s="25" t="str">
        <f>VLOOKUP(F228,地区表!$D$2:$E$18,2,FALSE)</f>
        <v>技术</v>
      </c>
      <c r="K228" s="38" t="str">
        <f>VLOOKUP(E228,地区表!$A$2:$C$255,3,FALSE)</f>
        <v>东北</v>
      </c>
    </row>
    <row r="229" spans="1:11" ht="15.6">
      <c r="A229" s="28" t="s">
        <v>308</v>
      </c>
      <c r="B229" s="29">
        <v>44268.272211413401</v>
      </c>
      <c r="C229" s="29">
        <v>44272.157161466799</v>
      </c>
      <c r="D229" s="28" t="s">
        <v>114</v>
      </c>
      <c r="E229" s="28" t="s">
        <v>309</v>
      </c>
      <c r="F229" s="28" t="s">
        <v>109</v>
      </c>
      <c r="G229" s="28">
        <f t="shared" ca="1" si="6"/>
        <v>11</v>
      </c>
      <c r="H229" s="28">
        <v>3</v>
      </c>
      <c r="I229" s="25">
        <f t="shared" ca="1" si="7"/>
        <v>33</v>
      </c>
      <c r="J229" s="25" t="str">
        <f>VLOOKUP(F229,地区表!$D$2:$E$18,2,FALSE)</f>
        <v>技术</v>
      </c>
      <c r="K229" s="38" t="str">
        <f>VLOOKUP(E229,地区表!$A$2:$C$255,3,FALSE)</f>
        <v>中南</v>
      </c>
    </row>
    <row r="230" spans="1:11" ht="15.6">
      <c r="A230" s="28" t="s">
        <v>308</v>
      </c>
      <c r="B230" s="29">
        <v>44268.490107864003</v>
      </c>
      <c r="C230" s="29">
        <v>44272.336646857097</v>
      </c>
      <c r="D230" s="28" t="s">
        <v>114</v>
      </c>
      <c r="E230" s="28" t="s">
        <v>309</v>
      </c>
      <c r="F230" s="28" t="s">
        <v>122</v>
      </c>
      <c r="G230" s="28">
        <f t="shared" ca="1" si="6"/>
        <v>97</v>
      </c>
      <c r="H230" s="28">
        <v>11</v>
      </c>
      <c r="I230" s="25">
        <f t="shared" ca="1" si="7"/>
        <v>1067</v>
      </c>
      <c r="J230" s="25" t="str">
        <f>VLOOKUP(F230,地区表!$D$2:$E$18,2,FALSE)</f>
        <v>技术</v>
      </c>
      <c r="K230" s="38" t="str">
        <f>VLOOKUP(E230,地区表!$A$2:$C$255,3,FALSE)</f>
        <v>中南</v>
      </c>
    </row>
    <row r="231" spans="1:11" ht="15.6">
      <c r="A231" s="28" t="s">
        <v>310</v>
      </c>
      <c r="B231" s="29">
        <v>44582.276173438397</v>
      </c>
      <c r="C231" s="29">
        <v>44587.8545599801</v>
      </c>
      <c r="D231" s="28" t="s">
        <v>98</v>
      </c>
      <c r="E231" s="28" t="s">
        <v>311</v>
      </c>
      <c r="F231" s="28" t="s">
        <v>122</v>
      </c>
      <c r="G231" s="28">
        <f t="shared" ca="1" si="6"/>
        <v>53</v>
      </c>
      <c r="H231" s="28">
        <v>3</v>
      </c>
      <c r="I231" s="25">
        <f t="shared" ca="1" si="7"/>
        <v>159</v>
      </c>
      <c r="J231" s="25" t="str">
        <f>VLOOKUP(F231,地区表!$D$2:$E$18,2,FALSE)</f>
        <v>技术</v>
      </c>
      <c r="K231" s="38" t="str">
        <f>VLOOKUP(E231,地区表!$A$2:$C$255,3,FALSE)</f>
        <v>华北</v>
      </c>
    </row>
    <row r="232" spans="1:11" ht="15.6">
      <c r="A232" s="28" t="s">
        <v>310</v>
      </c>
      <c r="B232" s="29">
        <v>44582.417760102398</v>
      </c>
      <c r="C232" s="29">
        <v>44587.724755079202</v>
      </c>
      <c r="D232" s="28" t="s">
        <v>98</v>
      </c>
      <c r="E232" s="28" t="s">
        <v>311</v>
      </c>
      <c r="F232" s="28" t="s">
        <v>125</v>
      </c>
      <c r="G232" s="28">
        <f t="shared" ca="1" si="6"/>
        <v>87</v>
      </c>
      <c r="H232" s="28">
        <v>1</v>
      </c>
      <c r="I232" s="25">
        <f t="shared" ca="1" si="7"/>
        <v>87</v>
      </c>
      <c r="J232" s="25" t="str">
        <f>VLOOKUP(F232,地区表!$D$2:$E$18,2,FALSE)</f>
        <v>办公用品</v>
      </c>
      <c r="K232" s="38" t="str">
        <f>VLOOKUP(E232,地区表!$A$2:$C$255,3,FALSE)</f>
        <v>华北</v>
      </c>
    </row>
    <row r="233" spans="1:11" ht="15.6">
      <c r="A233" s="28" t="s">
        <v>312</v>
      </c>
      <c r="B233" s="29">
        <v>44523.572800130503</v>
      </c>
      <c r="C233" s="29">
        <v>44525.8224714479</v>
      </c>
      <c r="D233" s="28" t="s">
        <v>94</v>
      </c>
      <c r="E233" s="28" t="s">
        <v>183</v>
      </c>
      <c r="F233" s="28" t="s">
        <v>121</v>
      </c>
      <c r="G233" s="28">
        <f t="shared" ca="1" si="6"/>
        <v>26</v>
      </c>
      <c r="H233" s="28">
        <v>6</v>
      </c>
      <c r="I233" s="25">
        <f t="shared" ca="1" si="7"/>
        <v>156</v>
      </c>
      <c r="J233" s="25" t="str">
        <f>VLOOKUP(F233,地区表!$D$2:$E$18,2,FALSE)</f>
        <v>技术</v>
      </c>
      <c r="K233" s="38" t="str">
        <f>VLOOKUP(E233,地区表!$A$2:$C$255,3,FALSE)</f>
        <v>西南</v>
      </c>
    </row>
    <row r="234" spans="1:11" ht="15.6">
      <c r="A234" s="28" t="s">
        <v>312</v>
      </c>
      <c r="B234" s="29">
        <v>44523.501160166699</v>
      </c>
      <c r="C234" s="29">
        <v>44525.368781608398</v>
      </c>
      <c r="D234" s="28" t="s">
        <v>94</v>
      </c>
      <c r="E234" s="28" t="s">
        <v>183</v>
      </c>
      <c r="F234" s="28" t="s">
        <v>101</v>
      </c>
      <c r="G234" s="28">
        <f t="shared" ca="1" si="6"/>
        <v>100</v>
      </c>
      <c r="H234" s="28">
        <v>2</v>
      </c>
      <c r="I234" s="25">
        <f t="shared" ca="1" si="7"/>
        <v>200</v>
      </c>
      <c r="J234" s="25" t="str">
        <f>VLOOKUP(F234,地区表!$D$2:$E$18,2,FALSE)</f>
        <v>办公用品</v>
      </c>
      <c r="K234" s="38" t="str">
        <f>VLOOKUP(E234,地区表!$A$2:$C$255,3,FALSE)</f>
        <v>西南</v>
      </c>
    </row>
    <row r="235" spans="1:11" ht="15.6">
      <c r="A235" s="28" t="s">
        <v>312</v>
      </c>
      <c r="B235" s="29">
        <v>44523.857354033302</v>
      </c>
      <c r="C235" s="29">
        <v>44525.9069136951</v>
      </c>
      <c r="D235" s="28" t="s">
        <v>94</v>
      </c>
      <c r="E235" s="28" t="s">
        <v>183</v>
      </c>
      <c r="F235" s="28" t="s">
        <v>122</v>
      </c>
      <c r="G235" s="28">
        <f t="shared" ca="1" si="6"/>
        <v>84</v>
      </c>
      <c r="H235" s="28">
        <v>5</v>
      </c>
      <c r="I235" s="25">
        <f t="shared" ca="1" si="7"/>
        <v>420</v>
      </c>
      <c r="J235" s="25" t="str">
        <f>VLOOKUP(F235,地区表!$D$2:$E$18,2,FALSE)</f>
        <v>技术</v>
      </c>
      <c r="K235" s="38" t="str">
        <f>VLOOKUP(E235,地区表!$A$2:$C$255,3,FALSE)</f>
        <v>西南</v>
      </c>
    </row>
    <row r="236" spans="1:11" ht="15.6">
      <c r="A236" s="28" t="s">
        <v>313</v>
      </c>
      <c r="B236" s="29">
        <v>45131.021626373898</v>
      </c>
      <c r="C236" s="29">
        <v>45136.933971916202</v>
      </c>
      <c r="D236" s="28" t="s">
        <v>98</v>
      </c>
      <c r="E236" s="28" t="s">
        <v>314</v>
      </c>
      <c r="F236" s="28" t="s">
        <v>125</v>
      </c>
      <c r="G236" s="28">
        <f t="shared" ca="1" si="6"/>
        <v>76</v>
      </c>
      <c r="H236" s="28">
        <v>2</v>
      </c>
      <c r="I236" s="25">
        <f t="shared" ca="1" si="7"/>
        <v>152</v>
      </c>
      <c r="J236" s="25" t="str">
        <f>VLOOKUP(F236,地区表!$D$2:$E$18,2,FALSE)</f>
        <v>办公用品</v>
      </c>
      <c r="K236" s="38" t="str">
        <f>VLOOKUP(E236,地区表!$A$2:$C$255,3,FALSE)</f>
        <v>西南</v>
      </c>
    </row>
    <row r="237" spans="1:11" ht="15.6">
      <c r="A237" s="28" t="s">
        <v>315</v>
      </c>
      <c r="B237" s="29">
        <v>44670.596347337101</v>
      </c>
      <c r="C237" s="29">
        <v>44674.605265553597</v>
      </c>
      <c r="D237" s="28" t="s">
        <v>98</v>
      </c>
      <c r="E237" s="28" t="s">
        <v>316</v>
      </c>
      <c r="F237" s="28" t="s">
        <v>96</v>
      </c>
      <c r="G237" s="28">
        <f t="shared" ca="1" si="6"/>
        <v>12</v>
      </c>
      <c r="H237" s="28">
        <v>2</v>
      </c>
      <c r="I237" s="25">
        <f t="shared" ca="1" si="7"/>
        <v>24</v>
      </c>
      <c r="J237" s="25" t="str">
        <f>VLOOKUP(F237,地区表!$D$2:$E$18,2,FALSE)</f>
        <v>办公用品</v>
      </c>
      <c r="K237" s="38" t="str">
        <f>VLOOKUP(E237,地区表!$A$2:$C$255,3,FALSE)</f>
        <v>华北</v>
      </c>
    </row>
    <row r="238" spans="1:11" ht="15.6">
      <c r="A238" s="28" t="s">
        <v>317</v>
      </c>
      <c r="B238" s="29">
        <v>44274.110823102303</v>
      </c>
      <c r="C238" s="29">
        <v>44277.4085158612</v>
      </c>
      <c r="D238" s="28" t="s">
        <v>98</v>
      </c>
      <c r="E238" s="28" t="s">
        <v>230</v>
      </c>
      <c r="F238" s="28" t="s">
        <v>135</v>
      </c>
      <c r="G238" s="28">
        <f t="shared" ca="1" si="6"/>
        <v>36</v>
      </c>
      <c r="H238" s="28">
        <v>3</v>
      </c>
      <c r="I238" s="25">
        <f t="shared" ca="1" si="7"/>
        <v>108</v>
      </c>
      <c r="J238" s="25" t="str">
        <f>VLOOKUP(F238,地区表!$D$2:$E$18,2,FALSE)</f>
        <v>办公用品</v>
      </c>
      <c r="K238" s="38" t="str">
        <f>VLOOKUP(E238,地区表!$A$2:$C$255,3,FALSE)</f>
        <v>中南</v>
      </c>
    </row>
    <row r="239" spans="1:11" ht="15.6">
      <c r="A239" s="28" t="s">
        <v>318</v>
      </c>
      <c r="B239" s="29">
        <v>45082.914359466398</v>
      </c>
      <c r="C239" s="29">
        <v>45087.119784404298</v>
      </c>
      <c r="D239" s="28" t="s">
        <v>94</v>
      </c>
      <c r="E239" s="28" t="s">
        <v>319</v>
      </c>
      <c r="F239" s="28" t="s">
        <v>130</v>
      </c>
      <c r="G239" s="28">
        <f t="shared" ca="1" si="6"/>
        <v>80</v>
      </c>
      <c r="H239" s="28">
        <v>2</v>
      </c>
      <c r="I239" s="25">
        <f t="shared" ca="1" si="7"/>
        <v>160</v>
      </c>
      <c r="J239" s="25" t="str">
        <f>VLOOKUP(F239,地区表!$D$2:$E$18,2,FALSE)</f>
        <v>家具</v>
      </c>
      <c r="K239" s="38" t="str">
        <f>VLOOKUP(E239,地区表!$A$2:$C$255,3,FALSE)</f>
        <v>东北</v>
      </c>
    </row>
    <row r="240" spans="1:11" ht="15.6">
      <c r="A240" s="28" t="s">
        <v>320</v>
      </c>
      <c r="B240" s="29">
        <v>44270.980585503501</v>
      </c>
      <c r="C240" s="29">
        <v>44272.971853771603</v>
      </c>
      <c r="D240" s="28" t="s">
        <v>94</v>
      </c>
      <c r="E240" s="28" t="s">
        <v>321</v>
      </c>
      <c r="F240" s="28" t="s">
        <v>125</v>
      </c>
      <c r="G240" s="28">
        <f t="shared" ca="1" si="6"/>
        <v>17</v>
      </c>
      <c r="H240" s="28">
        <v>3</v>
      </c>
      <c r="I240" s="25">
        <f t="shared" ca="1" si="7"/>
        <v>51</v>
      </c>
      <c r="J240" s="25" t="str">
        <f>VLOOKUP(F240,地区表!$D$2:$E$18,2,FALSE)</f>
        <v>办公用品</v>
      </c>
      <c r="K240" s="38" t="str">
        <f>VLOOKUP(E240,地区表!$A$2:$C$255,3,FALSE)</f>
        <v>华北</v>
      </c>
    </row>
    <row r="241" spans="1:11" ht="15.6">
      <c r="A241" s="28" t="s">
        <v>322</v>
      </c>
      <c r="B241" s="29">
        <v>44538.645151212499</v>
      </c>
      <c r="C241" s="29">
        <v>44542.913438187898</v>
      </c>
      <c r="D241" s="28" t="s">
        <v>94</v>
      </c>
      <c r="E241" s="28" t="s">
        <v>323</v>
      </c>
      <c r="F241" s="28" t="s">
        <v>106</v>
      </c>
      <c r="G241" s="28">
        <f t="shared" ca="1" si="6"/>
        <v>47</v>
      </c>
      <c r="H241" s="28">
        <v>2</v>
      </c>
      <c r="I241" s="25">
        <f t="shared" ca="1" si="7"/>
        <v>94</v>
      </c>
      <c r="J241" s="25" t="str">
        <f>VLOOKUP(F241,地区表!$D$2:$E$18,2,FALSE)</f>
        <v>办公用品</v>
      </c>
      <c r="K241" s="38" t="str">
        <f>VLOOKUP(E241,地区表!$A$2:$C$255,3,FALSE)</f>
        <v>东北</v>
      </c>
    </row>
    <row r="242" spans="1:11" ht="15.6">
      <c r="A242" s="28" t="s">
        <v>324</v>
      </c>
      <c r="B242" s="29">
        <v>45234.011787155498</v>
      </c>
      <c r="C242" s="29">
        <v>45236.843840449001</v>
      </c>
      <c r="D242" s="28" t="s">
        <v>98</v>
      </c>
      <c r="E242" s="28" t="s">
        <v>325</v>
      </c>
      <c r="F242" s="28" t="s">
        <v>112</v>
      </c>
      <c r="G242" s="28">
        <f t="shared" ca="1" si="6"/>
        <v>52</v>
      </c>
      <c r="H242" s="28">
        <v>3</v>
      </c>
      <c r="I242" s="25">
        <f t="shared" ca="1" si="7"/>
        <v>156</v>
      </c>
      <c r="J242" s="25" t="str">
        <f>VLOOKUP(F242,地区表!$D$2:$E$18,2,FALSE)</f>
        <v>办公用品</v>
      </c>
      <c r="K242" s="38" t="str">
        <f>VLOOKUP(E242,地区表!$A$2:$C$255,3,FALSE)</f>
        <v>华北</v>
      </c>
    </row>
    <row r="243" spans="1:11" ht="15.6">
      <c r="A243" s="28" t="s">
        <v>324</v>
      </c>
      <c r="B243" s="29">
        <v>45234.165128188302</v>
      </c>
      <c r="C243" s="29">
        <v>45236.017074569201</v>
      </c>
      <c r="D243" s="28" t="s">
        <v>98</v>
      </c>
      <c r="E243" s="28" t="s">
        <v>325</v>
      </c>
      <c r="F243" s="28" t="s">
        <v>101</v>
      </c>
      <c r="G243" s="28">
        <f t="shared" ca="1" si="6"/>
        <v>59</v>
      </c>
      <c r="H243" s="28">
        <v>1</v>
      </c>
      <c r="I243" s="25">
        <f t="shared" ca="1" si="7"/>
        <v>59</v>
      </c>
      <c r="J243" s="25" t="str">
        <f>VLOOKUP(F243,地区表!$D$2:$E$18,2,FALSE)</f>
        <v>办公用品</v>
      </c>
      <c r="K243" s="38" t="str">
        <f>VLOOKUP(E243,地区表!$A$2:$C$255,3,FALSE)</f>
        <v>华北</v>
      </c>
    </row>
    <row r="244" spans="1:11" ht="15.6">
      <c r="A244" s="28" t="s">
        <v>326</v>
      </c>
      <c r="B244" s="29">
        <v>44298.188924465299</v>
      </c>
      <c r="C244" s="29">
        <v>44304.716469308201</v>
      </c>
      <c r="D244" s="28" t="s">
        <v>114</v>
      </c>
      <c r="E244" s="28" t="s">
        <v>124</v>
      </c>
      <c r="F244" s="28" t="s">
        <v>122</v>
      </c>
      <c r="G244" s="28">
        <f t="shared" ca="1" si="6"/>
        <v>13</v>
      </c>
      <c r="H244" s="28">
        <v>3</v>
      </c>
      <c r="I244" s="25">
        <f t="shared" ca="1" si="7"/>
        <v>39</v>
      </c>
      <c r="J244" s="25" t="str">
        <f>VLOOKUP(F244,地区表!$D$2:$E$18,2,FALSE)</f>
        <v>技术</v>
      </c>
      <c r="K244" s="38" t="str">
        <f>VLOOKUP(E244,地区表!$A$2:$C$255,3,FALSE)</f>
        <v>华东</v>
      </c>
    </row>
    <row r="245" spans="1:11" ht="15.6">
      <c r="A245" s="28" t="s">
        <v>327</v>
      </c>
      <c r="B245" s="29">
        <v>44885.307738649397</v>
      </c>
      <c r="C245" s="29">
        <v>44889.843007117801</v>
      </c>
      <c r="D245" s="28" t="s">
        <v>98</v>
      </c>
      <c r="E245" s="28" t="s">
        <v>328</v>
      </c>
      <c r="F245" s="28" t="s">
        <v>125</v>
      </c>
      <c r="G245" s="28">
        <f t="shared" ca="1" si="6"/>
        <v>19</v>
      </c>
      <c r="H245" s="28">
        <v>6</v>
      </c>
      <c r="I245" s="25">
        <f t="shared" ca="1" si="7"/>
        <v>114</v>
      </c>
      <c r="J245" s="25" t="str">
        <f>VLOOKUP(F245,地区表!$D$2:$E$18,2,FALSE)</f>
        <v>办公用品</v>
      </c>
      <c r="K245" s="38" t="str">
        <f>VLOOKUP(E245,地区表!$A$2:$C$255,3,FALSE)</f>
        <v>华东</v>
      </c>
    </row>
    <row r="246" spans="1:11" ht="15.6">
      <c r="A246" s="28" t="s">
        <v>327</v>
      </c>
      <c r="B246" s="29">
        <v>44885.743427354602</v>
      </c>
      <c r="C246" s="29">
        <v>44889.918569039299</v>
      </c>
      <c r="D246" s="28" t="s">
        <v>98</v>
      </c>
      <c r="E246" s="28" t="s">
        <v>328</v>
      </c>
      <c r="F246" s="28" t="s">
        <v>122</v>
      </c>
      <c r="G246" s="28">
        <f t="shared" ca="1" si="6"/>
        <v>35</v>
      </c>
      <c r="H246" s="28">
        <v>4</v>
      </c>
      <c r="I246" s="25">
        <f t="shared" ca="1" si="7"/>
        <v>140</v>
      </c>
      <c r="J246" s="25" t="str">
        <f>VLOOKUP(F246,地区表!$D$2:$E$18,2,FALSE)</f>
        <v>技术</v>
      </c>
      <c r="K246" s="38" t="str">
        <f>VLOOKUP(E246,地区表!$A$2:$C$255,3,FALSE)</f>
        <v>华东</v>
      </c>
    </row>
    <row r="247" spans="1:11" ht="15.6">
      <c r="A247" s="28" t="s">
        <v>329</v>
      </c>
      <c r="B247" s="29">
        <v>44596.804243316503</v>
      </c>
      <c r="C247" s="29">
        <v>44600.906260212403</v>
      </c>
      <c r="D247" s="28" t="s">
        <v>98</v>
      </c>
      <c r="E247" s="28" t="s">
        <v>330</v>
      </c>
      <c r="F247" s="28" t="s">
        <v>111</v>
      </c>
      <c r="G247" s="28">
        <f t="shared" ca="1" si="6"/>
        <v>12</v>
      </c>
      <c r="H247" s="28">
        <v>3</v>
      </c>
      <c r="I247" s="25">
        <f t="shared" ca="1" si="7"/>
        <v>36</v>
      </c>
      <c r="J247" s="25" t="str">
        <f>VLOOKUP(F247,地区表!$D$2:$E$18,2,FALSE)</f>
        <v>办公用品</v>
      </c>
      <c r="K247" s="38" t="str">
        <f>VLOOKUP(E247,地区表!$A$2:$C$255,3,FALSE)</f>
        <v>东北</v>
      </c>
    </row>
    <row r="248" spans="1:11" ht="15.6">
      <c r="A248" s="28" t="s">
        <v>329</v>
      </c>
      <c r="B248" s="29">
        <v>44596.267255507199</v>
      </c>
      <c r="C248" s="29">
        <v>44600.0053716654</v>
      </c>
      <c r="D248" s="28" t="s">
        <v>98</v>
      </c>
      <c r="E248" s="28" t="s">
        <v>330</v>
      </c>
      <c r="F248" s="28" t="s">
        <v>135</v>
      </c>
      <c r="G248" s="28">
        <f t="shared" ca="1" si="6"/>
        <v>62</v>
      </c>
      <c r="H248" s="28">
        <v>2</v>
      </c>
      <c r="I248" s="25">
        <f t="shared" ca="1" si="7"/>
        <v>124</v>
      </c>
      <c r="J248" s="25" t="str">
        <f>VLOOKUP(F248,地区表!$D$2:$E$18,2,FALSE)</f>
        <v>办公用品</v>
      </c>
      <c r="K248" s="38" t="str">
        <f>VLOOKUP(E248,地区表!$A$2:$C$255,3,FALSE)</f>
        <v>东北</v>
      </c>
    </row>
    <row r="249" spans="1:11" ht="15.6">
      <c r="A249" s="28" t="s">
        <v>331</v>
      </c>
      <c r="B249" s="29">
        <v>44232.1191625172</v>
      </c>
      <c r="C249" s="29">
        <v>44235.782591792398</v>
      </c>
      <c r="D249" s="28" t="s">
        <v>98</v>
      </c>
      <c r="E249" s="28" t="s">
        <v>332</v>
      </c>
      <c r="F249" s="28" t="s">
        <v>109</v>
      </c>
      <c r="G249" s="28">
        <f t="shared" ca="1" si="6"/>
        <v>92</v>
      </c>
      <c r="H249" s="28">
        <v>3</v>
      </c>
      <c r="I249" s="25">
        <f t="shared" ca="1" si="7"/>
        <v>276</v>
      </c>
      <c r="J249" s="25" t="str">
        <f>VLOOKUP(F249,地区表!$D$2:$E$18,2,FALSE)</f>
        <v>技术</v>
      </c>
      <c r="K249" s="38" t="str">
        <f>VLOOKUP(E249,地区表!$A$2:$C$255,3,FALSE)</f>
        <v>中南</v>
      </c>
    </row>
    <row r="250" spans="1:11" ht="15.6">
      <c r="A250" s="28" t="s">
        <v>331</v>
      </c>
      <c r="B250" s="29">
        <v>44232.014434020297</v>
      </c>
      <c r="C250" s="29">
        <v>44235.269447846797</v>
      </c>
      <c r="D250" s="28" t="s">
        <v>98</v>
      </c>
      <c r="E250" s="28" t="s">
        <v>332</v>
      </c>
      <c r="F250" s="28" t="s">
        <v>125</v>
      </c>
      <c r="G250" s="28">
        <f t="shared" ca="1" si="6"/>
        <v>44</v>
      </c>
      <c r="H250" s="28">
        <v>4</v>
      </c>
      <c r="I250" s="25">
        <f t="shared" ca="1" si="7"/>
        <v>176</v>
      </c>
      <c r="J250" s="25" t="str">
        <f>VLOOKUP(F250,地区表!$D$2:$E$18,2,FALSE)</f>
        <v>办公用品</v>
      </c>
      <c r="K250" s="38" t="str">
        <f>VLOOKUP(E250,地区表!$A$2:$C$255,3,FALSE)</f>
        <v>中南</v>
      </c>
    </row>
    <row r="251" spans="1:11" ht="15.6">
      <c r="A251" s="28" t="s">
        <v>331</v>
      </c>
      <c r="B251" s="29">
        <v>44232.692535571201</v>
      </c>
      <c r="C251" s="29">
        <v>44235.117287991401</v>
      </c>
      <c r="D251" s="28" t="s">
        <v>98</v>
      </c>
      <c r="E251" s="28" t="s">
        <v>332</v>
      </c>
      <c r="F251" s="28" t="s">
        <v>96</v>
      </c>
      <c r="G251" s="28">
        <f t="shared" ca="1" si="6"/>
        <v>13</v>
      </c>
      <c r="H251" s="28">
        <v>1</v>
      </c>
      <c r="I251" s="25">
        <f t="shared" ca="1" si="7"/>
        <v>13</v>
      </c>
      <c r="J251" s="25" t="str">
        <f>VLOOKUP(F251,地区表!$D$2:$E$18,2,FALSE)</f>
        <v>办公用品</v>
      </c>
      <c r="K251" s="38" t="str">
        <f>VLOOKUP(E251,地区表!$A$2:$C$255,3,FALSE)</f>
        <v>中南</v>
      </c>
    </row>
    <row r="252" spans="1:11" ht="15.6">
      <c r="A252" s="28" t="s">
        <v>333</v>
      </c>
      <c r="B252" s="29">
        <v>44700.020003517202</v>
      </c>
      <c r="C252" s="29">
        <v>44704.529654303296</v>
      </c>
      <c r="D252" s="28" t="s">
        <v>98</v>
      </c>
      <c r="E252" s="28" t="s">
        <v>164</v>
      </c>
      <c r="F252" s="28" t="s">
        <v>112</v>
      </c>
      <c r="G252" s="28">
        <f t="shared" ca="1" si="6"/>
        <v>27</v>
      </c>
      <c r="H252" s="28">
        <v>6</v>
      </c>
      <c r="I252" s="25">
        <f t="shared" ca="1" si="7"/>
        <v>162</v>
      </c>
      <c r="J252" s="25" t="str">
        <f>VLOOKUP(F252,地区表!$D$2:$E$18,2,FALSE)</f>
        <v>办公用品</v>
      </c>
      <c r="K252" s="38" t="str">
        <f>VLOOKUP(E252,地区表!$A$2:$C$255,3,FALSE)</f>
        <v>西北</v>
      </c>
    </row>
    <row r="253" spans="1:11" ht="15.6">
      <c r="A253" s="28" t="s">
        <v>334</v>
      </c>
      <c r="B253" s="29">
        <v>44599.0691519385</v>
      </c>
      <c r="C253" s="29">
        <v>44602.380845500003</v>
      </c>
      <c r="D253" s="28" t="s">
        <v>98</v>
      </c>
      <c r="E253" s="28" t="s">
        <v>152</v>
      </c>
      <c r="F253" s="28" t="s">
        <v>109</v>
      </c>
      <c r="G253" s="28">
        <f t="shared" ca="1" si="6"/>
        <v>47</v>
      </c>
      <c r="H253" s="28">
        <v>3</v>
      </c>
      <c r="I253" s="25">
        <f t="shared" ca="1" si="7"/>
        <v>141</v>
      </c>
      <c r="J253" s="25" t="str">
        <f>VLOOKUP(F253,地区表!$D$2:$E$18,2,FALSE)</f>
        <v>技术</v>
      </c>
      <c r="K253" s="38" t="str">
        <f>VLOOKUP(E253,地区表!$A$2:$C$255,3,FALSE)</f>
        <v>华东</v>
      </c>
    </row>
    <row r="254" spans="1:11" ht="15.6">
      <c r="A254" s="28" t="s">
        <v>334</v>
      </c>
      <c r="B254" s="29">
        <v>44599.613093112202</v>
      </c>
      <c r="C254" s="29">
        <v>44602.745798804601</v>
      </c>
      <c r="D254" s="28" t="s">
        <v>98</v>
      </c>
      <c r="E254" s="28" t="s">
        <v>152</v>
      </c>
      <c r="F254" s="28" t="s">
        <v>121</v>
      </c>
      <c r="G254" s="28">
        <f t="shared" ca="1" si="6"/>
        <v>30</v>
      </c>
      <c r="H254" s="28">
        <v>2</v>
      </c>
      <c r="I254" s="25">
        <f t="shared" ca="1" si="7"/>
        <v>60</v>
      </c>
      <c r="J254" s="25" t="str">
        <f>VLOOKUP(F254,地区表!$D$2:$E$18,2,FALSE)</f>
        <v>技术</v>
      </c>
      <c r="K254" s="38" t="str">
        <f>VLOOKUP(E254,地区表!$A$2:$C$255,3,FALSE)</f>
        <v>华东</v>
      </c>
    </row>
    <row r="255" spans="1:11" ht="15.6">
      <c r="A255" s="28" t="s">
        <v>335</v>
      </c>
      <c r="B255" s="29">
        <v>45113.167874155297</v>
      </c>
      <c r="C255" s="29">
        <v>45115.946992776597</v>
      </c>
      <c r="D255" s="28" t="s">
        <v>94</v>
      </c>
      <c r="E255" s="28" t="s">
        <v>117</v>
      </c>
      <c r="F255" s="28" t="s">
        <v>112</v>
      </c>
      <c r="G255" s="28">
        <f t="shared" ca="1" si="6"/>
        <v>17</v>
      </c>
      <c r="H255" s="28">
        <v>4</v>
      </c>
      <c r="I255" s="25">
        <f t="shared" ca="1" si="7"/>
        <v>68</v>
      </c>
      <c r="J255" s="25" t="str">
        <f>VLOOKUP(F255,地区表!$D$2:$E$18,2,FALSE)</f>
        <v>办公用品</v>
      </c>
      <c r="K255" s="38" t="str">
        <f>VLOOKUP(E255,地区表!$A$2:$C$255,3,FALSE)</f>
        <v>东北</v>
      </c>
    </row>
    <row r="256" spans="1:11" ht="15.6">
      <c r="A256" s="28" t="s">
        <v>335</v>
      </c>
      <c r="B256" s="29">
        <v>45113.815630354104</v>
      </c>
      <c r="C256" s="29">
        <v>45115.211467120796</v>
      </c>
      <c r="D256" s="28" t="s">
        <v>94</v>
      </c>
      <c r="E256" s="28" t="s">
        <v>117</v>
      </c>
      <c r="F256" s="28" t="s">
        <v>122</v>
      </c>
      <c r="G256" s="28">
        <f t="shared" ca="1" si="6"/>
        <v>61</v>
      </c>
      <c r="H256" s="28">
        <v>7</v>
      </c>
      <c r="I256" s="25">
        <f t="shared" ca="1" si="7"/>
        <v>427</v>
      </c>
      <c r="J256" s="25" t="str">
        <f>VLOOKUP(F256,地区表!$D$2:$E$18,2,FALSE)</f>
        <v>技术</v>
      </c>
      <c r="K256" s="38" t="str">
        <f>VLOOKUP(E256,地区表!$A$2:$C$255,3,FALSE)</f>
        <v>东北</v>
      </c>
    </row>
    <row r="257" spans="1:11" ht="15.6">
      <c r="A257" s="28" t="s">
        <v>336</v>
      </c>
      <c r="B257" s="29">
        <v>44815.104566630398</v>
      </c>
      <c r="C257" s="29">
        <v>44819.244750205398</v>
      </c>
      <c r="D257" s="28" t="s">
        <v>94</v>
      </c>
      <c r="E257" s="28" t="s">
        <v>337</v>
      </c>
      <c r="F257" s="28" t="s">
        <v>96</v>
      </c>
      <c r="G257" s="28">
        <f t="shared" ca="1" si="6"/>
        <v>84</v>
      </c>
      <c r="H257" s="28">
        <v>3</v>
      </c>
      <c r="I257" s="25">
        <f t="shared" ca="1" si="7"/>
        <v>252</v>
      </c>
      <c r="J257" s="25" t="str">
        <f>VLOOKUP(F257,地区表!$D$2:$E$18,2,FALSE)</f>
        <v>办公用品</v>
      </c>
      <c r="K257" s="38" t="str">
        <f>VLOOKUP(E257,地区表!$A$2:$C$255,3,FALSE)</f>
        <v>西南</v>
      </c>
    </row>
    <row r="258" spans="1:11" ht="15.6">
      <c r="A258" s="28" t="s">
        <v>338</v>
      </c>
      <c r="B258" s="29">
        <v>44431.983364116597</v>
      </c>
      <c r="C258" s="29">
        <v>44431.373849306299</v>
      </c>
      <c r="D258" s="28" t="s">
        <v>98</v>
      </c>
      <c r="E258" s="28" t="s">
        <v>339</v>
      </c>
      <c r="F258" s="28" t="s">
        <v>100</v>
      </c>
      <c r="G258" s="28">
        <f t="shared" ref="G258:G321" ca="1" si="8">RANDBETWEEN(10,100)</f>
        <v>84</v>
      </c>
      <c r="H258" s="28">
        <v>2</v>
      </c>
      <c r="I258" s="25">
        <f t="shared" ref="I258:I321" ca="1" si="9">G258*H258</f>
        <v>168</v>
      </c>
      <c r="J258" s="25" t="str">
        <f>VLOOKUP(F258,地区表!$D$2:$E$18,2,FALSE)</f>
        <v>办公用品</v>
      </c>
      <c r="K258" s="38" t="str">
        <f>VLOOKUP(E258,地区表!$A$2:$C$255,3,FALSE)</f>
        <v>东北</v>
      </c>
    </row>
    <row r="259" spans="1:11" ht="15.6">
      <c r="A259" s="28" t="s">
        <v>338</v>
      </c>
      <c r="B259" s="29">
        <v>44431.333894789801</v>
      </c>
      <c r="C259" s="29">
        <v>44431.893248649198</v>
      </c>
      <c r="D259" s="28" t="s">
        <v>98</v>
      </c>
      <c r="E259" s="28" t="s">
        <v>339</v>
      </c>
      <c r="F259" s="28" t="s">
        <v>110</v>
      </c>
      <c r="G259" s="28">
        <f t="shared" ca="1" si="8"/>
        <v>45</v>
      </c>
      <c r="H259" s="28">
        <v>4</v>
      </c>
      <c r="I259" s="25">
        <f t="shared" ca="1" si="9"/>
        <v>180</v>
      </c>
      <c r="J259" s="25" t="str">
        <f>VLOOKUP(F259,地区表!$D$2:$E$18,2,FALSE)</f>
        <v>家具</v>
      </c>
      <c r="K259" s="38" t="str">
        <f>VLOOKUP(E259,地区表!$A$2:$C$255,3,FALSE)</f>
        <v>东北</v>
      </c>
    </row>
    <row r="260" spans="1:11" ht="15.6">
      <c r="A260" s="28" t="s">
        <v>340</v>
      </c>
      <c r="B260" s="29">
        <v>44772.064845681904</v>
      </c>
      <c r="C260" s="29">
        <v>44779.800462135703</v>
      </c>
      <c r="D260" s="28" t="s">
        <v>98</v>
      </c>
      <c r="E260" s="28" t="s">
        <v>341</v>
      </c>
      <c r="F260" s="28" t="s">
        <v>125</v>
      </c>
      <c r="G260" s="28">
        <f t="shared" ca="1" si="8"/>
        <v>60</v>
      </c>
      <c r="H260" s="28">
        <v>4</v>
      </c>
      <c r="I260" s="25">
        <f t="shared" ca="1" si="9"/>
        <v>240</v>
      </c>
      <c r="J260" s="25" t="str">
        <f>VLOOKUP(F260,地区表!$D$2:$E$18,2,FALSE)</f>
        <v>办公用品</v>
      </c>
      <c r="K260" s="38" t="str">
        <f>VLOOKUP(E260,地区表!$A$2:$C$255,3,FALSE)</f>
        <v>华东</v>
      </c>
    </row>
    <row r="261" spans="1:11" ht="15.6">
      <c r="A261" s="28" t="s">
        <v>340</v>
      </c>
      <c r="B261" s="29">
        <v>44772.196478987004</v>
      </c>
      <c r="C261" s="29">
        <v>44779.340292478999</v>
      </c>
      <c r="D261" s="28" t="s">
        <v>98</v>
      </c>
      <c r="E261" s="28" t="s">
        <v>341</v>
      </c>
      <c r="F261" s="28" t="s">
        <v>111</v>
      </c>
      <c r="G261" s="28">
        <f t="shared" ca="1" si="8"/>
        <v>60</v>
      </c>
      <c r="H261" s="28">
        <v>1</v>
      </c>
      <c r="I261" s="25">
        <f t="shared" ca="1" si="9"/>
        <v>60</v>
      </c>
      <c r="J261" s="25" t="str">
        <f>VLOOKUP(F261,地区表!$D$2:$E$18,2,FALSE)</f>
        <v>办公用品</v>
      </c>
      <c r="K261" s="38" t="str">
        <f>VLOOKUP(E261,地区表!$A$2:$C$255,3,FALSE)</f>
        <v>华东</v>
      </c>
    </row>
    <row r="262" spans="1:11" ht="15.6">
      <c r="A262" s="28" t="s">
        <v>342</v>
      </c>
      <c r="B262" s="29">
        <v>44319.416649087303</v>
      </c>
      <c r="C262" s="29">
        <v>44323.788674715397</v>
      </c>
      <c r="D262" s="28" t="s">
        <v>94</v>
      </c>
      <c r="E262" s="28" t="s">
        <v>343</v>
      </c>
      <c r="F262" s="28" t="s">
        <v>110</v>
      </c>
      <c r="G262" s="28">
        <f t="shared" ca="1" si="8"/>
        <v>70</v>
      </c>
      <c r="H262" s="28">
        <v>6</v>
      </c>
      <c r="I262" s="25">
        <f t="shared" ca="1" si="9"/>
        <v>420</v>
      </c>
      <c r="J262" s="25" t="str">
        <f>VLOOKUP(F262,地区表!$D$2:$E$18,2,FALSE)</f>
        <v>家具</v>
      </c>
      <c r="K262" s="38" t="str">
        <f>VLOOKUP(E262,地区表!$A$2:$C$255,3,FALSE)</f>
        <v>华东</v>
      </c>
    </row>
    <row r="263" spans="1:11" ht="15.6">
      <c r="A263" s="28" t="s">
        <v>342</v>
      </c>
      <c r="B263" s="29">
        <v>44319.353023568103</v>
      </c>
      <c r="C263" s="29">
        <v>44323.012379599</v>
      </c>
      <c r="D263" s="28" t="s">
        <v>94</v>
      </c>
      <c r="E263" s="28" t="s">
        <v>343</v>
      </c>
      <c r="F263" s="28" t="s">
        <v>135</v>
      </c>
      <c r="G263" s="28">
        <f t="shared" ca="1" si="8"/>
        <v>95</v>
      </c>
      <c r="H263" s="28">
        <v>4</v>
      </c>
      <c r="I263" s="25">
        <f t="shared" ca="1" si="9"/>
        <v>380</v>
      </c>
      <c r="J263" s="25" t="str">
        <f>VLOOKUP(F263,地区表!$D$2:$E$18,2,FALSE)</f>
        <v>办公用品</v>
      </c>
      <c r="K263" s="38" t="str">
        <f>VLOOKUP(E263,地区表!$A$2:$C$255,3,FALSE)</f>
        <v>华东</v>
      </c>
    </row>
    <row r="264" spans="1:11" ht="15.6">
      <c r="A264" s="28" t="s">
        <v>342</v>
      </c>
      <c r="B264" s="29">
        <v>44319.436436177501</v>
      </c>
      <c r="C264" s="29">
        <v>44323.902858019901</v>
      </c>
      <c r="D264" s="28" t="s">
        <v>94</v>
      </c>
      <c r="E264" s="28" t="s">
        <v>343</v>
      </c>
      <c r="F264" s="28" t="s">
        <v>109</v>
      </c>
      <c r="G264" s="28">
        <f t="shared" ca="1" si="8"/>
        <v>19</v>
      </c>
      <c r="H264" s="28">
        <v>4</v>
      </c>
      <c r="I264" s="25">
        <f t="shared" ca="1" si="9"/>
        <v>76</v>
      </c>
      <c r="J264" s="25" t="str">
        <f>VLOOKUP(F264,地区表!$D$2:$E$18,2,FALSE)</f>
        <v>技术</v>
      </c>
      <c r="K264" s="38" t="str">
        <f>VLOOKUP(E264,地区表!$A$2:$C$255,3,FALSE)</f>
        <v>华东</v>
      </c>
    </row>
    <row r="265" spans="1:11" ht="15.6">
      <c r="A265" s="28" t="s">
        <v>342</v>
      </c>
      <c r="B265" s="29">
        <v>44319.846773182602</v>
      </c>
      <c r="C265" s="29">
        <v>44323.501392054903</v>
      </c>
      <c r="D265" s="28" t="s">
        <v>94</v>
      </c>
      <c r="E265" s="28" t="s">
        <v>343</v>
      </c>
      <c r="F265" s="28" t="s">
        <v>110</v>
      </c>
      <c r="G265" s="28">
        <f t="shared" ca="1" si="8"/>
        <v>86</v>
      </c>
      <c r="H265" s="28">
        <v>5</v>
      </c>
      <c r="I265" s="25">
        <f t="shared" ca="1" si="9"/>
        <v>430</v>
      </c>
      <c r="J265" s="25" t="str">
        <f>VLOOKUP(F265,地区表!$D$2:$E$18,2,FALSE)</f>
        <v>家具</v>
      </c>
      <c r="K265" s="38" t="str">
        <f>VLOOKUP(E265,地区表!$A$2:$C$255,3,FALSE)</f>
        <v>华东</v>
      </c>
    </row>
    <row r="266" spans="1:11" ht="15.6">
      <c r="A266" s="28" t="s">
        <v>344</v>
      </c>
      <c r="B266" s="29">
        <v>44211.554964895098</v>
      </c>
      <c r="C266" s="29">
        <v>44217.451562774098</v>
      </c>
      <c r="D266" s="28" t="s">
        <v>98</v>
      </c>
      <c r="E266" s="28" t="s">
        <v>341</v>
      </c>
      <c r="F266" s="28" t="s">
        <v>111</v>
      </c>
      <c r="G266" s="28">
        <f t="shared" ca="1" si="8"/>
        <v>32</v>
      </c>
      <c r="H266" s="28">
        <v>3</v>
      </c>
      <c r="I266" s="25">
        <f t="shared" ca="1" si="9"/>
        <v>96</v>
      </c>
      <c r="J266" s="25" t="str">
        <f>VLOOKUP(F266,地区表!$D$2:$E$18,2,FALSE)</f>
        <v>办公用品</v>
      </c>
      <c r="K266" s="38" t="str">
        <f>VLOOKUP(E266,地区表!$A$2:$C$255,3,FALSE)</f>
        <v>华东</v>
      </c>
    </row>
    <row r="267" spans="1:11" ht="15.6">
      <c r="A267" s="28" t="s">
        <v>344</v>
      </c>
      <c r="B267" s="29">
        <v>44211.809841855596</v>
      </c>
      <c r="C267" s="29">
        <v>44217.184258103996</v>
      </c>
      <c r="D267" s="28" t="s">
        <v>98</v>
      </c>
      <c r="E267" s="28" t="s">
        <v>341</v>
      </c>
      <c r="F267" s="28" t="s">
        <v>122</v>
      </c>
      <c r="G267" s="28">
        <f t="shared" ca="1" si="8"/>
        <v>30</v>
      </c>
      <c r="H267" s="28">
        <v>3</v>
      </c>
      <c r="I267" s="25">
        <f t="shared" ca="1" si="9"/>
        <v>90</v>
      </c>
      <c r="J267" s="25" t="str">
        <f>VLOOKUP(F267,地区表!$D$2:$E$18,2,FALSE)</f>
        <v>技术</v>
      </c>
      <c r="K267" s="38" t="str">
        <f>VLOOKUP(E267,地区表!$A$2:$C$255,3,FALSE)</f>
        <v>华东</v>
      </c>
    </row>
    <row r="268" spans="1:11" ht="15.6">
      <c r="A268" s="28" t="s">
        <v>345</v>
      </c>
      <c r="B268" s="29">
        <v>45272.814992582302</v>
      </c>
      <c r="C268" s="29">
        <v>45274.6660895557</v>
      </c>
      <c r="D268" s="28" t="s">
        <v>94</v>
      </c>
      <c r="E268" s="28" t="s">
        <v>292</v>
      </c>
      <c r="F268" s="28" t="s">
        <v>122</v>
      </c>
      <c r="G268" s="28">
        <f t="shared" ca="1" si="8"/>
        <v>99</v>
      </c>
      <c r="H268" s="28">
        <v>2</v>
      </c>
      <c r="I268" s="25">
        <f t="shared" ca="1" si="9"/>
        <v>198</v>
      </c>
      <c r="J268" s="25" t="str">
        <f>VLOOKUP(F268,地区表!$D$2:$E$18,2,FALSE)</f>
        <v>技术</v>
      </c>
      <c r="K268" s="38" t="str">
        <f>VLOOKUP(E268,地区表!$A$2:$C$255,3,FALSE)</f>
        <v>西南</v>
      </c>
    </row>
    <row r="269" spans="1:11" ht="15.6">
      <c r="A269" s="28" t="s">
        <v>346</v>
      </c>
      <c r="B269" s="29">
        <v>44405.937985374803</v>
      </c>
      <c r="C269" s="29">
        <v>44407.420830359399</v>
      </c>
      <c r="D269" s="28" t="s">
        <v>94</v>
      </c>
      <c r="E269" s="28" t="s">
        <v>213</v>
      </c>
      <c r="F269" s="28" t="s">
        <v>131</v>
      </c>
      <c r="G269" s="28">
        <f t="shared" ca="1" si="8"/>
        <v>91</v>
      </c>
      <c r="H269" s="28">
        <v>2</v>
      </c>
      <c r="I269" s="25">
        <f t="shared" ca="1" si="9"/>
        <v>182</v>
      </c>
      <c r="J269" s="25" t="str">
        <f>VLOOKUP(F269,地区表!$D$2:$E$18,2,FALSE)</f>
        <v>家具</v>
      </c>
      <c r="K269" s="38" t="str">
        <f>VLOOKUP(E269,地区表!$A$2:$C$255,3,FALSE)</f>
        <v>华东</v>
      </c>
    </row>
    <row r="270" spans="1:11" ht="15.6">
      <c r="A270" s="28" t="s">
        <v>347</v>
      </c>
      <c r="B270" s="29">
        <v>44833.719002950304</v>
      </c>
      <c r="C270" s="29">
        <v>44835.209743437503</v>
      </c>
      <c r="D270" s="28" t="s">
        <v>114</v>
      </c>
      <c r="E270" s="28" t="s">
        <v>233</v>
      </c>
      <c r="F270" s="28" t="s">
        <v>130</v>
      </c>
      <c r="G270" s="28">
        <f t="shared" ca="1" si="8"/>
        <v>48</v>
      </c>
      <c r="H270" s="28">
        <v>7</v>
      </c>
      <c r="I270" s="25">
        <f t="shared" ca="1" si="9"/>
        <v>336</v>
      </c>
      <c r="J270" s="25" t="str">
        <f>VLOOKUP(F270,地区表!$D$2:$E$18,2,FALSE)</f>
        <v>家具</v>
      </c>
      <c r="K270" s="38" t="str">
        <f>VLOOKUP(E270,地区表!$A$2:$C$255,3,FALSE)</f>
        <v>西北</v>
      </c>
    </row>
    <row r="271" spans="1:11" ht="15.6">
      <c r="A271" s="28" t="s">
        <v>348</v>
      </c>
      <c r="B271" s="29">
        <v>45253.348769274402</v>
      </c>
      <c r="C271" s="29">
        <v>45257.802385898904</v>
      </c>
      <c r="D271" s="28" t="s">
        <v>98</v>
      </c>
      <c r="E271" s="28" t="s">
        <v>349</v>
      </c>
      <c r="F271" s="28" t="s">
        <v>100</v>
      </c>
      <c r="G271" s="28">
        <f t="shared" ca="1" si="8"/>
        <v>73</v>
      </c>
      <c r="H271" s="28">
        <v>6</v>
      </c>
      <c r="I271" s="25">
        <f t="shared" ca="1" si="9"/>
        <v>438</v>
      </c>
      <c r="J271" s="25" t="str">
        <f>VLOOKUP(F271,地区表!$D$2:$E$18,2,FALSE)</f>
        <v>办公用品</v>
      </c>
      <c r="K271" s="38" t="str">
        <f>VLOOKUP(E271,地区表!$A$2:$C$255,3,FALSE)</f>
        <v>华东</v>
      </c>
    </row>
    <row r="272" spans="1:11" ht="15.6">
      <c r="A272" s="28" t="s">
        <v>350</v>
      </c>
      <c r="B272" s="29">
        <v>44608.046030897101</v>
      </c>
      <c r="C272" s="29">
        <v>44612.055019433901</v>
      </c>
      <c r="D272" s="28" t="s">
        <v>98</v>
      </c>
      <c r="E272" s="28" t="s">
        <v>181</v>
      </c>
      <c r="F272" s="28" t="s">
        <v>112</v>
      </c>
      <c r="G272" s="28">
        <f t="shared" ca="1" si="8"/>
        <v>54</v>
      </c>
      <c r="H272" s="28">
        <v>2</v>
      </c>
      <c r="I272" s="25">
        <f t="shared" ca="1" si="9"/>
        <v>108</v>
      </c>
      <c r="J272" s="25" t="str">
        <f>VLOOKUP(F272,地区表!$D$2:$E$18,2,FALSE)</f>
        <v>办公用品</v>
      </c>
      <c r="K272" s="38" t="str">
        <f>VLOOKUP(E272,地区表!$A$2:$C$255,3,FALSE)</f>
        <v>华北</v>
      </c>
    </row>
    <row r="273" spans="1:11" ht="15.6">
      <c r="A273" s="28" t="s">
        <v>350</v>
      </c>
      <c r="B273" s="29">
        <v>44608.056999300803</v>
      </c>
      <c r="C273" s="29">
        <v>44612.638781105103</v>
      </c>
      <c r="D273" s="28" t="s">
        <v>98</v>
      </c>
      <c r="E273" s="28" t="s">
        <v>181</v>
      </c>
      <c r="F273" s="28" t="s">
        <v>130</v>
      </c>
      <c r="G273" s="28">
        <f t="shared" ca="1" si="8"/>
        <v>64</v>
      </c>
      <c r="H273" s="28">
        <v>2</v>
      </c>
      <c r="I273" s="25">
        <f t="shared" ca="1" si="9"/>
        <v>128</v>
      </c>
      <c r="J273" s="25" t="str">
        <f>VLOOKUP(F273,地区表!$D$2:$E$18,2,FALSE)</f>
        <v>家具</v>
      </c>
      <c r="K273" s="38" t="str">
        <f>VLOOKUP(E273,地区表!$A$2:$C$255,3,FALSE)</f>
        <v>华北</v>
      </c>
    </row>
    <row r="274" spans="1:11" ht="15.6">
      <c r="A274" s="28" t="s">
        <v>351</v>
      </c>
      <c r="B274" s="29">
        <v>44656.546244544901</v>
      </c>
      <c r="C274" s="29">
        <v>44662.341708489497</v>
      </c>
      <c r="D274" s="28" t="s">
        <v>114</v>
      </c>
      <c r="E274" s="28" t="s">
        <v>127</v>
      </c>
      <c r="F274" s="28" t="s">
        <v>110</v>
      </c>
      <c r="G274" s="28">
        <f t="shared" ca="1" si="8"/>
        <v>20</v>
      </c>
      <c r="H274" s="28">
        <v>1</v>
      </c>
      <c r="I274" s="25">
        <f t="shared" ca="1" si="9"/>
        <v>20</v>
      </c>
      <c r="J274" s="25" t="str">
        <f>VLOOKUP(F274,地区表!$D$2:$E$18,2,FALSE)</f>
        <v>家具</v>
      </c>
      <c r="K274" s="38" t="str">
        <f>VLOOKUP(E274,地区表!$A$2:$C$255,3,FALSE)</f>
        <v>华东</v>
      </c>
    </row>
    <row r="275" spans="1:11" ht="15.6">
      <c r="A275" s="28" t="s">
        <v>351</v>
      </c>
      <c r="B275" s="29">
        <v>44656.735470773099</v>
      </c>
      <c r="C275" s="29">
        <v>44662.7044216582</v>
      </c>
      <c r="D275" s="28" t="s">
        <v>114</v>
      </c>
      <c r="E275" s="28" t="s">
        <v>127</v>
      </c>
      <c r="F275" s="28" t="s">
        <v>125</v>
      </c>
      <c r="G275" s="28">
        <f t="shared" ca="1" si="8"/>
        <v>70</v>
      </c>
      <c r="H275" s="28">
        <v>3</v>
      </c>
      <c r="I275" s="25">
        <f t="shared" ca="1" si="9"/>
        <v>210</v>
      </c>
      <c r="J275" s="25" t="str">
        <f>VLOOKUP(F275,地区表!$D$2:$E$18,2,FALSE)</f>
        <v>办公用品</v>
      </c>
      <c r="K275" s="38" t="str">
        <f>VLOOKUP(E275,地区表!$A$2:$C$255,3,FALSE)</f>
        <v>华东</v>
      </c>
    </row>
    <row r="276" spans="1:11" ht="15.6">
      <c r="A276" s="28" t="s">
        <v>352</v>
      </c>
      <c r="B276" s="29">
        <v>44246.259619278702</v>
      </c>
      <c r="C276" s="29">
        <v>44250.151471974401</v>
      </c>
      <c r="D276" s="28" t="s">
        <v>94</v>
      </c>
      <c r="E276" s="28" t="s">
        <v>183</v>
      </c>
      <c r="F276" s="28" t="s">
        <v>135</v>
      </c>
      <c r="G276" s="28">
        <f t="shared" ca="1" si="8"/>
        <v>42</v>
      </c>
      <c r="H276" s="28">
        <v>4</v>
      </c>
      <c r="I276" s="25">
        <f t="shared" ca="1" si="9"/>
        <v>168</v>
      </c>
      <c r="J276" s="25" t="str">
        <f>VLOOKUP(F276,地区表!$D$2:$E$18,2,FALSE)</f>
        <v>办公用品</v>
      </c>
      <c r="K276" s="38" t="str">
        <f>VLOOKUP(E276,地区表!$A$2:$C$255,3,FALSE)</f>
        <v>西南</v>
      </c>
    </row>
    <row r="277" spans="1:11" ht="15.6">
      <c r="A277" s="28" t="s">
        <v>352</v>
      </c>
      <c r="B277" s="29">
        <v>44246.732432316698</v>
      </c>
      <c r="C277" s="29">
        <v>44250.911727567502</v>
      </c>
      <c r="D277" s="28" t="s">
        <v>94</v>
      </c>
      <c r="E277" s="28" t="s">
        <v>183</v>
      </c>
      <c r="F277" s="28" t="s">
        <v>96</v>
      </c>
      <c r="G277" s="28">
        <f t="shared" ca="1" si="8"/>
        <v>78</v>
      </c>
      <c r="H277" s="28">
        <v>4</v>
      </c>
      <c r="I277" s="25">
        <f t="shared" ca="1" si="9"/>
        <v>312</v>
      </c>
      <c r="J277" s="25" t="str">
        <f>VLOOKUP(F277,地区表!$D$2:$E$18,2,FALSE)</f>
        <v>办公用品</v>
      </c>
      <c r="K277" s="38" t="str">
        <f>VLOOKUP(E277,地区表!$A$2:$C$255,3,FALSE)</f>
        <v>西南</v>
      </c>
    </row>
    <row r="278" spans="1:11" ht="15.6">
      <c r="A278" s="28" t="s">
        <v>353</v>
      </c>
      <c r="B278" s="29">
        <v>44648.919325639203</v>
      </c>
      <c r="C278" s="29">
        <v>44653.345566243697</v>
      </c>
      <c r="D278" s="28" t="s">
        <v>114</v>
      </c>
      <c r="E278" s="28" t="s">
        <v>354</v>
      </c>
      <c r="F278" s="28" t="s">
        <v>131</v>
      </c>
      <c r="G278" s="28">
        <f t="shared" ca="1" si="8"/>
        <v>19</v>
      </c>
      <c r="H278" s="28">
        <v>5</v>
      </c>
      <c r="I278" s="25">
        <f t="shared" ca="1" si="9"/>
        <v>95</v>
      </c>
      <c r="J278" s="25" t="str">
        <f>VLOOKUP(F278,地区表!$D$2:$E$18,2,FALSE)</f>
        <v>家具</v>
      </c>
      <c r="K278" s="38" t="str">
        <f>VLOOKUP(E278,地区表!$A$2:$C$255,3,FALSE)</f>
        <v>东北</v>
      </c>
    </row>
    <row r="279" spans="1:11" ht="15.6">
      <c r="A279" s="28" t="s">
        <v>353</v>
      </c>
      <c r="B279" s="29">
        <v>44648.342730888799</v>
      </c>
      <c r="C279" s="29">
        <v>44653.045440334899</v>
      </c>
      <c r="D279" s="28" t="s">
        <v>114</v>
      </c>
      <c r="E279" s="28" t="s">
        <v>354</v>
      </c>
      <c r="F279" s="28" t="s">
        <v>121</v>
      </c>
      <c r="G279" s="28">
        <f t="shared" ca="1" si="8"/>
        <v>65</v>
      </c>
      <c r="H279" s="28">
        <v>2</v>
      </c>
      <c r="I279" s="25">
        <f t="shared" ca="1" si="9"/>
        <v>130</v>
      </c>
      <c r="J279" s="25" t="str">
        <f>VLOOKUP(F279,地区表!$D$2:$E$18,2,FALSE)</f>
        <v>技术</v>
      </c>
      <c r="K279" s="38" t="str">
        <f>VLOOKUP(E279,地区表!$A$2:$C$255,3,FALSE)</f>
        <v>东北</v>
      </c>
    </row>
    <row r="280" spans="1:11" ht="15.6">
      <c r="A280" s="28" t="s">
        <v>355</v>
      </c>
      <c r="B280" s="29">
        <v>45171.754475974398</v>
      </c>
      <c r="C280" s="29">
        <v>45173.771562301299</v>
      </c>
      <c r="D280" s="28" t="s">
        <v>98</v>
      </c>
      <c r="E280" s="28" t="s">
        <v>99</v>
      </c>
      <c r="F280" s="28" t="s">
        <v>111</v>
      </c>
      <c r="G280" s="28">
        <f t="shared" ca="1" si="8"/>
        <v>62</v>
      </c>
      <c r="H280" s="28">
        <v>2</v>
      </c>
      <c r="I280" s="25">
        <f t="shared" ca="1" si="9"/>
        <v>124</v>
      </c>
      <c r="J280" s="25" t="str">
        <f>VLOOKUP(F280,地区表!$D$2:$E$18,2,FALSE)</f>
        <v>办公用品</v>
      </c>
      <c r="K280" s="38" t="str">
        <f>VLOOKUP(E280,地区表!$A$2:$C$255,3,FALSE)</f>
        <v>西南</v>
      </c>
    </row>
    <row r="281" spans="1:11" ht="15.6">
      <c r="A281" s="28" t="s">
        <v>355</v>
      </c>
      <c r="B281" s="29">
        <v>45171.346381843498</v>
      </c>
      <c r="C281" s="29">
        <v>45173.288711322697</v>
      </c>
      <c r="D281" s="28" t="s">
        <v>98</v>
      </c>
      <c r="E281" s="28" t="s">
        <v>99</v>
      </c>
      <c r="F281" s="28" t="s">
        <v>101</v>
      </c>
      <c r="G281" s="28">
        <f t="shared" ca="1" si="8"/>
        <v>44</v>
      </c>
      <c r="H281" s="28">
        <v>3</v>
      </c>
      <c r="I281" s="25">
        <f t="shared" ca="1" si="9"/>
        <v>132</v>
      </c>
      <c r="J281" s="25" t="str">
        <f>VLOOKUP(F281,地区表!$D$2:$E$18,2,FALSE)</f>
        <v>办公用品</v>
      </c>
      <c r="K281" s="38" t="str">
        <f>VLOOKUP(E281,地区表!$A$2:$C$255,3,FALSE)</f>
        <v>西南</v>
      </c>
    </row>
    <row r="282" spans="1:11" ht="15.6">
      <c r="A282" s="28" t="s">
        <v>356</v>
      </c>
      <c r="B282" s="29">
        <v>44581.047162122297</v>
      </c>
      <c r="C282" s="29">
        <v>44583.346658836002</v>
      </c>
      <c r="D282" s="28" t="s">
        <v>114</v>
      </c>
      <c r="E282" s="28" t="s">
        <v>357</v>
      </c>
      <c r="F282" s="28" t="s">
        <v>106</v>
      </c>
      <c r="G282" s="28">
        <f t="shared" ca="1" si="8"/>
        <v>11</v>
      </c>
      <c r="H282" s="28">
        <v>2</v>
      </c>
      <c r="I282" s="25">
        <f t="shared" ca="1" si="9"/>
        <v>22</v>
      </c>
      <c r="J282" s="25" t="str">
        <f>VLOOKUP(F282,地区表!$D$2:$E$18,2,FALSE)</f>
        <v>办公用品</v>
      </c>
      <c r="K282" s="38" t="str">
        <f>VLOOKUP(E282,地区表!$A$2:$C$255,3,FALSE)</f>
        <v>华东</v>
      </c>
    </row>
    <row r="283" spans="1:11" ht="15.6">
      <c r="A283" s="28" t="s">
        <v>356</v>
      </c>
      <c r="B283" s="29">
        <v>44581.990421279297</v>
      </c>
      <c r="C283" s="29">
        <v>44583.671752707101</v>
      </c>
      <c r="D283" s="28" t="s">
        <v>114</v>
      </c>
      <c r="E283" s="28" t="s">
        <v>357</v>
      </c>
      <c r="F283" s="28" t="s">
        <v>135</v>
      </c>
      <c r="G283" s="28">
        <f t="shared" ca="1" si="8"/>
        <v>47</v>
      </c>
      <c r="H283" s="28">
        <v>2</v>
      </c>
      <c r="I283" s="25">
        <f t="shared" ca="1" si="9"/>
        <v>94</v>
      </c>
      <c r="J283" s="25" t="str">
        <f>VLOOKUP(F283,地区表!$D$2:$E$18,2,FALSE)</f>
        <v>办公用品</v>
      </c>
      <c r="K283" s="38" t="str">
        <f>VLOOKUP(E283,地区表!$A$2:$C$255,3,FALSE)</f>
        <v>华东</v>
      </c>
    </row>
    <row r="284" spans="1:11" ht="15.6">
      <c r="A284" s="28" t="s">
        <v>356</v>
      </c>
      <c r="B284" s="29">
        <v>44581.121138826798</v>
      </c>
      <c r="C284" s="29">
        <v>44583.131813035798</v>
      </c>
      <c r="D284" s="28" t="s">
        <v>114</v>
      </c>
      <c r="E284" s="28" t="s">
        <v>357</v>
      </c>
      <c r="F284" s="28" t="s">
        <v>110</v>
      </c>
      <c r="G284" s="28">
        <f t="shared" ca="1" si="8"/>
        <v>100</v>
      </c>
      <c r="H284" s="28">
        <v>1</v>
      </c>
      <c r="I284" s="25">
        <f t="shared" ca="1" si="9"/>
        <v>100</v>
      </c>
      <c r="J284" s="25" t="str">
        <f>VLOOKUP(F284,地区表!$D$2:$E$18,2,FALSE)</f>
        <v>家具</v>
      </c>
      <c r="K284" s="38" t="str">
        <f>VLOOKUP(E284,地区表!$A$2:$C$255,3,FALSE)</f>
        <v>华东</v>
      </c>
    </row>
    <row r="285" spans="1:11" ht="15.6">
      <c r="A285" s="28" t="s">
        <v>356</v>
      </c>
      <c r="B285" s="29">
        <v>44581.971593577902</v>
      </c>
      <c r="C285" s="29">
        <v>44583.199500885799</v>
      </c>
      <c r="D285" s="28" t="s">
        <v>114</v>
      </c>
      <c r="E285" s="28" t="s">
        <v>357</v>
      </c>
      <c r="F285" s="28" t="s">
        <v>110</v>
      </c>
      <c r="G285" s="28">
        <f t="shared" ca="1" si="8"/>
        <v>92</v>
      </c>
      <c r="H285" s="28">
        <v>2</v>
      </c>
      <c r="I285" s="25">
        <f t="shared" ca="1" si="9"/>
        <v>184</v>
      </c>
      <c r="J285" s="25" t="str">
        <f>VLOOKUP(F285,地区表!$D$2:$E$18,2,FALSE)</f>
        <v>家具</v>
      </c>
      <c r="K285" s="38" t="str">
        <f>VLOOKUP(E285,地区表!$A$2:$C$255,3,FALSE)</f>
        <v>华东</v>
      </c>
    </row>
    <row r="286" spans="1:11" ht="15.6">
      <c r="A286" s="28" t="s">
        <v>356</v>
      </c>
      <c r="B286" s="29">
        <v>44581.092344133896</v>
      </c>
      <c r="C286" s="29">
        <v>44583.202624003803</v>
      </c>
      <c r="D286" s="28" t="s">
        <v>114</v>
      </c>
      <c r="E286" s="28" t="s">
        <v>357</v>
      </c>
      <c r="F286" s="28" t="s">
        <v>130</v>
      </c>
      <c r="G286" s="28">
        <f t="shared" ca="1" si="8"/>
        <v>69</v>
      </c>
      <c r="H286" s="28">
        <v>5</v>
      </c>
      <c r="I286" s="25">
        <f t="shared" ca="1" si="9"/>
        <v>345</v>
      </c>
      <c r="J286" s="25" t="str">
        <f>VLOOKUP(F286,地区表!$D$2:$E$18,2,FALSE)</f>
        <v>家具</v>
      </c>
      <c r="K286" s="38" t="str">
        <f>VLOOKUP(E286,地区表!$A$2:$C$255,3,FALSE)</f>
        <v>华东</v>
      </c>
    </row>
    <row r="287" spans="1:11" ht="15.6">
      <c r="A287" s="28" t="s">
        <v>358</v>
      </c>
      <c r="B287" s="29">
        <v>44588.828119797101</v>
      </c>
      <c r="C287" s="29">
        <v>44592.307835964602</v>
      </c>
      <c r="D287" s="28" t="s">
        <v>94</v>
      </c>
      <c r="E287" s="28" t="s">
        <v>140</v>
      </c>
      <c r="F287" s="28" t="s">
        <v>122</v>
      </c>
      <c r="G287" s="28">
        <f t="shared" ca="1" si="8"/>
        <v>54</v>
      </c>
      <c r="H287" s="28">
        <v>2</v>
      </c>
      <c r="I287" s="25">
        <f t="shared" ca="1" si="9"/>
        <v>108</v>
      </c>
      <c r="J287" s="25" t="str">
        <f>VLOOKUP(F287,地区表!$D$2:$E$18,2,FALSE)</f>
        <v>技术</v>
      </c>
      <c r="K287" s="38" t="str">
        <f>VLOOKUP(E287,地区表!$A$2:$C$255,3,FALSE)</f>
        <v>华东</v>
      </c>
    </row>
    <row r="288" spans="1:11" ht="15.6">
      <c r="A288" s="28" t="s">
        <v>358</v>
      </c>
      <c r="B288" s="29">
        <v>44588.435341926197</v>
      </c>
      <c r="C288" s="29">
        <v>44592.379877365602</v>
      </c>
      <c r="D288" s="28" t="s">
        <v>94</v>
      </c>
      <c r="E288" s="28" t="s">
        <v>140</v>
      </c>
      <c r="F288" s="28" t="s">
        <v>118</v>
      </c>
      <c r="G288" s="28">
        <f t="shared" ca="1" si="8"/>
        <v>33</v>
      </c>
      <c r="H288" s="28">
        <v>4</v>
      </c>
      <c r="I288" s="25">
        <f t="shared" ca="1" si="9"/>
        <v>132</v>
      </c>
      <c r="J288" s="25" t="str">
        <f>VLOOKUP(F288,地区表!$D$2:$E$18,2,FALSE)</f>
        <v>技术</v>
      </c>
      <c r="K288" s="38" t="str">
        <f>VLOOKUP(E288,地区表!$A$2:$C$255,3,FALSE)</f>
        <v>华东</v>
      </c>
    </row>
    <row r="289" spans="1:11" ht="15.6">
      <c r="A289" s="28" t="s">
        <v>358</v>
      </c>
      <c r="B289" s="29">
        <v>44588.701016284402</v>
      </c>
      <c r="C289" s="29">
        <v>44592.770444929003</v>
      </c>
      <c r="D289" s="28" t="s">
        <v>94</v>
      </c>
      <c r="E289" s="28" t="s">
        <v>140</v>
      </c>
      <c r="F289" s="28" t="s">
        <v>130</v>
      </c>
      <c r="G289" s="28">
        <f t="shared" ca="1" si="8"/>
        <v>22</v>
      </c>
      <c r="H289" s="28">
        <v>2</v>
      </c>
      <c r="I289" s="25">
        <f t="shared" ca="1" si="9"/>
        <v>44</v>
      </c>
      <c r="J289" s="25" t="str">
        <f>VLOOKUP(F289,地区表!$D$2:$E$18,2,FALSE)</f>
        <v>家具</v>
      </c>
      <c r="K289" s="38" t="str">
        <f>VLOOKUP(E289,地区表!$A$2:$C$255,3,FALSE)</f>
        <v>华东</v>
      </c>
    </row>
    <row r="290" spans="1:11" ht="15.6">
      <c r="A290" s="28" t="s">
        <v>358</v>
      </c>
      <c r="B290" s="29">
        <v>44588.979081220001</v>
      </c>
      <c r="C290" s="29">
        <v>44592.230697664498</v>
      </c>
      <c r="D290" s="28" t="s">
        <v>94</v>
      </c>
      <c r="E290" s="28" t="s">
        <v>140</v>
      </c>
      <c r="F290" s="28" t="s">
        <v>106</v>
      </c>
      <c r="G290" s="28">
        <f t="shared" ca="1" si="8"/>
        <v>40</v>
      </c>
      <c r="H290" s="28">
        <v>6</v>
      </c>
      <c r="I290" s="25">
        <f t="shared" ca="1" si="9"/>
        <v>240</v>
      </c>
      <c r="J290" s="25" t="str">
        <f>VLOOKUP(F290,地区表!$D$2:$E$18,2,FALSE)</f>
        <v>办公用品</v>
      </c>
      <c r="K290" s="38" t="str">
        <f>VLOOKUP(E290,地区表!$A$2:$C$255,3,FALSE)</f>
        <v>华东</v>
      </c>
    </row>
    <row r="291" spans="1:11" ht="15.6">
      <c r="A291" s="28" t="s">
        <v>358</v>
      </c>
      <c r="B291" s="29">
        <v>44588.503999133602</v>
      </c>
      <c r="C291" s="29">
        <v>44592.890451563901</v>
      </c>
      <c r="D291" s="28" t="s">
        <v>94</v>
      </c>
      <c r="E291" s="28" t="s">
        <v>140</v>
      </c>
      <c r="F291" s="28" t="s">
        <v>112</v>
      </c>
      <c r="G291" s="28">
        <f t="shared" ca="1" si="8"/>
        <v>83</v>
      </c>
      <c r="H291" s="28">
        <v>2</v>
      </c>
      <c r="I291" s="25">
        <f t="shared" ca="1" si="9"/>
        <v>166</v>
      </c>
      <c r="J291" s="25" t="str">
        <f>VLOOKUP(F291,地区表!$D$2:$E$18,2,FALSE)</f>
        <v>办公用品</v>
      </c>
      <c r="K291" s="38" t="str">
        <f>VLOOKUP(E291,地区表!$A$2:$C$255,3,FALSE)</f>
        <v>华东</v>
      </c>
    </row>
    <row r="292" spans="1:11" ht="15.6">
      <c r="A292" s="28" t="s">
        <v>358</v>
      </c>
      <c r="B292" s="29">
        <v>44588.946788219597</v>
      </c>
      <c r="C292" s="29">
        <v>44592.908071785998</v>
      </c>
      <c r="D292" s="28" t="s">
        <v>94</v>
      </c>
      <c r="E292" s="28" t="s">
        <v>140</v>
      </c>
      <c r="F292" s="28" t="s">
        <v>135</v>
      </c>
      <c r="G292" s="28">
        <f t="shared" ca="1" si="8"/>
        <v>61</v>
      </c>
      <c r="H292" s="28">
        <v>3</v>
      </c>
      <c r="I292" s="25">
        <f t="shared" ca="1" si="9"/>
        <v>183</v>
      </c>
      <c r="J292" s="25" t="str">
        <f>VLOOKUP(F292,地区表!$D$2:$E$18,2,FALSE)</f>
        <v>办公用品</v>
      </c>
      <c r="K292" s="38" t="str">
        <f>VLOOKUP(E292,地区表!$A$2:$C$255,3,FALSE)</f>
        <v>华东</v>
      </c>
    </row>
    <row r="293" spans="1:11" ht="15.6">
      <c r="A293" s="28" t="s">
        <v>358</v>
      </c>
      <c r="B293" s="29">
        <v>44588.382169110097</v>
      </c>
      <c r="C293" s="29">
        <v>44592.698009232598</v>
      </c>
      <c r="D293" s="28" t="s">
        <v>94</v>
      </c>
      <c r="E293" s="28" t="s">
        <v>140</v>
      </c>
      <c r="F293" s="28" t="s">
        <v>110</v>
      </c>
      <c r="G293" s="28">
        <f t="shared" ca="1" si="8"/>
        <v>84</v>
      </c>
      <c r="H293" s="28">
        <v>7</v>
      </c>
      <c r="I293" s="25">
        <f t="shared" ca="1" si="9"/>
        <v>588</v>
      </c>
      <c r="J293" s="25" t="str">
        <f>VLOOKUP(F293,地区表!$D$2:$E$18,2,FALSE)</f>
        <v>家具</v>
      </c>
      <c r="K293" s="38" t="str">
        <f>VLOOKUP(E293,地区表!$A$2:$C$255,3,FALSE)</f>
        <v>华东</v>
      </c>
    </row>
    <row r="294" spans="1:11" ht="15.6">
      <c r="A294" s="28" t="s">
        <v>358</v>
      </c>
      <c r="B294" s="29">
        <v>44588.8394525779</v>
      </c>
      <c r="C294" s="29">
        <v>44592.2747959177</v>
      </c>
      <c r="D294" s="28" t="s">
        <v>94</v>
      </c>
      <c r="E294" s="28" t="s">
        <v>140</v>
      </c>
      <c r="F294" s="28" t="s">
        <v>135</v>
      </c>
      <c r="G294" s="28">
        <f t="shared" ca="1" si="8"/>
        <v>10</v>
      </c>
      <c r="H294" s="28">
        <v>3</v>
      </c>
      <c r="I294" s="25">
        <f t="shared" ca="1" si="9"/>
        <v>30</v>
      </c>
      <c r="J294" s="25" t="str">
        <f>VLOOKUP(F294,地区表!$D$2:$E$18,2,FALSE)</f>
        <v>办公用品</v>
      </c>
      <c r="K294" s="38" t="str">
        <f>VLOOKUP(E294,地区表!$A$2:$C$255,3,FALSE)</f>
        <v>华东</v>
      </c>
    </row>
    <row r="295" spans="1:11" ht="15.6">
      <c r="A295" s="28" t="s">
        <v>359</v>
      </c>
      <c r="B295" s="29">
        <v>45072.062702793002</v>
      </c>
      <c r="C295" s="29">
        <v>45076.798681521097</v>
      </c>
      <c r="D295" s="28" t="s">
        <v>94</v>
      </c>
      <c r="E295" s="28" t="s">
        <v>330</v>
      </c>
      <c r="F295" s="28" t="s">
        <v>135</v>
      </c>
      <c r="G295" s="28">
        <f t="shared" ca="1" si="8"/>
        <v>29</v>
      </c>
      <c r="H295" s="28">
        <v>1</v>
      </c>
      <c r="I295" s="25">
        <f t="shared" ca="1" si="9"/>
        <v>29</v>
      </c>
      <c r="J295" s="25" t="str">
        <f>VLOOKUP(F295,地区表!$D$2:$E$18,2,FALSE)</f>
        <v>办公用品</v>
      </c>
      <c r="K295" s="38" t="str">
        <f>VLOOKUP(E295,地区表!$A$2:$C$255,3,FALSE)</f>
        <v>东北</v>
      </c>
    </row>
    <row r="296" spans="1:11" ht="15.6">
      <c r="A296" s="28" t="s">
        <v>360</v>
      </c>
      <c r="B296" s="29">
        <v>44907.467679021102</v>
      </c>
      <c r="C296" s="29">
        <v>44913.297352078604</v>
      </c>
      <c r="D296" s="28" t="s">
        <v>98</v>
      </c>
      <c r="E296" s="28" t="s">
        <v>361</v>
      </c>
      <c r="F296" s="28" t="s">
        <v>118</v>
      </c>
      <c r="G296" s="28">
        <f t="shared" ca="1" si="8"/>
        <v>72</v>
      </c>
      <c r="H296" s="28">
        <v>2</v>
      </c>
      <c r="I296" s="25">
        <f t="shared" ca="1" si="9"/>
        <v>144</v>
      </c>
      <c r="J296" s="25" t="str">
        <f>VLOOKUP(F296,地区表!$D$2:$E$18,2,FALSE)</f>
        <v>技术</v>
      </c>
      <c r="K296" s="38" t="str">
        <f>VLOOKUP(E296,地区表!$A$2:$C$255,3,FALSE)</f>
        <v>西南</v>
      </c>
    </row>
    <row r="297" spans="1:11" ht="15.6">
      <c r="A297" s="28" t="s">
        <v>360</v>
      </c>
      <c r="B297" s="29">
        <v>44907.146506113801</v>
      </c>
      <c r="C297" s="29">
        <v>44913.700618192102</v>
      </c>
      <c r="D297" s="28" t="s">
        <v>98</v>
      </c>
      <c r="E297" s="28" t="s">
        <v>361</v>
      </c>
      <c r="F297" s="28" t="s">
        <v>122</v>
      </c>
      <c r="G297" s="28">
        <f t="shared" ca="1" si="8"/>
        <v>74</v>
      </c>
      <c r="H297" s="28">
        <v>3</v>
      </c>
      <c r="I297" s="25">
        <f t="shared" ca="1" si="9"/>
        <v>222</v>
      </c>
      <c r="J297" s="25" t="str">
        <f>VLOOKUP(F297,地区表!$D$2:$E$18,2,FALSE)</f>
        <v>技术</v>
      </c>
      <c r="K297" s="38" t="str">
        <f>VLOOKUP(E297,地区表!$A$2:$C$255,3,FALSE)</f>
        <v>西南</v>
      </c>
    </row>
    <row r="298" spans="1:11" ht="15.6">
      <c r="A298" s="28" t="s">
        <v>362</v>
      </c>
      <c r="B298" s="29">
        <v>44579.885104509704</v>
      </c>
      <c r="C298" s="29">
        <v>44581.703611048601</v>
      </c>
      <c r="D298" s="28" t="s">
        <v>94</v>
      </c>
      <c r="E298" s="28" t="s">
        <v>115</v>
      </c>
      <c r="F298" s="28" t="s">
        <v>135</v>
      </c>
      <c r="G298" s="28">
        <f t="shared" ca="1" si="8"/>
        <v>69</v>
      </c>
      <c r="H298" s="28">
        <v>4</v>
      </c>
      <c r="I298" s="25">
        <f t="shared" ca="1" si="9"/>
        <v>276</v>
      </c>
      <c r="J298" s="25" t="str">
        <f>VLOOKUP(F298,地区表!$D$2:$E$18,2,FALSE)</f>
        <v>办公用品</v>
      </c>
      <c r="K298" s="38" t="str">
        <f>VLOOKUP(E298,地区表!$A$2:$C$255,3,FALSE)</f>
        <v>西北</v>
      </c>
    </row>
    <row r="299" spans="1:11" ht="15.6">
      <c r="A299" s="28" t="s">
        <v>363</v>
      </c>
      <c r="B299" s="29">
        <v>44572.003772515898</v>
      </c>
      <c r="C299" s="29">
        <v>44574.567446727502</v>
      </c>
      <c r="D299" s="28" t="s">
        <v>114</v>
      </c>
      <c r="E299" s="28" t="s">
        <v>354</v>
      </c>
      <c r="F299" s="28" t="s">
        <v>106</v>
      </c>
      <c r="G299" s="28">
        <f t="shared" ca="1" si="8"/>
        <v>45</v>
      </c>
      <c r="H299" s="28">
        <v>3</v>
      </c>
      <c r="I299" s="25">
        <f t="shared" ca="1" si="9"/>
        <v>135</v>
      </c>
      <c r="J299" s="25" t="str">
        <f>VLOOKUP(F299,地区表!$D$2:$E$18,2,FALSE)</f>
        <v>办公用品</v>
      </c>
      <c r="K299" s="38" t="str">
        <f>VLOOKUP(E299,地区表!$A$2:$C$255,3,FALSE)</f>
        <v>东北</v>
      </c>
    </row>
    <row r="300" spans="1:11" ht="15.6">
      <c r="A300" s="28" t="s">
        <v>364</v>
      </c>
      <c r="B300" s="29">
        <v>45170.486278250602</v>
      </c>
      <c r="C300" s="29">
        <v>45177.883987556699</v>
      </c>
      <c r="D300" s="28" t="s">
        <v>94</v>
      </c>
      <c r="E300" s="28" t="s">
        <v>152</v>
      </c>
      <c r="F300" s="28" t="s">
        <v>125</v>
      </c>
      <c r="G300" s="28">
        <f t="shared" ca="1" si="8"/>
        <v>66</v>
      </c>
      <c r="H300" s="28">
        <v>6</v>
      </c>
      <c r="I300" s="25">
        <f t="shared" ca="1" si="9"/>
        <v>396</v>
      </c>
      <c r="J300" s="25" t="str">
        <f>VLOOKUP(F300,地区表!$D$2:$E$18,2,FALSE)</f>
        <v>办公用品</v>
      </c>
      <c r="K300" s="38" t="str">
        <f>VLOOKUP(E300,地区表!$A$2:$C$255,3,FALSE)</f>
        <v>华东</v>
      </c>
    </row>
    <row r="301" spans="1:11" ht="15.6">
      <c r="A301" s="28" t="s">
        <v>364</v>
      </c>
      <c r="B301" s="29">
        <v>45170.673219283897</v>
      </c>
      <c r="C301" s="29">
        <v>45177.811885486299</v>
      </c>
      <c r="D301" s="28" t="s">
        <v>94</v>
      </c>
      <c r="E301" s="28" t="s">
        <v>152</v>
      </c>
      <c r="F301" s="28" t="s">
        <v>110</v>
      </c>
      <c r="G301" s="28">
        <f t="shared" ca="1" si="8"/>
        <v>27</v>
      </c>
      <c r="H301" s="28">
        <v>3</v>
      </c>
      <c r="I301" s="25">
        <f t="shared" ca="1" si="9"/>
        <v>81</v>
      </c>
      <c r="J301" s="25" t="str">
        <f>VLOOKUP(F301,地区表!$D$2:$E$18,2,FALSE)</f>
        <v>家具</v>
      </c>
      <c r="K301" s="38" t="str">
        <f>VLOOKUP(E301,地区表!$A$2:$C$255,3,FALSE)</f>
        <v>华东</v>
      </c>
    </row>
    <row r="302" spans="1:11" ht="15.6">
      <c r="A302" s="28" t="s">
        <v>365</v>
      </c>
      <c r="B302" s="29">
        <v>44288.092765752801</v>
      </c>
      <c r="C302" s="29">
        <v>44291.342187198097</v>
      </c>
      <c r="D302" s="28" t="s">
        <v>114</v>
      </c>
      <c r="E302" s="28" t="s">
        <v>366</v>
      </c>
      <c r="F302" s="28" t="s">
        <v>122</v>
      </c>
      <c r="G302" s="28">
        <f t="shared" ca="1" si="8"/>
        <v>72</v>
      </c>
      <c r="H302" s="28">
        <v>10</v>
      </c>
      <c r="I302" s="25">
        <f t="shared" ca="1" si="9"/>
        <v>720</v>
      </c>
      <c r="J302" s="25" t="str">
        <f>VLOOKUP(F302,地区表!$D$2:$E$18,2,FALSE)</f>
        <v>技术</v>
      </c>
      <c r="K302" s="38" t="str">
        <f>VLOOKUP(E302,地区表!$A$2:$C$255,3,FALSE)</f>
        <v>中南</v>
      </c>
    </row>
    <row r="303" spans="1:11" ht="15.6">
      <c r="A303" s="28" t="s">
        <v>365</v>
      </c>
      <c r="B303" s="29">
        <v>44288.159794822503</v>
      </c>
      <c r="C303" s="29">
        <v>44291.239875678199</v>
      </c>
      <c r="D303" s="28" t="s">
        <v>114</v>
      </c>
      <c r="E303" s="28" t="s">
        <v>366</v>
      </c>
      <c r="F303" s="28" t="s">
        <v>109</v>
      </c>
      <c r="G303" s="28">
        <f t="shared" ca="1" si="8"/>
        <v>47</v>
      </c>
      <c r="H303" s="28">
        <v>3</v>
      </c>
      <c r="I303" s="25">
        <f t="shared" ca="1" si="9"/>
        <v>141</v>
      </c>
      <c r="J303" s="25" t="str">
        <f>VLOOKUP(F303,地区表!$D$2:$E$18,2,FALSE)</f>
        <v>技术</v>
      </c>
      <c r="K303" s="38" t="str">
        <f>VLOOKUP(E303,地区表!$A$2:$C$255,3,FALSE)</f>
        <v>中南</v>
      </c>
    </row>
    <row r="304" spans="1:11" ht="15.6">
      <c r="A304" s="28" t="s">
        <v>365</v>
      </c>
      <c r="B304" s="29">
        <v>44288.602290045703</v>
      </c>
      <c r="C304" s="29">
        <v>44291.789955947803</v>
      </c>
      <c r="D304" s="28" t="s">
        <v>114</v>
      </c>
      <c r="E304" s="28" t="s">
        <v>366</v>
      </c>
      <c r="F304" s="28" t="s">
        <v>101</v>
      </c>
      <c r="G304" s="28">
        <f t="shared" ca="1" si="8"/>
        <v>72</v>
      </c>
      <c r="H304" s="28">
        <v>6</v>
      </c>
      <c r="I304" s="25">
        <f t="shared" ca="1" si="9"/>
        <v>432</v>
      </c>
      <c r="J304" s="25" t="str">
        <f>VLOOKUP(F304,地区表!$D$2:$E$18,2,FALSE)</f>
        <v>办公用品</v>
      </c>
      <c r="K304" s="38" t="str">
        <f>VLOOKUP(E304,地区表!$A$2:$C$255,3,FALSE)</f>
        <v>中南</v>
      </c>
    </row>
    <row r="305" spans="1:11" ht="15.6">
      <c r="A305" s="28" t="s">
        <v>365</v>
      </c>
      <c r="B305" s="29">
        <v>44288.148260414098</v>
      </c>
      <c r="C305" s="29">
        <v>44291.346280417398</v>
      </c>
      <c r="D305" s="28" t="s">
        <v>114</v>
      </c>
      <c r="E305" s="28" t="s">
        <v>366</v>
      </c>
      <c r="F305" s="28" t="s">
        <v>131</v>
      </c>
      <c r="G305" s="28">
        <f t="shared" ca="1" si="8"/>
        <v>15</v>
      </c>
      <c r="H305" s="28">
        <v>3</v>
      </c>
      <c r="I305" s="25">
        <f t="shared" ca="1" si="9"/>
        <v>45</v>
      </c>
      <c r="J305" s="25" t="str">
        <f>VLOOKUP(F305,地区表!$D$2:$E$18,2,FALSE)</f>
        <v>家具</v>
      </c>
      <c r="K305" s="38" t="str">
        <f>VLOOKUP(E305,地区表!$A$2:$C$255,3,FALSE)</f>
        <v>中南</v>
      </c>
    </row>
    <row r="306" spans="1:11" ht="15.6">
      <c r="A306" s="28" t="s">
        <v>365</v>
      </c>
      <c r="B306" s="29">
        <v>44288.551425739999</v>
      </c>
      <c r="C306" s="29">
        <v>44291.987466837803</v>
      </c>
      <c r="D306" s="28" t="s">
        <v>114</v>
      </c>
      <c r="E306" s="28" t="s">
        <v>366</v>
      </c>
      <c r="F306" s="28" t="s">
        <v>131</v>
      </c>
      <c r="G306" s="28">
        <f t="shared" ca="1" si="8"/>
        <v>18</v>
      </c>
      <c r="H306" s="28">
        <v>5</v>
      </c>
      <c r="I306" s="25">
        <f t="shared" ca="1" si="9"/>
        <v>90</v>
      </c>
      <c r="J306" s="25" t="str">
        <f>VLOOKUP(F306,地区表!$D$2:$E$18,2,FALSE)</f>
        <v>家具</v>
      </c>
      <c r="K306" s="38" t="str">
        <f>VLOOKUP(E306,地区表!$A$2:$C$255,3,FALSE)</f>
        <v>中南</v>
      </c>
    </row>
    <row r="307" spans="1:11" ht="15.6">
      <c r="A307" s="28" t="s">
        <v>365</v>
      </c>
      <c r="B307" s="29">
        <v>44288.288042582702</v>
      </c>
      <c r="C307" s="29">
        <v>44291.564952344401</v>
      </c>
      <c r="D307" s="28" t="s">
        <v>114</v>
      </c>
      <c r="E307" s="28" t="s">
        <v>366</v>
      </c>
      <c r="F307" s="28" t="s">
        <v>100</v>
      </c>
      <c r="G307" s="28">
        <f t="shared" ca="1" si="8"/>
        <v>38</v>
      </c>
      <c r="H307" s="28">
        <v>4</v>
      </c>
      <c r="I307" s="25">
        <f t="shared" ca="1" si="9"/>
        <v>152</v>
      </c>
      <c r="J307" s="25" t="str">
        <f>VLOOKUP(F307,地区表!$D$2:$E$18,2,FALSE)</f>
        <v>办公用品</v>
      </c>
      <c r="K307" s="38" t="str">
        <f>VLOOKUP(E307,地区表!$A$2:$C$255,3,FALSE)</f>
        <v>中南</v>
      </c>
    </row>
    <row r="308" spans="1:11" ht="15.6">
      <c r="A308" s="28" t="s">
        <v>367</v>
      </c>
      <c r="B308" s="29">
        <v>45136.451990485599</v>
      </c>
      <c r="C308" s="29">
        <v>45140.957043098897</v>
      </c>
      <c r="D308" s="28" t="s">
        <v>98</v>
      </c>
      <c r="E308" s="28" t="s">
        <v>368</v>
      </c>
      <c r="F308" s="28" t="s">
        <v>110</v>
      </c>
      <c r="G308" s="28">
        <f t="shared" ca="1" si="8"/>
        <v>40</v>
      </c>
      <c r="H308" s="28">
        <v>6</v>
      </c>
      <c r="I308" s="25">
        <f t="shared" ca="1" si="9"/>
        <v>240</v>
      </c>
      <c r="J308" s="25" t="str">
        <f>VLOOKUP(F308,地区表!$D$2:$E$18,2,FALSE)</f>
        <v>家具</v>
      </c>
      <c r="K308" s="38" t="str">
        <f>VLOOKUP(E308,地区表!$A$2:$C$255,3,FALSE)</f>
        <v>中南</v>
      </c>
    </row>
    <row r="309" spans="1:11" ht="15.6">
      <c r="A309" s="28" t="s">
        <v>367</v>
      </c>
      <c r="B309" s="29">
        <v>45136.597618032298</v>
      </c>
      <c r="C309" s="29">
        <v>45140.883893964798</v>
      </c>
      <c r="D309" s="28" t="s">
        <v>98</v>
      </c>
      <c r="E309" s="28" t="s">
        <v>368</v>
      </c>
      <c r="F309" s="28" t="s">
        <v>135</v>
      </c>
      <c r="G309" s="28">
        <f t="shared" ca="1" si="8"/>
        <v>61</v>
      </c>
      <c r="H309" s="28">
        <v>3</v>
      </c>
      <c r="I309" s="25">
        <f t="shared" ca="1" si="9"/>
        <v>183</v>
      </c>
      <c r="J309" s="25" t="str">
        <f>VLOOKUP(F309,地区表!$D$2:$E$18,2,FALSE)</f>
        <v>办公用品</v>
      </c>
      <c r="K309" s="38" t="str">
        <f>VLOOKUP(E309,地区表!$A$2:$C$255,3,FALSE)</f>
        <v>中南</v>
      </c>
    </row>
    <row r="310" spans="1:11" ht="15.6">
      <c r="A310" s="28" t="s">
        <v>369</v>
      </c>
      <c r="B310" s="29">
        <v>44629.329421830502</v>
      </c>
      <c r="C310" s="29">
        <v>44635.368922932401</v>
      </c>
      <c r="D310" s="28" t="s">
        <v>98</v>
      </c>
      <c r="E310" s="28" t="s">
        <v>160</v>
      </c>
      <c r="F310" s="28" t="s">
        <v>110</v>
      </c>
      <c r="G310" s="28">
        <f t="shared" ca="1" si="8"/>
        <v>74</v>
      </c>
      <c r="H310" s="28">
        <v>1</v>
      </c>
      <c r="I310" s="25">
        <f t="shared" ca="1" si="9"/>
        <v>74</v>
      </c>
      <c r="J310" s="25" t="str">
        <f>VLOOKUP(F310,地区表!$D$2:$E$18,2,FALSE)</f>
        <v>家具</v>
      </c>
      <c r="K310" s="38" t="str">
        <f>VLOOKUP(E310,地区表!$A$2:$C$255,3,FALSE)</f>
        <v>东北</v>
      </c>
    </row>
    <row r="311" spans="1:11" ht="15.6">
      <c r="A311" s="28" t="s">
        <v>370</v>
      </c>
      <c r="B311" s="29">
        <v>44407.8866639349</v>
      </c>
      <c r="C311" s="29">
        <v>44411.605364579103</v>
      </c>
      <c r="D311" s="28" t="s">
        <v>94</v>
      </c>
      <c r="E311" s="28" t="s">
        <v>117</v>
      </c>
      <c r="F311" s="28" t="s">
        <v>121</v>
      </c>
      <c r="G311" s="28">
        <f t="shared" ca="1" si="8"/>
        <v>45</v>
      </c>
      <c r="H311" s="28">
        <v>3</v>
      </c>
      <c r="I311" s="25">
        <f t="shared" ca="1" si="9"/>
        <v>135</v>
      </c>
      <c r="J311" s="25" t="str">
        <f>VLOOKUP(F311,地区表!$D$2:$E$18,2,FALSE)</f>
        <v>技术</v>
      </c>
      <c r="K311" s="38" t="str">
        <f>VLOOKUP(E311,地区表!$A$2:$C$255,3,FALSE)</f>
        <v>东北</v>
      </c>
    </row>
    <row r="312" spans="1:11" ht="15.6">
      <c r="A312" s="28" t="s">
        <v>370</v>
      </c>
      <c r="B312" s="29">
        <v>44407.956407858299</v>
      </c>
      <c r="C312" s="29">
        <v>44411.119428529499</v>
      </c>
      <c r="D312" s="28" t="s">
        <v>94</v>
      </c>
      <c r="E312" s="28" t="s">
        <v>117</v>
      </c>
      <c r="F312" s="28" t="s">
        <v>101</v>
      </c>
      <c r="G312" s="28">
        <f t="shared" ca="1" si="8"/>
        <v>21</v>
      </c>
      <c r="H312" s="28">
        <v>3</v>
      </c>
      <c r="I312" s="25">
        <f t="shared" ca="1" si="9"/>
        <v>63</v>
      </c>
      <c r="J312" s="25" t="str">
        <f>VLOOKUP(F312,地区表!$D$2:$E$18,2,FALSE)</f>
        <v>办公用品</v>
      </c>
      <c r="K312" s="38" t="str">
        <f>VLOOKUP(E312,地区表!$A$2:$C$255,3,FALSE)</f>
        <v>东北</v>
      </c>
    </row>
    <row r="313" spans="1:11" ht="15.6">
      <c r="A313" s="28" t="s">
        <v>371</v>
      </c>
      <c r="B313" s="29">
        <v>44426.137345230301</v>
      </c>
      <c r="C313" s="29">
        <v>44430.841392047398</v>
      </c>
      <c r="D313" s="28" t="s">
        <v>98</v>
      </c>
      <c r="E313" s="28" t="s">
        <v>372</v>
      </c>
      <c r="F313" s="28" t="s">
        <v>130</v>
      </c>
      <c r="G313" s="28">
        <f t="shared" ca="1" si="8"/>
        <v>79</v>
      </c>
      <c r="H313" s="28">
        <v>3</v>
      </c>
      <c r="I313" s="25">
        <f t="shared" ca="1" si="9"/>
        <v>237</v>
      </c>
      <c r="J313" s="25" t="str">
        <f>VLOOKUP(F313,地区表!$D$2:$E$18,2,FALSE)</f>
        <v>家具</v>
      </c>
      <c r="K313" s="38" t="str">
        <f>VLOOKUP(E313,地区表!$A$2:$C$255,3,FALSE)</f>
        <v>华东</v>
      </c>
    </row>
    <row r="314" spans="1:11" ht="15.6">
      <c r="A314" s="28" t="s">
        <v>373</v>
      </c>
      <c r="B314" s="29">
        <v>44656.2447068127</v>
      </c>
      <c r="C314" s="29">
        <v>44662.324690790199</v>
      </c>
      <c r="D314" s="28" t="s">
        <v>98</v>
      </c>
      <c r="E314" s="28" t="s">
        <v>374</v>
      </c>
      <c r="F314" s="28" t="s">
        <v>100</v>
      </c>
      <c r="G314" s="28">
        <f t="shared" ca="1" si="8"/>
        <v>85</v>
      </c>
      <c r="H314" s="28">
        <v>3</v>
      </c>
      <c r="I314" s="25">
        <f t="shared" ca="1" si="9"/>
        <v>255</v>
      </c>
      <c r="J314" s="25" t="str">
        <f>VLOOKUP(F314,地区表!$D$2:$E$18,2,FALSE)</f>
        <v>办公用品</v>
      </c>
      <c r="K314" s="38" t="str">
        <f>VLOOKUP(E314,地区表!$A$2:$C$255,3,FALSE)</f>
        <v>华北</v>
      </c>
    </row>
    <row r="315" spans="1:11" ht="15.6">
      <c r="A315" s="28" t="s">
        <v>373</v>
      </c>
      <c r="B315" s="29">
        <v>44656.949539152702</v>
      </c>
      <c r="C315" s="29">
        <v>44662.506706379398</v>
      </c>
      <c r="D315" s="28" t="s">
        <v>98</v>
      </c>
      <c r="E315" s="28" t="s">
        <v>374</v>
      </c>
      <c r="F315" s="28" t="s">
        <v>96</v>
      </c>
      <c r="G315" s="28">
        <f t="shared" ca="1" si="8"/>
        <v>91</v>
      </c>
      <c r="H315" s="28">
        <v>7</v>
      </c>
      <c r="I315" s="25">
        <f t="shared" ca="1" si="9"/>
        <v>637</v>
      </c>
      <c r="J315" s="25" t="str">
        <f>VLOOKUP(F315,地区表!$D$2:$E$18,2,FALSE)</f>
        <v>办公用品</v>
      </c>
      <c r="K315" s="38" t="str">
        <f>VLOOKUP(E315,地区表!$A$2:$C$255,3,FALSE)</f>
        <v>华北</v>
      </c>
    </row>
    <row r="316" spans="1:11" ht="15.6">
      <c r="A316" s="28" t="s">
        <v>373</v>
      </c>
      <c r="B316" s="29">
        <v>44656.709048883597</v>
      </c>
      <c r="C316" s="29">
        <v>44662.114051216297</v>
      </c>
      <c r="D316" s="28" t="s">
        <v>98</v>
      </c>
      <c r="E316" s="28" t="s">
        <v>374</v>
      </c>
      <c r="F316" s="28" t="s">
        <v>125</v>
      </c>
      <c r="G316" s="28">
        <f t="shared" ca="1" si="8"/>
        <v>17</v>
      </c>
      <c r="H316" s="28">
        <v>9</v>
      </c>
      <c r="I316" s="25">
        <f t="shared" ca="1" si="9"/>
        <v>153</v>
      </c>
      <c r="J316" s="25" t="str">
        <f>VLOOKUP(F316,地区表!$D$2:$E$18,2,FALSE)</f>
        <v>办公用品</v>
      </c>
      <c r="K316" s="38" t="str">
        <f>VLOOKUP(E316,地区表!$A$2:$C$255,3,FALSE)</f>
        <v>华北</v>
      </c>
    </row>
    <row r="317" spans="1:11" ht="15.6">
      <c r="A317" s="28" t="s">
        <v>375</v>
      </c>
      <c r="B317" s="29">
        <v>44259.610346869697</v>
      </c>
      <c r="C317" s="29">
        <v>44262.305984967301</v>
      </c>
      <c r="D317" s="28" t="s">
        <v>98</v>
      </c>
      <c r="E317" s="28" t="s">
        <v>376</v>
      </c>
      <c r="F317" s="28" t="s">
        <v>110</v>
      </c>
      <c r="G317" s="28">
        <f t="shared" ca="1" si="8"/>
        <v>26</v>
      </c>
      <c r="H317" s="28">
        <v>4</v>
      </c>
      <c r="I317" s="25">
        <f t="shared" ca="1" si="9"/>
        <v>104</v>
      </c>
      <c r="J317" s="25" t="str">
        <f>VLOOKUP(F317,地区表!$D$2:$E$18,2,FALSE)</f>
        <v>家具</v>
      </c>
      <c r="K317" s="38" t="str">
        <f>VLOOKUP(E317,地区表!$A$2:$C$255,3,FALSE)</f>
        <v>华北</v>
      </c>
    </row>
    <row r="318" spans="1:11" ht="15.6">
      <c r="A318" s="28" t="s">
        <v>375</v>
      </c>
      <c r="B318" s="29">
        <v>44259.7754201762</v>
      </c>
      <c r="C318" s="29">
        <v>44262.1722126206</v>
      </c>
      <c r="D318" s="28" t="s">
        <v>98</v>
      </c>
      <c r="E318" s="28" t="s">
        <v>376</v>
      </c>
      <c r="F318" s="28" t="s">
        <v>141</v>
      </c>
      <c r="G318" s="28">
        <f t="shared" ca="1" si="8"/>
        <v>87</v>
      </c>
      <c r="H318" s="28">
        <v>5</v>
      </c>
      <c r="I318" s="25">
        <f t="shared" ca="1" si="9"/>
        <v>435</v>
      </c>
      <c r="J318" s="25" t="str">
        <f>VLOOKUP(F318,地区表!$D$2:$E$18,2,FALSE)</f>
        <v>办公用品</v>
      </c>
      <c r="K318" s="38" t="str">
        <f>VLOOKUP(E318,地区表!$A$2:$C$255,3,FALSE)</f>
        <v>华北</v>
      </c>
    </row>
    <row r="319" spans="1:11" ht="15.6">
      <c r="A319" s="28" t="s">
        <v>375</v>
      </c>
      <c r="B319" s="29">
        <v>44259.547619331897</v>
      </c>
      <c r="C319" s="29">
        <v>44262.104368911103</v>
      </c>
      <c r="D319" s="28" t="s">
        <v>98</v>
      </c>
      <c r="E319" s="28" t="s">
        <v>376</v>
      </c>
      <c r="F319" s="28" t="s">
        <v>130</v>
      </c>
      <c r="G319" s="28">
        <f t="shared" ca="1" si="8"/>
        <v>53</v>
      </c>
      <c r="H319" s="28">
        <v>2</v>
      </c>
      <c r="I319" s="25">
        <f t="shared" ca="1" si="9"/>
        <v>106</v>
      </c>
      <c r="J319" s="25" t="str">
        <f>VLOOKUP(F319,地区表!$D$2:$E$18,2,FALSE)</f>
        <v>家具</v>
      </c>
      <c r="K319" s="38" t="str">
        <f>VLOOKUP(E319,地区表!$A$2:$C$255,3,FALSE)</f>
        <v>华北</v>
      </c>
    </row>
    <row r="320" spans="1:11" ht="15.6">
      <c r="A320" s="28" t="s">
        <v>377</v>
      </c>
      <c r="B320" s="29">
        <v>44533.564203131798</v>
      </c>
      <c r="C320" s="29">
        <v>44538.677428773801</v>
      </c>
      <c r="D320" s="28" t="s">
        <v>98</v>
      </c>
      <c r="E320" s="28" t="s">
        <v>378</v>
      </c>
      <c r="F320" s="28" t="s">
        <v>111</v>
      </c>
      <c r="G320" s="28">
        <f t="shared" ca="1" si="8"/>
        <v>14</v>
      </c>
      <c r="H320" s="28">
        <v>4</v>
      </c>
      <c r="I320" s="25">
        <f t="shared" ca="1" si="9"/>
        <v>56</v>
      </c>
      <c r="J320" s="25" t="str">
        <f>VLOOKUP(F320,地区表!$D$2:$E$18,2,FALSE)</f>
        <v>办公用品</v>
      </c>
      <c r="K320" s="38" t="str">
        <f>VLOOKUP(E320,地区表!$A$2:$C$255,3,FALSE)</f>
        <v>华北</v>
      </c>
    </row>
    <row r="321" spans="1:11" ht="15.6">
      <c r="A321" s="28" t="s">
        <v>377</v>
      </c>
      <c r="B321" s="29">
        <v>44533.846006654399</v>
      </c>
      <c r="C321" s="29">
        <v>44538.584962323097</v>
      </c>
      <c r="D321" s="28" t="s">
        <v>98</v>
      </c>
      <c r="E321" s="28" t="s">
        <v>378</v>
      </c>
      <c r="F321" s="28" t="s">
        <v>135</v>
      </c>
      <c r="G321" s="28">
        <f t="shared" ca="1" si="8"/>
        <v>28</v>
      </c>
      <c r="H321" s="28">
        <v>2</v>
      </c>
      <c r="I321" s="25">
        <f t="shared" ca="1" si="9"/>
        <v>56</v>
      </c>
      <c r="J321" s="25" t="str">
        <f>VLOOKUP(F321,地区表!$D$2:$E$18,2,FALSE)</f>
        <v>办公用品</v>
      </c>
      <c r="K321" s="38" t="str">
        <f>VLOOKUP(E321,地区表!$A$2:$C$255,3,FALSE)</f>
        <v>华北</v>
      </c>
    </row>
    <row r="322" spans="1:11" ht="15.6">
      <c r="A322" s="28" t="s">
        <v>377</v>
      </c>
      <c r="B322" s="29">
        <v>44533.595118618301</v>
      </c>
      <c r="C322" s="29">
        <v>44538.415224325799</v>
      </c>
      <c r="D322" s="28" t="s">
        <v>98</v>
      </c>
      <c r="E322" s="28" t="s">
        <v>378</v>
      </c>
      <c r="F322" s="28" t="s">
        <v>130</v>
      </c>
      <c r="G322" s="28">
        <f t="shared" ref="G322:G385" ca="1" si="10">RANDBETWEEN(10,100)</f>
        <v>56</v>
      </c>
      <c r="H322" s="28">
        <v>2</v>
      </c>
      <c r="I322" s="25">
        <f t="shared" ref="I322:I385" ca="1" si="11">G322*H322</f>
        <v>112</v>
      </c>
      <c r="J322" s="25" t="str">
        <f>VLOOKUP(F322,地区表!$D$2:$E$18,2,FALSE)</f>
        <v>家具</v>
      </c>
      <c r="K322" s="38" t="str">
        <f>VLOOKUP(E322,地区表!$A$2:$C$255,3,FALSE)</f>
        <v>华北</v>
      </c>
    </row>
    <row r="323" spans="1:11" ht="15.6">
      <c r="A323" s="28" t="s">
        <v>377</v>
      </c>
      <c r="B323" s="29">
        <v>44533.845139194404</v>
      </c>
      <c r="C323" s="29">
        <v>44538.352940087301</v>
      </c>
      <c r="D323" s="28" t="s">
        <v>98</v>
      </c>
      <c r="E323" s="28" t="s">
        <v>378</v>
      </c>
      <c r="F323" s="28" t="s">
        <v>101</v>
      </c>
      <c r="G323" s="28">
        <f t="shared" ca="1" si="10"/>
        <v>69</v>
      </c>
      <c r="H323" s="28">
        <v>5</v>
      </c>
      <c r="I323" s="25">
        <f t="shared" ca="1" si="11"/>
        <v>345</v>
      </c>
      <c r="J323" s="25" t="str">
        <f>VLOOKUP(F323,地区表!$D$2:$E$18,2,FALSE)</f>
        <v>办公用品</v>
      </c>
      <c r="K323" s="38" t="str">
        <f>VLOOKUP(E323,地区表!$A$2:$C$255,3,FALSE)</f>
        <v>华北</v>
      </c>
    </row>
    <row r="324" spans="1:11" ht="15.6">
      <c r="A324" s="28" t="s">
        <v>377</v>
      </c>
      <c r="B324" s="29">
        <v>44533.889935688501</v>
      </c>
      <c r="C324" s="29">
        <v>44538.028912131202</v>
      </c>
      <c r="D324" s="28" t="s">
        <v>98</v>
      </c>
      <c r="E324" s="28" t="s">
        <v>378</v>
      </c>
      <c r="F324" s="28" t="s">
        <v>100</v>
      </c>
      <c r="G324" s="28">
        <f t="shared" ca="1" si="10"/>
        <v>13</v>
      </c>
      <c r="H324" s="28">
        <v>9</v>
      </c>
      <c r="I324" s="25">
        <f t="shared" ca="1" si="11"/>
        <v>117</v>
      </c>
      <c r="J324" s="25" t="str">
        <f>VLOOKUP(F324,地区表!$D$2:$E$18,2,FALSE)</f>
        <v>办公用品</v>
      </c>
      <c r="K324" s="38" t="str">
        <f>VLOOKUP(E324,地区表!$A$2:$C$255,3,FALSE)</f>
        <v>华北</v>
      </c>
    </row>
    <row r="325" spans="1:11" ht="15.6">
      <c r="A325" s="28" t="s">
        <v>379</v>
      </c>
      <c r="B325" s="29">
        <v>45128.150316860403</v>
      </c>
      <c r="C325" s="29">
        <v>45130.675368706703</v>
      </c>
      <c r="D325" s="28" t="s">
        <v>98</v>
      </c>
      <c r="E325" s="28" t="s">
        <v>380</v>
      </c>
      <c r="F325" s="28" t="s">
        <v>122</v>
      </c>
      <c r="G325" s="28">
        <f t="shared" ca="1" si="10"/>
        <v>53</v>
      </c>
      <c r="H325" s="28">
        <v>3</v>
      </c>
      <c r="I325" s="25">
        <f t="shared" ca="1" si="11"/>
        <v>159</v>
      </c>
      <c r="J325" s="25" t="str">
        <f>VLOOKUP(F325,地区表!$D$2:$E$18,2,FALSE)</f>
        <v>技术</v>
      </c>
      <c r="K325" s="38" t="str">
        <f>VLOOKUP(E325,地区表!$A$2:$C$255,3,FALSE)</f>
        <v>中南</v>
      </c>
    </row>
    <row r="326" spans="1:11" ht="15.6">
      <c r="A326" s="28" t="s">
        <v>381</v>
      </c>
      <c r="B326" s="29">
        <v>45093.752591561897</v>
      </c>
      <c r="C326" s="29">
        <v>45099.352632813498</v>
      </c>
      <c r="D326" s="28" t="s">
        <v>98</v>
      </c>
      <c r="E326" s="28" t="s">
        <v>382</v>
      </c>
      <c r="F326" s="28" t="s">
        <v>131</v>
      </c>
      <c r="G326" s="28">
        <f t="shared" ca="1" si="10"/>
        <v>99</v>
      </c>
      <c r="H326" s="28">
        <v>2</v>
      </c>
      <c r="I326" s="25">
        <f t="shared" ca="1" si="11"/>
        <v>198</v>
      </c>
      <c r="J326" s="25" t="str">
        <f>VLOOKUP(F326,地区表!$D$2:$E$18,2,FALSE)</f>
        <v>家具</v>
      </c>
      <c r="K326" s="38" t="str">
        <f>VLOOKUP(E326,地区表!$A$2:$C$255,3,FALSE)</f>
        <v>中南</v>
      </c>
    </row>
    <row r="327" spans="1:11" ht="15.6">
      <c r="A327" s="28" t="s">
        <v>383</v>
      </c>
      <c r="B327" s="29">
        <v>44466.0162827432</v>
      </c>
      <c r="C327" s="29">
        <v>44471.363192394798</v>
      </c>
      <c r="D327" s="28" t="s">
        <v>98</v>
      </c>
      <c r="E327" s="28" t="s">
        <v>181</v>
      </c>
      <c r="F327" s="28" t="s">
        <v>111</v>
      </c>
      <c r="G327" s="28">
        <f t="shared" ca="1" si="10"/>
        <v>90</v>
      </c>
      <c r="H327" s="28">
        <v>6</v>
      </c>
      <c r="I327" s="25">
        <f t="shared" ca="1" si="11"/>
        <v>540</v>
      </c>
      <c r="J327" s="25" t="str">
        <f>VLOOKUP(F327,地区表!$D$2:$E$18,2,FALSE)</f>
        <v>办公用品</v>
      </c>
      <c r="K327" s="38" t="str">
        <f>VLOOKUP(E327,地区表!$A$2:$C$255,3,FALSE)</f>
        <v>华北</v>
      </c>
    </row>
    <row r="328" spans="1:11" ht="15.6">
      <c r="A328" s="28" t="s">
        <v>384</v>
      </c>
      <c r="B328" s="29">
        <v>44340.800021135998</v>
      </c>
      <c r="C328" s="29">
        <v>44345.363083285498</v>
      </c>
      <c r="D328" s="28" t="s">
        <v>98</v>
      </c>
      <c r="E328" s="28" t="s">
        <v>385</v>
      </c>
      <c r="F328" s="28" t="s">
        <v>111</v>
      </c>
      <c r="G328" s="28">
        <f t="shared" ca="1" si="10"/>
        <v>33</v>
      </c>
      <c r="H328" s="28">
        <v>4</v>
      </c>
      <c r="I328" s="25">
        <f t="shared" ca="1" si="11"/>
        <v>132</v>
      </c>
      <c r="J328" s="25" t="str">
        <f>VLOOKUP(F328,地区表!$D$2:$E$18,2,FALSE)</f>
        <v>办公用品</v>
      </c>
      <c r="K328" s="38" t="str">
        <f>VLOOKUP(E328,地区表!$A$2:$C$255,3,FALSE)</f>
        <v>中南</v>
      </c>
    </row>
    <row r="329" spans="1:11" ht="15.6">
      <c r="A329" s="28" t="s">
        <v>386</v>
      </c>
      <c r="B329" s="29">
        <v>44413.483677518299</v>
      </c>
      <c r="C329" s="29">
        <v>44419.814027755499</v>
      </c>
      <c r="D329" s="28" t="s">
        <v>94</v>
      </c>
      <c r="E329" s="28" t="s">
        <v>387</v>
      </c>
      <c r="F329" s="28" t="s">
        <v>112</v>
      </c>
      <c r="G329" s="28">
        <f t="shared" ca="1" si="10"/>
        <v>69</v>
      </c>
      <c r="H329" s="28">
        <v>9</v>
      </c>
      <c r="I329" s="25">
        <f t="shared" ca="1" si="11"/>
        <v>621</v>
      </c>
      <c r="J329" s="25" t="str">
        <f>VLOOKUP(F329,地区表!$D$2:$E$18,2,FALSE)</f>
        <v>办公用品</v>
      </c>
      <c r="K329" s="38" t="str">
        <f>VLOOKUP(E329,地区表!$A$2:$C$255,3,FALSE)</f>
        <v>东北</v>
      </c>
    </row>
    <row r="330" spans="1:11" ht="15.6">
      <c r="A330" s="28" t="s">
        <v>388</v>
      </c>
      <c r="B330" s="29">
        <v>44946.148616881401</v>
      </c>
      <c r="C330" s="29">
        <v>44948.051993553097</v>
      </c>
      <c r="D330" s="28" t="s">
        <v>114</v>
      </c>
      <c r="E330" s="28" t="s">
        <v>207</v>
      </c>
      <c r="F330" s="28" t="s">
        <v>100</v>
      </c>
      <c r="G330" s="28">
        <f t="shared" ca="1" si="10"/>
        <v>89</v>
      </c>
      <c r="H330" s="28">
        <v>4</v>
      </c>
      <c r="I330" s="25">
        <f t="shared" ca="1" si="11"/>
        <v>356</v>
      </c>
      <c r="J330" s="25" t="str">
        <f>VLOOKUP(F330,地区表!$D$2:$E$18,2,FALSE)</f>
        <v>办公用品</v>
      </c>
      <c r="K330" s="38" t="str">
        <f>VLOOKUP(E330,地区表!$A$2:$C$255,3,FALSE)</f>
        <v>华北</v>
      </c>
    </row>
    <row r="331" spans="1:11" ht="15.6">
      <c r="A331" s="28" t="s">
        <v>389</v>
      </c>
      <c r="B331" s="29">
        <v>45183.015563020599</v>
      </c>
      <c r="C331" s="29">
        <v>45188.652310069701</v>
      </c>
      <c r="D331" s="28" t="s">
        <v>94</v>
      </c>
      <c r="E331" s="28" t="s">
        <v>390</v>
      </c>
      <c r="F331" s="28" t="s">
        <v>96</v>
      </c>
      <c r="G331" s="28">
        <f t="shared" ca="1" si="10"/>
        <v>51</v>
      </c>
      <c r="H331" s="28">
        <v>2</v>
      </c>
      <c r="I331" s="25">
        <f t="shared" ca="1" si="11"/>
        <v>102</v>
      </c>
      <c r="J331" s="25" t="str">
        <f>VLOOKUP(F331,地区表!$D$2:$E$18,2,FALSE)</f>
        <v>办公用品</v>
      </c>
      <c r="K331" s="38" t="str">
        <f>VLOOKUP(E331,地区表!$A$2:$C$255,3,FALSE)</f>
        <v>华北</v>
      </c>
    </row>
    <row r="332" spans="1:11" ht="15.6">
      <c r="A332" s="28" t="s">
        <v>389</v>
      </c>
      <c r="B332" s="29">
        <v>45183.142599435203</v>
      </c>
      <c r="C332" s="29">
        <v>45188.870494549999</v>
      </c>
      <c r="D332" s="28" t="s">
        <v>94</v>
      </c>
      <c r="E332" s="28" t="s">
        <v>390</v>
      </c>
      <c r="F332" s="28" t="s">
        <v>144</v>
      </c>
      <c r="G332" s="28">
        <f t="shared" ca="1" si="10"/>
        <v>98</v>
      </c>
      <c r="H332" s="28">
        <v>11</v>
      </c>
      <c r="I332" s="25">
        <f t="shared" ca="1" si="11"/>
        <v>1078</v>
      </c>
      <c r="J332" s="25" t="str">
        <f>VLOOKUP(F332,地区表!$D$2:$E$18,2,FALSE)</f>
        <v>家具</v>
      </c>
      <c r="K332" s="38" t="str">
        <f>VLOOKUP(E332,地区表!$A$2:$C$255,3,FALSE)</f>
        <v>华北</v>
      </c>
    </row>
    <row r="333" spans="1:11" ht="15.6">
      <c r="A333" s="28" t="s">
        <v>389</v>
      </c>
      <c r="B333" s="29">
        <v>45183.513405772101</v>
      </c>
      <c r="C333" s="29">
        <v>45188.178451804102</v>
      </c>
      <c r="D333" s="28" t="s">
        <v>94</v>
      </c>
      <c r="E333" s="28" t="s">
        <v>390</v>
      </c>
      <c r="F333" s="28" t="s">
        <v>106</v>
      </c>
      <c r="G333" s="28">
        <f t="shared" ca="1" si="10"/>
        <v>60</v>
      </c>
      <c r="H333" s="28">
        <v>8</v>
      </c>
      <c r="I333" s="25">
        <f t="shared" ca="1" si="11"/>
        <v>480</v>
      </c>
      <c r="J333" s="25" t="str">
        <f>VLOOKUP(F333,地区表!$D$2:$E$18,2,FALSE)</f>
        <v>办公用品</v>
      </c>
      <c r="K333" s="38" t="str">
        <f>VLOOKUP(E333,地区表!$A$2:$C$255,3,FALSE)</f>
        <v>华北</v>
      </c>
    </row>
    <row r="334" spans="1:11" ht="15.6">
      <c r="A334" s="28" t="s">
        <v>391</v>
      </c>
      <c r="B334" s="29">
        <v>44947.103261326403</v>
      </c>
      <c r="C334" s="29">
        <v>44951.9996200557</v>
      </c>
      <c r="D334" s="28" t="s">
        <v>98</v>
      </c>
      <c r="E334" s="28" t="s">
        <v>392</v>
      </c>
      <c r="F334" s="28" t="s">
        <v>122</v>
      </c>
      <c r="G334" s="28">
        <f t="shared" ca="1" si="10"/>
        <v>27</v>
      </c>
      <c r="H334" s="28">
        <v>2</v>
      </c>
      <c r="I334" s="25">
        <f t="shared" ca="1" si="11"/>
        <v>54</v>
      </c>
      <c r="J334" s="25" t="str">
        <f>VLOOKUP(F334,地区表!$D$2:$E$18,2,FALSE)</f>
        <v>技术</v>
      </c>
      <c r="K334" s="38" t="str">
        <f>VLOOKUP(E334,地区表!$A$2:$C$255,3,FALSE)</f>
        <v>东北</v>
      </c>
    </row>
    <row r="335" spans="1:11" ht="15.6">
      <c r="A335" s="28" t="s">
        <v>393</v>
      </c>
      <c r="B335" s="29">
        <v>44232.976260765201</v>
      </c>
      <c r="C335" s="29">
        <v>44239.578420174599</v>
      </c>
      <c r="D335" s="28" t="s">
        <v>98</v>
      </c>
      <c r="E335" s="28" t="s">
        <v>385</v>
      </c>
      <c r="F335" s="28" t="s">
        <v>111</v>
      </c>
      <c r="G335" s="28">
        <f t="shared" ca="1" si="10"/>
        <v>50</v>
      </c>
      <c r="H335" s="28">
        <v>3</v>
      </c>
      <c r="I335" s="25">
        <f t="shared" ca="1" si="11"/>
        <v>150</v>
      </c>
      <c r="J335" s="25" t="str">
        <f>VLOOKUP(F335,地区表!$D$2:$E$18,2,FALSE)</f>
        <v>办公用品</v>
      </c>
      <c r="K335" s="38" t="str">
        <f>VLOOKUP(E335,地区表!$A$2:$C$255,3,FALSE)</f>
        <v>中南</v>
      </c>
    </row>
    <row r="336" spans="1:11" ht="15.6">
      <c r="A336" s="28" t="s">
        <v>393</v>
      </c>
      <c r="B336" s="29">
        <v>44232.341703778096</v>
      </c>
      <c r="C336" s="29">
        <v>44239.399520636398</v>
      </c>
      <c r="D336" s="28" t="s">
        <v>98</v>
      </c>
      <c r="E336" s="28" t="s">
        <v>385</v>
      </c>
      <c r="F336" s="28" t="s">
        <v>118</v>
      </c>
      <c r="G336" s="28">
        <f t="shared" ca="1" si="10"/>
        <v>34</v>
      </c>
      <c r="H336" s="28">
        <v>1</v>
      </c>
      <c r="I336" s="25">
        <f t="shared" ca="1" si="11"/>
        <v>34</v>
      </c>
      <c r="J336" s="25" t="str">
        <f>VLOOKUP(F336,地区表!$D$2:$E$18,2,FALSE)</f>
        <v>技术</v>
      </c>
      <c r="K336" s="38" t="str">
        <f>VLOOKUP(E336,地区表!$A$2:$C$255,3,FALSE)</f>
        <v>中南</v>
      </c>
    </row>
    <row r="337" spans="1:11" ht="15.6">
      <c r="A337" s="28" t="s">
        <v>394</v>
      </c>
      <c r="B337" s="29">
        <v>45275.471856522803</v>
      </c>
      <c r="C337" s="29">
        <v>45280.134717105102</v>
      </c>
      <c r="D337" s="28" t="s">
        <v>98</v>
      </c>
      <c r="E337" s="28" t="s">
        <v>361</v>
      </c>
      <c r="F337" s="28" t="s">
        <v>121</v>
      </c>
      <c r="G337" s="28">
        <f t="shared" ca="1" si="10"/>
        <v>60</v>
      </c>
      <c r="H337" s="28">
        <v>5</v>
      </c>
      <c r="I337" s="25">
        <f t="shared" ca="1" si="11"/>
        <v>300</v>
      </c>
      <c r="J337" s="25" t="str">
        <f>VLOOKUP(F337,地区表!$D$2:$E$18,2,FALSE)</f>
        <v>技术</v>
      </c>
      <c r="K337" s="38" t="str">
        <f>VLOOKUP(E337,地区表!$A$2:$C$255,3,FALSE)</f>
        <v>西南</v>
      </c>
    </row>
    <row r="338" spans="1:11" ht="15.6">
      <c r="A338" s="28" t="s">
        <v>394</v>
      </c>
      <c r="B338" s="29">
        <v>45275.553836069797</v>
      </c>
      <c r="C338" s="29">
        <v>45280.526580169899</v>
      </c>
      <c r="D338" s="28" t="s">
        <v>98</v>
      </c>
      <c r="E338" s="28" t="s">
        <v>361</v>
      </c>
      <c r="F338" s="28" t="s">
        <v>110</v>
      </c>
      <c r="G338" s="28">
        <f t="shared" ca="1" si="10"/>
        <v>35</v>
      </c>
      <c r="H338" s="28">
        <v>4</v>
      </c>
      <c r="I338" s="25">
        <f t="shared" ca="1" si="11"/>
        <v>140</v>
      </c>
      <c r="J338" s="25" t="str">
        <f>VLOOKUP(F338,地区表!$D$2:$E$18,2,FALSE)</f>
        <v>家具</v>
      </c>
      <c r="K338" s="38" t="str">
        <f>VLOOKUP(E338,地区表!$A$2:$C$255,3,FALSE)</f>
        <v>西南</v>
      </c>
    </row>
    <row r="339" spans="1:11" ht="15.6">
      <c r="A339" s="28" t="s">
        <v>395</v>
      </c>
      <c r="B339" s="29">
        <v>44320.885319733701</v>
      </c>
      <c r="C339" s="29">
        <v>44324.510005757402</v>
      </c>
      <c r="D339" s="28" t="s">
        <v>94</v>
      </c>
      <c r="E339" s="28" t="s">
        <v>264</v>
      </c>
      <c r="F339" s="28" t="s">
        <v>111</v>
      </c>
      <c r="G339" s="28">
        <f t="shared" ca="1" si="10"/>
        <v>67</v>
      </c>
      <c r="H339" s="28">
        <v>3</v>
      </c>
      <c r="I339" s="25">
        <f t="shared" ca="1" si="11"/>
        <v>201</v>
      </c>
      <c r="J339" s="25" t="str">
        <f>VLOOKUP(F339,地区表!$D$2:$E$18,2,FALSE)</f>
        <v>办公用品</v>
      </c>
      <c r="K339" s="38" t="str">
        <f>VLOOKUP(E339,地区表!$A$2:$C$255,3,FALSE)</f>
        <v>东北</v>
      </c>
    </row>
    <row r="340" spans="1:11" ht="15.6">
      <c r="A340" s="28" t="s">
        <v>395</v>
      </c>
      <c r="B340" s="29">
        <v>44320.3222300536</v>
      </c>
      <c r="C340" s="29">
        <v>44324.659323858301</v>
      </c>
      <c r="D340" s="28" t="s">
        <v>94</v>
      </c>
      <c r="E340" s="28" t="s">
        <v>264</v>
      </c>
      <c r="F340" s="28" t="s">
        <v>135</v>
      </c>
      <c r="G340" s="28">
        <f t="shared" ca="1" si="10"/>
        <v>26</v>
      </c>
      <c r="H340" s="28">
        <v>9</v>
      </c>
      <c r="I340" s="25">
        <f t="shared" ca="1" si="11"/>
        <v>234</v>
      </c>
      <c r="J340" s="25" t="str">
        <f>VLOOKUP(F340,地区表!$D$2:$E$18,2,FALSE)</f>
        <v>办公用品</v>
      </c>
      <c r="K340" s="38" t="str">
        <f>VLOOKUP(E340,地区表!$A$2:$C$255,3,FALSE)</f>
        <v>东北</v>
      </c>
    </row>
    <row r="341" spans="1:11" ht="15.6">
      <c r="A341" s="28" t="s">
        <v>395</v>
      </c>
      <c r="B341" s="29">
        <v>44320.707521321703</v>
      </c>
      <c r="C341" s="29">
        <v>44324.504608068703</v>
      </c>
      <c r="D341" s="28" t="s">
        <v>94</v>
      </c>
      <c r="E341" s="28" t="s">
        <v>264</v>
      </c>
      <c r="F341" s="28" t="s">
        <v>101</v>
      </c>
      <c r="G341" s="28">
        <f t="shared" ca="1" si="10"/>
        <v>18</v>
      </c>
      <c r="H341" s="28">
        <v>3</v>
      </c>
      <c r="I341" s="25">
        <f t="shared" ca="1" si="11"/>
        <v>54</v>
      </c>
      <c r="J341" s="25" t="str">
        <f>VLOOKUP(F341,地区表!$D$2:$E$18,2,FALSE)</f>
        <v>办公用品</v>
      </c>
      <c r="K341" s="38" t="str">
        <f>VLOOKUP(E341,地区表!$A$2:$C$255,3,FALSE)</f>
        <v>东北</v>
      </c>
    </row>
    <row r="342" spans="1:11" ht="15.6">
      <c r="A342" s="28" t="s">
        <v>395</v>
      </c>
      <c r="B342" s="29">
        <v>44320.831637102099</v>
      </c>
      <c r="C342" s="29">
        <v>44324.754024542803</v>
      </c>
      <c r="D342" s="28" t="s">
        <v>94</v>
      </c>
      <c r="E342" s="28" t="s">
        <v>264</v>
      </c>
      <c r="F342" s="28" t="s">
        <v>112</v>
      </c>
      <c r="G342" s="28">
        <f t="shared" ca="1" si="10"/>
        <v>98</v>
      </c>
      <c r="H342" s="28">
        <v>3</v>
      </c>
      <c r="I342" s="25">
        <f t="shared" ca="1" si="11"/>
        <v>294</v>
      </c>
      <c r="J342" s="25" t="str">
        <f>VLOOKUP(F342,地区表!$D$2:$E$18,2,FALSE)</f>
        <v>办公用品</v>
      </c>
      <c r="K342" s="38" t="str">
        <f>VLOOKUP(E342,地区表!$A$2:$C$255,3,FALSE)</f>
        <v>东北</v>
      </c>
    </row>
    <row r="343" spans="1:11" ht="15.6">
      <c r="A343" s="28" t="s">
        <v>395</v>
      </c>
      <c r="B343" s="29">
        <v>44320.128141408699</v>
      </c>
      <c r="C343" s="29">
        <v>44324.6155610844</v>
      </c>
      <c r="D343" s="28" t="s">
        <v>94</v>
      </c>
      <c r="E343" s="28" t="s">
        <v>264</v>
      </c>
      <c r="F343" s="28" t="s">
        <v>130</v>
      </c>
      <c r="G343" s="28">
        <f t="shared" ca="1" si="10"/>
        <v>36</v>
      </c>
      <c r="H343" s="28">
        <v>5</v>
      </c>
      <c r="I343" s="25">
        <f t="shared" ca="1" si="11"/>
        <v>180</v>
      </c>
      <c r="J343" s="25" t="str">
        <f>VLOOKUP(F343,地区表!$D$2:$E$18,2,FALSE)</f>
        <v>家具</v>
      </c>
      <c r="K343" s="38" t="str">
        <f>VLOOKUP(E343,地区表!$A$2:$C$255,3,FALSE)</f>
        <v>东北</v>
      </c>
    </row>
    <row r="344" spans="1:11" ht="15.6">
      <c r="A344" s="28" t="s">
        <v>396</v>
      </c>
      <c r="B344" s="29">
        <v>45136.841144807098</v>
      </c>
      <c r="C344" s="29">
        <v>45138.663469012303</v>
      </c>
      <c r="D344" s="28" t="s">
        <v>94</v>
      </c>
      <c r="E344" s="28" t="s">
        <v>397</v>
      </c>
      <c r="F344" s="28" t="s">
        <v>106</v>
      </c>
      <c r="G344" s="28">
        <f t="shared" ca="1" si="10"/>
        <v>41</v>
      </c>
      <c r="H344" s="28">
        <v>1</v>
      </c>
      <c r="I344" s="25">
        <f t="shared" ca="1" si="11"/>
        <v>41</v>
      </c>
      <c r="J344" s="25" t="str">
        <f>VLOOKUP(F344,地区表!$D$2:$E$18,2,FALSE)</f>
        <v>办公用品</v>
      </c>
      <c r="K344" s="38" t="str">
        <f>VLOOKUP(E344,地区表!$A$2:$C$255,3,FALSE)</f>
        <v>华东</v>
      </c>
    </row>
    <row r="345" spans="1:11" ht="15.6">
      <c r="A345" s="28" t="s">
        <v>398</v>
      </c>
      <c r="B345" s="29">
        <v>45243.616582745701</v>
      </c>
      <c r="C345" s="29">
        <v>45249.347047122297</v>
      </c>
      <c r="D345" s="28" t="s">
        <v>94</v>
      </c>
      <c r="E345" s="28" t="s">
        <v>148</v>
      </c>
      <c r="F345" s="28" t="s">
        <v>122</v>
      </c>
      <c r="G345" s="28">
        <f t="shared" ca="1" si="10"/>
        <v>99</v>
      </c>
      <c r="H345" s="28">
        <v>2</v>
      </c>
      <c r="I345" s="25">
        <f t="shared" ca="1" si="11"/>
        <v>198</v>
      </c>
      <c r="J345" s="25" t="str">
        <f>VLOOKUP(F345,地区表!$D$2:$E$18,2,FALSE)</f>
        <v>技术</v>
      </c>
      <c r="K345" s="38" t="str">
        <f>VLOOKUP(E345,地区表!$A$2:$C$255,3,FALSE)</f>
        <v>华东</v>
      </c>
    </row>
    <row r="346" spans="1:11" ht="15.6">
      <c r="A346" s="28" t="s">
        <v>398</v>
      </c>
      <c r="B346" s="29">
        <v>45243.821600453797</v>
      </c>
      <c r="C346" s="29">
        <v>45249.141071885497</v>
      </c>
      <c r="D346" s="28" t="s">
        <v>94</v>
      </c>
      <c r="E346" s="28" t="s">
        <v>148</v>
      </c>
      <c r="F346" s="28" t="s">
        <v>112</v>
      </c>
      <c r="G346" s="28">
        <f t="shared" ca="1" si="10"/>
        <v>99</v>
      </c>
      <c r="H346" s="28">
        <v>5</v>
      </c>
      <c r="I346" s="25">
        <f t="shared" ca="1" si="11"/>
        <v>495</v>
      </c>
      <c r="J346" s="25" t="str">
        <f>VLOOKUP(F346,地区表!$D$2:$E$18,2,FALSE)</f>
        <v>办公用品</v>
      </c>
      <c r="K346" s="38" t="str">
        <f>VLOOKUP(E346,地区表!$A$2:$C$255,3,FALSE)</f>
        <v>华东</v>
      </c>
    </row>
    <row r="347" spans="1:11" ht="15.6">
      <c r="A347" s="28" t="s">
        <v>398</v>
      </c>
      <c r="B347" s="29">
        <v>45243.494883494401</v>
      </c>
      <c r="C347" s="29">
        <v>45249.758993252399</v>
      </c>
      <c r="D347" s="28" t="s">
        <v>94</v>
      </c>
      <c r="E347" s="28" t="s">
        <v>148</v>
      </c>
      <c r="F347" s="28" t="s">
        <v>111</v>
      </c>
      <c r="G347" s="28">
        <f t="shared" ca="1" si="10"/>
        <v>95</v>
      </c>
      <c r="H347" s="28">
        <v>2</v>
      </c>
      <c r="I347" s="25">
        <f t="shared" ca="1" si="11"/>
        <v>190</v>
      </c>
      <c r="J347" s="25" t="str">
        <f>VLOOKUP(F347,地区表!$D$2:$E$18,2,FALSE)</f>
        <v>办公用品</v>
      </c>
      <c r="K347" s="38" t="str">
        <f>VLOOKUP(E347,地区表!$A$2:$C$255,3,FALSE)</f>
        <v>华东</v>
      </c>
    </row>
    <row r="348" spans="1:11" ht="15.6">
      <c r="A348" s="28" t="s">
        <v>399</v>
      </c>
      <c r="B348" s="29">
        <v>44644.703568302903</v>
      </c>
      <c r="C348" s="29">
        <v>44646.099310477897</v>
      </c>
      <c r="D348" s="28" t="s">
        <v>98</v>
      </c>
      <c r="E348" s="28" t="s">
        <v>400</v>
      </c>
      <c r="F348" s="28" t="s">
        <v>130</v>
      </c>
      <c r="G348" s="28">
        <f t="shared" ca="1" si="10"/>
        <v>68</v>
      </c>
      <c r="H348" s="28">
        <v>3</v>
      </c>
      <c r="I348" s="25">
        <f t="shared" ca="1" si="11"/>
        <v>204</v>
      </c>
      <c r="J348" s="25" t="str">
        <f>VLOOKUP(F348,地区表!$D$2:$E$18,2,FALSE)</f>
        <v>家具</v>
      </c>
      <c r="K348" s="38" t="str">
        <f>VLOOKUP(E348,地区表!$A$2:$C$255,3,FALSE)</f>
        <v>东北</v>
      </c>
    </row>
    <row r="349" spans="1:11" ht="15.6">
      <c r="A349" s="28" t="s">
        <v>399</v>
      </c>
      <c r="B349" s="29">
        <v>44644.213159010302</v>
      </c>
      <c r="C349" s="29">
        <v>44646.6055654757</v>
      </c>
      <c r="D349" s="28" t="s">
        <v>98</v>
      </c>
      <c r="E349" s="28" t="s">
        <v>400</v>
      </c>
      <c r="F349" s="28" t="s">
        <v>109</v>
      </c>
      <c r="G349" s="28">
        <f t="shared" ca="1" si="10"/>
        <v>63</v>
      </c>
      <c r="H349" s="28">
        <v>2</v>
      </c>
      <c r="I349" s="25">
        <f t="shared" ca="1" si="11"/>
        <v>126</v>
      </c>
      <c r="J349" s="25" t="str">
        <f>VLOOKUP(F349,地区表!$D$2:$E$18,2,FALSE)</f>
        <v>技术</v>
      </c>
      <c r="K349" s="38" t="str">
        <f>VLOOKUP(E349,地区表!$A$2:$C$255,3,FALSE)</f>
        <v>东北</v>
      </c>
    </row>
    <row r="350" spans="1:11" ht="15.6">
      <c r="A350" s="28" t="s">
        <v>401</v>
      </c>
      <c r="B350" s="29">
        <v>45065.933352296401</v>
      </c>
      <c r="C350" s="29">
        <v>45070.288141358396</v>
      </c>
      <c r="D350" s="28" t="s">
        <v>114</v>
      </c>
      <c r="E350" s="28" t="s">
        <v>286</v>
      </c>
      <c r="F350" s="28" t="s">
        <v>101</v>
      </c>
      <c r="G350" s="28">
        <f t="shared" ca="1" si="10"/>
        <v>42</v>
      </c>
      <c r="H350" s="28">
        <v>3</v>
      </c>
      <c r="I350" s="25">
        <f t="shared" ca="1" si="11"/>
        <v>126</v>
      </c>
      <c r="J350" s="25" t="str">
        <f>VLOOKUP(F350,地区表!$D$2:$E$18,2,FALSE)</f>
        <v>办公用品</v>
      </c>
      <c r="K350" s="38" t="str">
        <f>VLOOKUP(E350,地区表!$A$2:$C$255,3,FALSE)</f>
        <v>华北</v>
      </c>
    </row>
    <row r="351" spans="1:11" ht="15.6">
      <c r="A351" s="28" t="s">
        <v>401</v>
      </c>
      <c r="B351" s="29">
        <v>45065.454168028104</v>
      </c>
      <c r="C351" s="29">
        <v>45070.026972429398</v>
      </c>
      <c r="D351" s="28" t="s">
        <v>114</v>
      </c>
      <c r="E351" s="28" t="s">
        <v>286</v>
      </c>
      <c r="F351" s="28" t="s">
        <v>131</v>
      </c>
      <c r="G351" s="28">
        <f t="shared" ca="1" si="10"/>
        <v>22</v>
      </c>
      <c r="H351" s="28">
        <v>1</v>
      </c>
      <c r="I351" s="25">
        <f t="shared" ca="1" si="11"/>
        <v>22</v>
      </c>
      <c r="J351" s="25" t="str">
        <f>VLOOKUP(F351,地区表!$D$2:$E$18,2,FALSE)</f>
        <v>家具</v>
      </c>
      <c r="K351" s="38" t="str">
        <f>VLOOKUP(E351,地区表!$A$2:$C$255,3,FALSE)</f>
        <v>华北</v>
      </c>
    </row>
    <row r="352" spans="1:11" ht="15.6">
      <c r="A352" s="28" t="s">
        <v>402</v>
      </c>
      <c r="B352" s="29">
        <v>44197.148533271698</v>
      </c>
      <c r="C352" s="29">
        <v>44201.2821460458</v>
      </c>
      <c r="D352" s="28" t="s">
        <v>94</v>
      </c>
      <c r="E352" s="28" t="s">
        <v>403</v>
      </c>
      <c r="F352" s="28" t="s">
        <v>130</v>
      </c>
      <c r="G352" s="28">
        <f t="shared" ca="1" si="10"/>
        <v>66</v>
      </c>
      <c r="H352" s="28">
        <v>6</v>
      </c>
      <c r="I352" s="25">
        <f t="shared" ca="1" si="11"/>
        <v>396</v>
      </c>
      <c r="J352" s="25" t="str">
        <f>VLOOKUP(F352,地区表!$D$2:$E$18,2,FALSE)</f>
        <v>家具</v>
      </c>
      <c r="K352" s="38" t="str">
        <f>VLOOKUP(E352,地区表!$A$2:$C$255,3,FALSE)</f>
        <v>西南</v>
      </c>
    </row>
    <row r="353" spans="1:11" ht="15.6">
      <c r="A353" s="28" t="s">
        <v>402</v>
      </c>
      <c r="B353" s="29">
        <v>44197.998451218999</v>
      </c>
      <c r="C353" s="29">
        <v>44201.531760691803</v>
      </c>
      <c r="D353" s="28" t="s">
        <v>94</v>
      </c>
      <c r="E353" s="28" t="s">
        <v>403</v>
      </c>
      <c r="F353" s="28" t="s">
        <v>112</v>
      </c>
      <c r="G353" s="28">
        <f t="shared" ca="1" si="10"/>
        <v>65</v>
      </c>
      <c r="H353" s="28">
        <v>2</v>
      </c>
      <c r="I353" s="25">
        <f t="shared" ca="1" si="11"/>
        <v>130</v>
      </c>
      <c r="J353" s="25" t="str">
        <f>VLOOKUP(F353,地区表!$D$2:$E$18,2,FALSE)</f>
        <v>办公用品</v>
      </c>
      <c r="K353" s="38" t="str">
        <f>VLOOKUP(E353,地区表!$A$2:$C$255,3,FALSE)</f>
        <v>西南</v>
      </c>
    </row>
    <row r="354" spans="1:11" ht="15.6">
      <c r="A354" s="28" t="s">
        <v>402</v>
      </c>
      <c r="B354" s="29">
        <v>44197.915030033801</v>
      </c>
      <c r="C354" s="29">
        <v>44201.576982022802</v>
      </c>
      <c r="D354" s="28" t="s">
        <v>94</v>
      </c>
      <c r="E354" s="28" t="s">
        <v>403</v>
      </c>
      <c r="F354" s="28" t="s">
        <v>96</v>
      </c>
      <c r="G354" s="28">
        <f t="shared" ca="1" si="10"/>
        <v>45</v>
      </c>
      <c r="H354" s="28">
        <v>3</v>
      </c>
      <c r="I354" s="25">
        <f t="shared" ca="1" si="11"/>
        <v>135</v>
      </c>
      <c r="J354" s="25" t="str">
        <f>VLOOKUP(F354,地区表!$D$2:$E$18,2,FALSE)</f>
        <v>办公用品</v>
      </c>
      <c r="K354" s="38" t="str">
        <f>VLOOKUP(E354,地区表!$A$2:$C$255,3,FALSE)</f>
        <v>西南</v>
      </c>
    </row>
    <row r="355" spans="1:11" ht="15.6">
      <c r="A355" s="28" t="s">
        <v>404</v>
      </c>
      <c r="B355" s="29">
        <v>45151.232519854602</v>
      </c>
      <c r="C355" s="29">
        <v>45156.985583516704</v>
      </c>
      <c r="D355" s="28" t="s">
        <v>94</v>
      </c>
      <c r="E355" s="28" t="s">
        <v>105</v>
      </c>
      <c r="F355" s="28" t="s">
        <v>122</v>
      </c>
      <c r="G355" s="28">
        <f t="shared" ca="1" si="10"/>
        <v>99</v>
      </c>
      <c r="H355" s="28">
        <v>3</v>
      </c>
      <c r="I355" s="25">
        <f t="shared" ca="1" si="11"/>
        <v>297</v>
      </c>
      <c r="J355" s="25" t="str">
        <f>VLOOKUP(F355,地区表!$D$2:$E$18,2,FALSE)</f>
        <v>技术</v>
      </c>
      <c r="K355" s="38" t="str">
        <f>VLOOKUP(E355,地区表!$A$2:$C$255,3,FALSE)</f>
        <v>中南</v>
      </c>
    </row>
    <row r="356" spans="1:11" ht="15.6">
      <c r="A356" s="28" t="s">
        <v>405</v>
      </c>
      <c r="B356" s="29">
        <v>44630.183929682797</v>
      </c>
      <c r="C356" s="29">
        <v>44635.305499334201</v>
      </c>
      <c r="D356" s="28" t="s">
        <v>94</v>
      </c>
      <c r="E356" s="28" t="s">
        <v>297</v>
      </c>
      <c r="F356" s="28" t="s">
        <v>101</v>
      </c>
      <c r="G356" s="28">
        <f t="shared" ca="1" si="10"/>
        <v>96</v>
      </c>
      <c r="H356" s="28">
        <v>2</v>
      </c>
      <c r="I356" s="25">
        <f t="shared" ca="1" si="11"/>
        <v>192</v>
      </c>
      <c r="J356" s="25" t="str">
        <f>VLOOKUP(F356,地区表!$D$2:$E$18,2,FALSE)</f>
        <v>办公用品</v>
      </c>
      <c r="K356" s="38" t="str">
        <f>VLOOKUP(E356,地区表!$A$2:$C$255,3,FALSE)</f>
        <v>华北</v>
      </c>
    </row>
    <row r="357" spans="1:11" ht="15.6">
      <c r="A357" s="28" t="s">
        <v>405</v>
      </c>
      <c r="B357" s="29">
        <v>44630.118426217297</v>
      </c>
      <c r="C357" s="29">
        <v>44635.537895920403</v>
      </c>
      <c r="D357" s="28" t="s">
        <v>94</v>
      </c>
      <c r="E357" s="28" t="s">
        <v>297</v>
      </c>
      <c r="F357" s="28" t="s">
        <v>141</v>
      </c>
      <c r="G357" s="28">
        <f t="shared" ca="1" si="10"/>
        <v>42</v>
      </c>
      <c r="H357" s="28">
        <v>7</v>
      </c>
      <c r="I357" s="25">
        <f t="shared" ca="1" si="11"/>
        <v>294</v>
      </c>
      <c r="J357" s="25" t="str">
        <f>VLOOKUP(F357,地区表!$D$2:$E$18,2,FALSE)</f>
        <v>办公用品</v>
      </c>
      <c r="K357" s="38" t="str">
        <f>VLOOKUP(E357,地区表!$A$2:$C$255,3,FALSE)</f>
        <v>华北</v>
      </c>
    </row>
    <row r="358" spans="1:11" ht="15.6">
      <c r="A358" s="28" t="s">
        <v>405</v>
      </c>
      <c r="B358" s="29">
        <v>44630.844483430898</v>
      </c>
      <c r="C358" s="29">
        <v>44635.949669502399</v>
      </c>
      <c r="D358" s="28" t="s">
        <v>94</v>
      </c>
      <c r="E358" s="28" t="s">
        <v>297</v>
      </c>
      <c r="F358" s="28" t="s">
        <v>130</v>
      </c>
      <c r="G358" s="28">
        <f t="shared" ca="1" si="10"/>
        <v>75</v>
      </c>
      <c r="H358" s="28">
        <v>5</v>
      </c>
      <c r="I358" s="25">
        <f t="shared" ca="1" si="11"/>
        <v>375</v>
      </c>
      <c r="J358" s="25" t="str">
        <f>VLOOKUP(F358,地区表!$D$2:$E$18,2,FALSE)</f>
        <v>家具</v>
      </c>
      <c r="K358" s="38" t="str">
        <f>VLOOKUP(E358,地区表!$A$2:$C$255,3,FALSE)</f>
        <v>华北</v>
      </c>
    </row>
    <row r="359" spans="1:11" ht="15.6">
      <c r="A359" s="28" t="s">
        <v>405</v>
      </c>
      <c r="B359" s="29">
        <v>44630.111958979003</v>
      </c>
      <c r="C359" s="29">
        <v>44635.733453016903</v>
      </c>
      <c r="D359" s="28" t="s">
        <v>94</v>
      </c>
      <c r="E359" s="28" t="s">
        <v>297</v>
      </c>
      <c r="F359" s="28" t="s">
        <v>130</v>
      </c>
      <c r="G359" s="28">
        <f t="shared" ca="1" si="10"/>
        <v>86</v>
      </c>
      <c r="H359" s="28">
        <v>7</v>
      </c>
      <c r="I359" s="25">
        <f t="shared" ca="1" si="11"/>
        <v>602</v>
      </c>
      <c r="J359" s="25" t="str">
        <f>VLOOKUP(F359,地区表!$D$2:$E$18,2,FALSE)</f>
        <v>家具</v>
      </c>
      <c r="K359" s="38" t="str">
        <f>VLOOKUP(E359,地区表!$A$2:$C$255,3,FALSE)</f>
        <v>华北</v>
      </c>
    </row>
    <row r="360" spans="1:11" ht="15.6">
      <c r="A360" s="28" t="s">
        <v>405</v>
      </c>
      <c r="B360" s="29">
        <v>44630.081255752797</v>
      </c>
      <c r="C360" s="29">
        <v>44635.472283039497</v>
      </c>
      <c r="D360" s="28" t="s">
        <v>94</v>
      </c>
      <c r="E360" s="28" t="s">
        <v>297</v>
      </c>
      <c r="F360" s="28" t="s">
        <v>101</v>
      </c>
      <c r="G360" s="28">
        <f t="shared" ca="1" si="10"/>
        <v>17</v>
      </c>
      <c r="H360" s="28">
        <v>2</v>
      </c>
      <c r="I360" s="25">
        <f t="shared" ca="1" si="11"/>
        <v>34</v>
      </c>
      <c r="J360" s="25" t="str">
        <f>VLOOKUP(F360,地区表!$D$2:$E$18,2,FALSE)</f>
        <v>办公用品</v>
      </c>
      <c r="K360" s="38" t="str">
        <f>VLOOKUP(E360,地区表!$A$2:$C$255,3,FALSE)</f>
        <v>华北</v>
      </c>
    </row>
    <row r="361" spans="1:11" ht="15.6">
      <c r="A361" s="28" t="s">
        <v>405</v>
      </c>
      <c r="B361" s="29">
        <v>44630.456220407701</v>
      </c>
      <c r="C361" s="29">
        <v>44635.315493129099</v>
      </c>
      <c r="D361" s="28" t="s">
        <v>94</v>
      </c>
      <c r="E361" s="28" t="s">
        <v>297</v>
      </c>
      <c r="F361" s="28" t="s">
        <v>122</v>
      </c>
      <c r="G361" s="28">
        <f t="shared" ca="1" si="10"/>
        <v>24</v>
      </c>
      <c r="H361" s="28">
        <v>2</v>
      </c>
      <c r="I361" s="25">
        <f t="shared" ca="1" si="11"/>
        <v>48</v>
      </c>
      <c r="J361" s="25" t="str">
        <f>VLOOKUP(F361,地区表!$D$2:$E$18,2,FALSE)</f>
        <v>技术</v>
      </c>
      <c r="K361" s="38" t="str">
        <f>VLOOKUP(E361,地区表!$A$2:$C$255,3,FALSE)</f>
        <v>华北</v>
      </c>
    </row>
    <row r="362" spans="1:11" ht="15.6">
      <c r="A362" s="28" t="s">
        <v>406</v>
      </c>
      <c r="B362" s="29">
        <v>44608.431819595899</v>
      </c>
      <c r="C362" s="29">
        <v>44612.888773459803</v>
      </c>
      <c r="D362" s="28" t="s">
        <v>94</v>
      </c>
      <c r="E362" s="28" t="s">
        <v>407</v>
      </c>
      <c r="F362" s="28" t="s">
        <v>125</v>
      </c>
      <c r="G362" s="28">
        <f t="shared" ca="1" si="10"/>
        <v>41</v>
      </c>
      <c r="H362" s="28">
        <v>5</v>
      </c>
      <c r="I362" s="25">
        <f t="shared" ca="1" si="11"/>
        <v>205</v>
      </c>
      <c r="J362" s="25" t="str">
        <f>VLOOKUP(F362,地区表!$D$2:$E$18,2,FALSE)</f>
        <v>办公用品</v>
      </c>
      <c r="K362" s="38" t="str">
        <f>VLOOKUP(E362,地区表!$A$2:$C$255,3,FALSE)</f>
        <v>华东</v>
      </c>
    </row>
    <row r="363" spans="1:11" ht="15.6">
      <c r="A363" s="28" t="s">
        <v>408</v>
      </c>
      <c r="B363" s="29">
        <v>44950.5473631399</v>
      </c>
      <c r="C363" s="29">
        <v>44954.449790650797</v>
      </c>
      <c r="D363" s="28" t="s">
        <v>98</v>
      </c>
      <c r="E363" s="28" t="s">
        <v>409</v>
      </c>
      <c r="F363" s="28" t="s">
        <v>118</v>
      </c>
      <c r="G363" s="28">
        <f t="shared" ca="1" si="10"/>
        <v>91</v>
      </c>
      <c r="H363" s="28">
        <v>4</v>
      </c>
      <c r="I363" s="25">
        <f t="shared" ca="1" si="11"/>
        <v>364</v>
      </c>
      <c r="J363" s="25" t="str">
        <f>VLOOKUP(F363,地区表!$D$2:$E$18,2,FALSE)</f>
        <v>技术</v>
      </c>
      <c r="K363" s="38" t="str">
        <f>VLOOKUP(E363,地区表!$A$2:$C$255,3,FALSE)</f>
        <v>西南</v>
      </c>
    </row>
    <row r="364" spans="1:11" ht="15.6">
      <c r="A364" s="28" t="s">
        <v>408</v>
      </c>
      <c r="B364" s="29">
        <v>44950.031207740401</v>
      </c>
      <c r="C364" s="29">
        <v>44954.506432960101</v>
      </c>
      <c r="D364" s="28" t="s">
        <v>98</v>
      </c>
      <c r="E364" s="28" t="s">
        <v>409</v>
      </c>
      <c r="F364" s="28" t="s">
        <v>141</v>
      </c>
      <c r="G364" s="28">
        <f t="shared" ca="1" si="10"/>
        <v>58</v>
      </c>
      <c r="H364" s="28">
        <v>3</v>
      </c>
      <c r="I364" s="25">
        <f t="shared" ca="1" si="11"/>
        <v>174</v>
      </c>
      <c r="J364" s="25" t="str">
        <f>VLOOKUP(F364,地区表!$D$2:$E$18,2,FALSE)</f>
        <v>办公用品</v>
      </c>
      <c r="K364" s="38" t="str">
        <f>VLOOKUP(E364,地区表!$A$2:$C$255,3,FALSE)</f>
        <v>西南</v>
      </c>
    </row>
    <row r="365" spans="1:11" ht="15.6">
      <c r="A365" s="28" t="s">
        <v>410</v>
      </c>
      <c r="B365" s="29">
        <v>44935.432347177302</v>
      </c>
      <c r="C365" s="29">
        <v>44939.046545024103</v>
      </c>
      <c r="D365" s="28" t="s">
        <v>98</v>
      </c>
      <c r="E365" s="28" t="s">
        <v>411</v>
      </c>
      <c r="F365" s="28" t="s">
        <v>135</v>
      </c>
      <c r="G365" s="28">
        <f t="shared" ca="1" si="10"/>
        <v>69</v>
      </c>
      <c r="H365" s="28">
        <v>2</v>
      </c>
      <c r="I365" s="25">
        <f t="shared" ca="1" si="11"/>
        <v>138</v>
      </c>
      <c r="J365" s="25" t="str">
        <f>VLOOKUP(F365,地区表!$D$2:$E$18,2,FALSE)</f>
        <v>办公用品</v>
      </c>
      <c r="K365" s="38" t="str">
        <f>VLOOKUP(E365,地区表!$A$2:$C$255,3,FALSE)</f>
        <v>东北</v>
      </c>
    </row>
    <row r="366" spans="1:11" ht="15.6">
      <c r="A366" s="28" t="s">
        <v>410</v>
      </c>
      <c r="B366" s="29">
        <v>44935.920282410603</v>
      </c>
      <c r="C366" s="29">
        <v>44939.0413747825</v>
      </c>
      <c r="D366" s="28" t="s">
        <v>98</v>
      </c>
      <c r="E366" s="28" t="s">
        <v>411</v>
      </c>
      <c r="F366" s="28" t="s">
        <v>100</v>
      </c>
      <c r="G366" s="28">
        <f t="shared" ca="1" si="10"/>
        <v>28</v>
      </c>
      <c r="H366" s="28">
        <v>2</v>
      </c>
      <c r="I366" s="25">
        <f t="shared" ca="1" si="11"/>
        <v>56</v>
      </c>
      <c r="J366" s="25" t="str">
        <f>VLOOKUP(F366,地区表!$D$2:$E$18,2,FALSE)</f>
        <v>办公用品</v>
      </c>
      <c r="K366" s="38" t="str">
        <f>VLOOKUP(E366,地区表!$A$2:$C$255,3,FALSE)</f>
        <v>东北</v>
      </c>
    </row>
    <row r="367" spans="1:11" ht="15.6">
      <c r="A367" s="28" t="s">
        <v>412</v>
      </c>
      <c r="B367" s="29">
        <v>44454.575170470896</v>
      </c>
      <c r="C367" s="29">
        <v>44459.875001835302</v>
      </c>
      <c r="D367" s="28" t="s">
        <v>98</v>
      </c>
      <c r="E367" s="28" t="s">
        <v>152</v>
      </c>
      <c r="F367" s="28" t="s">
        <v>112</v>
      </c>
      <c r="G367" s="28">
        <f t="shared" ca="1" si="10"/>
        <v>58</v>
      </c>
      <c r="H367" s="28">
        <v>1</v>
      </c>
      <c r="I367" s="25">
        <f t="shared" ca="1" si="11"/>
        <v>58</v>
      </c>
      <c r="J367" s="25" t="str">
        <f>VLOOKUP(F367,地区表!$D$2:$E$18,2,FALSE)</f>
        <v>办公用品</v>
      </c>
      <c r="K367" s="38" t="str">
        <f>VLOOKUP(E367,地区表!$A$2:$C$255,3,FALSE)</f>
        <v>华东</v>
      </c>
    </row>
    <row r="368" spans="1:11" ht="15.6">
      <c r="A368" s="28" t="s">
        <v>413</v>
      </c>
      <c r="B368" s="29">
        <v>44602.240770617398</v>
      </c>
      <c r="C368" s="29">
        <v>44606.050624217802</v>
      </c>
      <c r="D368" s="28" t="s">
        <v>94</v>
      </c>
      <c r="E368" s="28" t="s">
        <v>160</v>
      </c>
      <c r="F368" s="28" t="s">
        <v>106</v>
      </c>
      <c r="G368" s="28">
        <f t="shared" ca="1" si="10"/>
        <v>83</v>
      </c>
      <c r="H368" s="28">
        <v>6</v>
      </c>
      <c r="I368" s="25">
        <f t="shared" ca="1" si="11"/>
        <v>498</v>
      </c>
      <c r="J368" s="25" t="str">
        <f>VLOOKUP(F368,地区表!$D$2:$E$18,2,FALSE)</f>
        <v>办公用品</v>
      </c>
      <c r="K368" s="38" t="str">
        <f>VLOOKUP(E368,地区表!$A$2:$C$255,3,FALSE)</f>
        <v>东北</v>
      </c>
    </row>
    <row r="369" spans="1:11" ht="15.6">
      <c r="A369" s="28" t="s">
        <v>413</v>
      </c>
      <c r="B369" s="29">
        <v>44602.392210695303</v>
      </c>
      <c r="C369" s="29">
        <v>44606.722873764898</v>
      </c>
      <c r="D369" s="28" t="s">
        <v>94</v>
      </c>
      <c r="E369" s="28" t="s">
        <v>160</v>
      </c>
      <c r="F369" s="28" t="s">
        <v>101</v>
      </c>
      <c r="G369" s="28">
        <f t="shared" ca="1" si="10"/>
        <v>82</v>
      </c>
      <c r="H369" s="28">
        <v>8</v>
      </c>
      <c r="I369" s="25">
        <f t="shared" ca="1" si="11"/>
        <v>656</v>
      </c>
      <c r="J369" s="25" t="str">
        <f>VLOOKUP(F369,地区表!$D$2:$E$18,2,FALSE)</f>
        <v>办公用品</v>
      </c>
      <c r="K369" s="38" t="str">
        <f>VLOOKUP(E369,地区表!$A$2:$C$255,3,FALSE)</f>
        <v>东北</v>
      </c>
    </row>
    <row r="370" spans="1:11" ht="15.6">
      <c r="A370" s="28" t="s">
        <v>413</v>
      </c>
      <c r="B370" s="29">
        <v>44602.595195670503</v>
      </c>
      <c r="C370" s="29">
        <v>44606.702506124901</v>
      </c>
      <c r="D370" s="28" t="s">
        <v>94</v>
      </c>
      <c r="E370" s="28" t="s">
        <v>160</v>
      </c>
      <c r="F370" s="28" t="s">
        <v>100</v>
      </c>
      <c r="G370" s="28">
        <f t="shared" ca="1" si="10"/>
        <v>38</v>
      </c>
      <c r="H370" s="28">
        <v>4</v>
      </c>
      <c r="I370" s="25">
        <f t="shared" ca="1" si="11"/>
        <v>152</v>
      </c>
      <c r="J370" s="25" t="str">
        <f>VLOOKUP(F370,地区表!$D$2:$E$18,2,FALSE)</f>
        <v>办公用品</v>
      </c>
      <c r="K370" s="38" t="str">
        <f>VLOOKUP(E370,地区表!$A$2:$C$255,3,FALSE)</f>
        <v>东北</v>
      </c>
    </row>
    <row r="371" spans="1:11" ht="15.6">
      <c r="A371" s="28" t="s">
        <v>413</v>
      </c>
      <c r="B371" s="29">
        <v>44602.788293063903</v>
      </c>
      <c r="C371" s="29">
        <v>44606.444189589398</v>
      </c>
      <c r="D371" s="28" t="s">
        <v>94</v>
      </c>
      <c r="E371" s="28" t="s">
        <v>160</v>
      </c>
      <c r="F371" s="28" t="s">
        <v>100</v>
      </c>
      <c r="G371" s="28">
        <f t="shared" ca="1" si="10"/>
        <v>80</v>
      </c>
      <c r="H371" s="28">
        <v>2</v>
      </c>
      <c r="I371" s="25">
        <f t="shared" ca="1" si="11"/>
        <v>160</v>
      </c>
      <c r="J371" s="25" t="str">
        <f>VLOOKUP(F371,地区表!$D$2:$E$18,2,FALSE)</f>
        <v>办公用品</v>
      </c>
      <c r="K371" s="38" t="str">
        <f>VLOOKUP(E371,地区表!$A$2:$C$255,3,FALSE)</f>
        <v>东北</v>
      </c>
    </row>
    <row r="372" spans="1:11" ht="15.6">
      <c r="A372" s="28" t="s">
        <v>414</v>
      </c>
      <c r="B372" s="29">
        <v>45094.979580628598</v>
      </c>
      <c r="C372" s="29">
        <v>45098.132566457098</v>
      </c>
      <c r="D372" s="28" t="s">
        <v>98</v>
      </c>
      <c r="E372" s="28" t="s">
        <v>95</v>
      </c>
      <c r="F372" s="28" t="s">
        <v>101</v>
      </c>
      <c r="G372" s="28">
        <f t="shared" ca="1" si="10"/>
        <v>22</v>
      </c>
      <c r="H372" s="28">
        <v>4</v>
      </c>
      <c r="I372" s="25">
        <f t="shared" ca="1" si="11"/>
        <v>88</v>
      </c>
      <c r="J372" s="25" t="str">
        <f>VLOOKUP(F372,地区表!$D$2:$E$18,2,FALSE)</f>
        <v>办公用品</v>
      </c>
      <c r="K372" s="38" t="str">
        <f>VLOOKUP(E372,地区表!$A$2:$C$255,3,FALSE)</f>
        <v>华东</v>
      </c>
    </row>
    <row r="373" spans="1:11" ht="15.6">
      <c r="A373" s="28" t="s">
        <v>414</v>
      </c>
      <c r="B373" s="29">
        <v>45094.699115262098</v>
      </c>
      <c r="C373" s="29">
        <v>45098.565686845097</v>
      </c>
      <c r="D373" s="28" t="s">
        <v>98</v>
      </c>
      <c r="E373" s="28" t="s">
        <v>95</v>
      </c>
      <c r="F373" s="28" t="s">
        <v>109</v>
      </c>
      <c r="G373" s="28">
        <f t="shared" ca="1" si="10"/>
        <v>48</v>
      </c>
      <c r="H373" s="28">
        <v>3</v>
      </c>
      <c r="I373" s="25">
        <f t="shared" ca="1" si="11"/>
        <v>144</v>
      </c>
      <c r="J373" s="25" t="str">
        <f>VLOOKUP(F373,地区表!$D$2:$E$18,2,FALSE)</f>
        <v>技术</v>
      </c>
      <c r="K373" s="38" t="str">
        <f>VLOOKUP(E373,地区表!$A$2:$C$255,3,FALSE)</f>
        <v>华东</v>
      </c>
    </row>
    <row r="374" spans="1:11" ht="15.6">
      <c r="A374" s="28" t="s">
        <v>415</v>
      </c>
      <c r="B374" s="29">
        <v>44298.631990569003</v>
      </c>
      <c r="C374" s="29">
        <v>44300.892265217801</v>
      </c>
      <c r="D374" s="28" t="s">
        <v>98</v>
      </c>
      <c r="E374" s="28" t="s">
        <v>416</v>
      </c>
      <c r="F374" s="28" t="s">
        <v>110</v>
      </c>
      <c r="G374" s="28">
        <f t="shared" ca="1" si="10"/>
        <v>58</v>
      </c>
      <c r="H374" s="28">
        <v>3</v>
      </c>
      <c r="I374" s="25">
        <f t="shared" ca="1" si="11"/>
        <v>174</v>
      </c>
      <c r="J374" s="25" t="str">
        <f>VLOOKUP(F374,地区表!$D$2:$E$18,2,FALSE)</f>
        <v>家具</v>
      </c>
      <c r="K374" s="38" t="str">
        <f>VLOOKUP(E374,地区表!$A$2:$C$255,3,FALSE)</f>
        <v>华东</v>
      </c>
    </row>
    <row r="375" spans="1:11" ht="15.6">
      <c r="A375" s="28" t="s">
        <v>415</v>
      </c>
      <c r="B375" s="29">
        <v>44298.504095475197</v>
      </c>
      <c r="C375" s="29">
        <v>44300.741552968902</v>
      </c>
      <c r="D375" s="28" t="s">
        <v>98</v>
      </c>
      <c r="E375" s="28" t="s">
        <v>416</v>
      </c>
      <c r="F375" s="28" t="s">
        <v>101</v>
      </c>
      <c r="G375" s="28">
        <f t="shared" ca="1" si="10"/>
        <v>62</v>
      </c>
      <c r="H375" s="28">
        <v>3</v>
      </c>
      <c r="I375" s="25">
        <f t="shared" ca="1" si="11"/>
        <v>186</v>
      </c>
      <c r="J375" s="25" t="str">
        <f>VLOOKUP(F375,地区表!$D$2:$E$18,2,FALSE)</f>
        <v>办公用品</v>
      </c>
      <c r="K375" s="38" t="str">
        <f>VLOOKUP(E375,地区表!$A$2:$C$255,3,FALSE)</f>
        <v>华东</v>
      </c>
    </row>
    <row r="376" spans="1:11" ht="15.6">
      <c r="A376" s="28" t="s">
        <v>415</v>
      </c>
      <c r="B376" s="29">
        <v>44298.750811755199</v>
      </c>
      <c r="C376" s="29">
        <v>44300.2978958737</v>
      </c>
      <c r="D376" s="28" t="s">
        <v>98</v>
      </c>
      <c r="E376" s="28" t="s">
        <v>416</v>
      </c>
      <c r="F376" s="28" t="s">
        <v>135</v>
      </c>
      <c r="G376" s="28">
        <f t="shared" ca="1" si="10"/>
        <v>94</v>
      </c>
      <c r="H376" s="28">
        <v>3</v>
      </c>
      <c r="I376" s="25">
        <f t="shared" ca="1" si="11"/>
        <v>282</v>
      </c>
      <c r="J376" s="25" t="str">
        <f>VLOOKUP(F376,地区表!$D$2:$E$18,2,FALSE)</f>
        <v>办公用品</v>
      </c>
      <c r="K376" s="38" t="str">
        <f>VLOOKUP(E376,地区表!$A$2:$C$255,3,FALSE)</f>
        <v>华东</v>
      </c>
    </row>
    <row r="377" spans="1:11" ht="15.6">
      <c r="A377" s="28" t="s">
        <v>417</v>
      </c>
      <c r="B377" s="29">
        <v>45264.5420741907</v>
      </c>
      <c r="C377" s="29">
        <v>45268.755128700403</v>
      </c>
      <c r="D377" s="28" t="s">
        <v>98</v>
      </c>
      <c r="E377" s="28" t="s">
        <v>418</v>
      </c>
      <c r="F377" s="28" t="s">
        <v>121</v>
      </c>
      <c r="G377" s="28">
        <f t="shared" ca="1" si="10"/>
        <v>67</v>
      </c>
      <c r="H377" s="28">
        <v>2</v>
      </c>
      <c r="I377" s="25">
        <f t="shared" ca="1" si="11"/>
        <v>134</v>
      </c>
      <c r="J377" s="25" t="str">
        <f>VLOOKUP(F377,地区表!$D$2:$E$18,2,FALSE)</f>
        <v>技术</v>
      </c>
      <c r="K377" s="38" t="str">
        <f>VLOOKUP(E377,地区表!$A$2:$C$255,3,FALSE)</f>
        <v>华东</v>
      </c>
    </row>
    <row r="378" spans="1:11" ht="15.6">
      <c r="A378" s="28" t="s">
        <v>419</v>
      </c>
      <c r="B378" s="29">
        <v>45284.663632334101</v>
      </c>
      <c r="C378" s="29">
        <v>45289.626260028599</v>
      </c>
      <c r="D378" s="28" t="s">
        <v>94</v>
      </c>
      <c r="E378" s="28" t="s">
        <v>411</v>
      </c>
      <c r="F378" s="28" t="s">
        <v>121</v>
      </c>
      <c r="G378" s="28">
        <f t="shared" ca="1" si="10"/>
        <v>60</v>
      </c>
      <c r="H378" s="28">
        <v>2</v>
      </c>
      <c r="I378" s="25">
        <f t="shared" ca="1" si="11"/>
        <v>120</v>
      </c>
      <c r="J378" s="25" t="str">
        <f>VLOOKUP(F378,地区表!$D$2:$E$18,2,FALSE)</f>
        <v>技术</v>
      </c>
      <c r="K378" s="38" t="str">
        <f>VLOOKUP(E378,地区表!$A$2:$C$255,3,FALSE)</f>
        <v>东北</v>
      </c>
    </row>
    <row r="379" spans="1:11" ht="15.6">
      <c r="A379" s="28" t="s">
        <v>419</v>
      </c>
      <c r="B379" s="29">
        <v>45284.408462945903</v>
      </c>
      <c r="C379" s="29">
        <v>45289.297933305301</v>
      </c>
      <c r="D379" s="28" t="s">
        <v>94</v>
      </c>
      <c r="E379" s="28" t="s">
        <v>411</v>
      </c>
      <c r="F379" s="28" t="s">
        <v>101</v>
      </c>
      <c r="G379" s="28">
        <f t="shared" ca="1" si="10"/>
        <v>48</v>
      </c>
      <c r="H379" s="28">
        <v>4</v>
      </c>
      <c r="I379" s="25">
        <f t="shared" ca="1" si="11"/>
        <v>192</v>
      </c>
      <c r="J379" s="25" t="str">
        <f>VLOOKUP(F379,地区表!$D$2:$E$18,2,FALSE)</f>
        <v>办公用品</v>
      </c>
      <c r="K379" s="38" t="str">
        <f>VLOOKUP(E379,地区表!$A$2:$C$255,3,FALSE)</f>
        <v>东北</v>
      </c>
    </row>
    <row r="380" spans="1:11" ht="15.6">
      <c r="A380" s="28" t="s">
        <v>420</v>
      </c>
      <c r="B380" s="29">
        <v>44524.904687545401</v>
      </c>
      <c r="C380" s="29">
        <v>44528.285308695602</v>
      </c>
      <c r="D380" s="28" t="s">
        <v>114</v>
      </c>
      <c r="E380" s="28" t="s">
        <v>95</v>
      </c>
      <c r="F380" s="28" t="s">
        <v>112</v>
      </c>
      <c r="G380" s="28">
        <f t="shared" ca="1" si="10"/>
        <v>84</v>
      </c>
      <c r="H380" s="28">
        <v>5</v>
      </c>
      <c r="I380" s="25">
        <f t="shared" ca="1" si="11"/>
        <v>420</v>
      </c>
      <c r="J380" s="25" t="str">
        <f>VLOOKUP(F380,地区表!$D$2:$E$18,2,FALSE)</f>
        <v>办公用品</v>
      </c>
      <c r="K380" s="38" t="str">
        <f>VLOOKUP(E380,地区表!$A$2:$C$255,3,FALSE)</f>
        <v>华东</v>
      </c>
    </row>
    <row r="381" spans="1:11" ht="15.6">
      <c r="A381" s="28" t="s">
        <v>421</v>
      </c>
      <c r="B381" s="29">
        <v>44200.295999547197</v>
      </c>
      <c r="C381" s="29">
        <v>44202.891261450997</v>
      </c>
      <c r="D381" s="28" t="s">
        <v>98</v>
      </c>
      <c r="E381" s="28" t="s">
        <v>134</v>
      </c>
      <c r="F381" s="28" t="s">
        <v>111</v>
      </c>
      <c r="G381" s="28">
        <f t="shared" ca="1" si="10"/>
        <v>94</v>
      </c>
      <c r="H381" s="28">
        <v>4</v>
      </c>
      <c r="I381" s="25">
        <f t="shared" ca="1" si="11"/>
        <v>376</v>
      </c>
      <c r="J381" s="25" t="str">
        <f>VLOOKUP(F381,地区表!$D$2:$E$18,2,FALSE)</f>
        <v>办公用品</v>
      </c>
      <c r="K381" s="38" t="str">
        <f>VLOOKUP(E381,地区表!$A$2:$C$255,3,FALSE)</f>
        <v>华北</v>
      </c>
    </row>
    <row r="382" spans="1:11" ht="15.6">
      <c r="A382" s="28" t="s">
        <v>421</v>
      </c>
      <c r="B382" s="29">
        <v>44200.314594130403</v>
      </c>
      <c r="C382" s="29">
        <v>44202.439802729597</v>
      </c>
      <c r="D382" s="28" t="s">
        <v>98</v>
      </c>
      <c r="E382" s="28" t="s">
        <v>134</v>
      </c>
      <c r="F382" s="28" t="s">
        <v>131</v>
      </c>
      <c r="G382" s="28">
        <f t="shared" ca="1" si="10"/>
        <v>100</v>
      </c>
      <c r="H382" s="28">
        <v>2</v>
      </c>
      <c r="I382" s="25">
        <f t="shared" ca="1" si="11"/>
        <v>200</v>
      </c>
      <c r="J382" s="25" t="str">
        <f>VLOOKUP(F382,地区表!$D$2:$E$18,2,FALSE)</f>
        <v>家具</v>
      </c>
      <c r="K382" s="38" t="str">
        <f>VLOOKUP(E382,地区表!$A$2:$C$255,3,FALSE)</f>
        <v>华北</v>
      </c>
    </row>
    <row r="383" spans="1:11" ht="15.6">
      <c r="A383" s="28" t="s">
        <v>421</v>
      </c>
      <c r="B383" s="29">
        <v>44200.166253147101</v>
      </c>
      <c r="C383" s="29">
        <v>44202.392380751196</v>
      </c>
      <c r="D383" s="28" t="s">
        <v>98</v>
      </c>
      <c r="E383" s="28" t="s">
        <v>134</v>
      </c>
      <c r="F383" s="28" t="s">
        <v>112</v>
      </c>
      <c r="G383" s="28">
        <f t="shared" ca="1" si="10"/>
        <v>26</v>
      </c>
      <c r="H383" s="28">
        <v>6</v>
      </c>
      <c r="I383" s="25">
        <f t="shared" ca="1" si="11"/>
        <v>156</v>
      </c>
      <c r="J383" s="25" t="str">
        <f>VLOOKUP(F383,地区表!$D$2:$E$18,2,FALSE)</f>
        <v>办公用品</v>
      </c>
      <c r="K383" s="38" t="str">
        <f>VLOOKUP(E383,地区表!$A$2:$C$255,3,FALSE)</f>
        <v>华北</v>
      </c>
    </row>
    <row r="384" spans="1:11" ht="15.6">
      <c r="A384" s="28" t="s">
        <v>421</v>
      </c>
      <c r="B384" s="29">
        <v>44200.883060630302</v>
      </c>
      <c r="C384" s="29">
        <v>44202.475164343603</v>
      </c>
      <c r="D384" s="28" t="s">
        <v>98</v>
      </c>
      <c r="E384" s="28" t="s">
        <v>134</v>
      </c>
      <c r="F384" s="28" t="s">
        <v>96</v>
      </c>
      <c r="G384" s="28">
        <f t="shared" ca="1" si="10"/>
        <v>87</v>
      </c>
      <c r="H384" s="28">
        <v>3</v>
      </c>
      <c r="I384" s="25">
        <f t="shared" ca="1" si="11"/>
        <v>261</v>
      </c>
      <c r="J384" s="25" t="str">
        <f>VLOOKUP(F384,地区表!$D$2:$E$18,2,FALSE)</f>
        <v>办公用品</v>
      </c>
      <c r="K384" s="38" t="str">
        <f>VLOOKUP(E384,地区表!$A$2:$C$255,3,FALSE)</f>
        <v>华北</v>
      </c>
    </row>
    <row r="385" spans="1:11" ht="15.6">
      <c r="A385" s="28" t="s">
        <v>421</v>
      </c>
      <c r="B385" s="29">
        <v>44200.488397329696</v>
      </c>
      <c r="C385" s="29">
        <v>44202.022787334899</v>
      </c>
      <c r="D385" s="28" t="s">
        <v>98</v>
      </c>
      <c r="E385" s="28" t="s">
        <v>134</v>
      </c>
      <c r="F385" s="28" t="s">
        <v>110</v>
      </c>
      <c r="G385" s="28">
        <f t="shared" ca="1" si="10"/>
        <v>85</v>
      </c>
      <c r="H385" s="28">
        <v>3</v>
      </c>
      <c r="I385" s="25">
        <f t="shared" ca="1" si="11"/>
        <v>255</v>
      </c>
      <c r="J385" s="25" t="str">
        <f>VLOOKUP(F385,地区表!$D$2:$E$18,2,FALSE)</f>
        <v>家具</v>
      </c>
      <c r="K385" s="38" t="str">
        <f>VLOOKUP(E385,地区表!$A$2:$C$255,3,FALSE)</f>
        <v>华北</v>
      </c>
    </row>
    <row r="386" spans="1:11" ht="15.6">
      <c r="A386" s="28" t="s">
        <v>421</v>
      </c>
      <c r="B386" s="29">
        <v>44200.657985075799</v>
      </c>
      <c r="C386" s="29">
        <v>44202.597001828901</v>
      </c>
      <c r="D386" s="28" t="s">
        <v>98</v>
      </c>
      <c r="E386" s="28" t="s">
        <v>134</v>
      </c>
      <c r="F386" s="28" t="s">
        <v>101</v>
      </c>
      <c r="G386" s="28">
        <f t="shared" ref="G386:G449" ca="1" si="12">RANDBETWEEN(10,100)</f>
        <v>20</v>
      </c>
      <c r="H386" s="28">
        <v>4</v>
      </c>
      <c r="I386" s="25">
        <f t="shared" ref="I386:I449" ca="1" si="13">G386*H386</f>
        <v>80</v>
      </c>
      <c r="J386" s="25" t="str">
        <f>VLOOKUP(F386,地区表!$D$2:$E$18,2,FALSE)</f>
        <v>办公用品</v>
      </c>
      <c r="K386" s="38" t="str">
        <f>VLOOKUP(E386,地区表!$A$2:$C$255,3,FALSE)</f>
        <v>华北</v>
      </c>
    </row>
    <row r="387" spans="1:11" ht="15.6">
      <c r="A387" s="28" t="s">
        <v>421</v>
      </c>
      <c r="B387" s="29">
        <v>44200.260587739103</v>
      </c>
      <c r="C387" s="29">
        <v>44202.029851541498</v>
      </c>
      <c r="D387" s="28" t="s">
        <v>98</v>
      </c>
      <c r="E387" s="28" t="s">
        <v>134</v>
      </c>
      <c r="F387" s="28" t="s">
        <v>111</v>
      </c>
      <c r="G387" s="28">
        <f t="shared" ca="1" si="12"/>
        <v>56</v>
      </c>
      <c r="H387" s="28">
        <v>12</v>
      </c>
      <c r="I387" s="25">
        <f t="shared" ca="1" si="13"/>
        <v>672</v>
      </c>
      <c r="J387" s="25" t="str">
        <f>VLOOKUP(F387,地区表!$D$2:$E$18,2,FALSE)</f>
        <v>办公用品</v>
      </c>
      <c r="K387" s="38" t="str">
        <f>VLOOKUP(E387,地区表!$A$2:$C$255,3,FALSE)</f>
        <v>华北</v>
      </c>
    </row>
    <row r="388" spans="1:11" ht="15.6">
      <c r="A388" s="28" t="s">
        <v>422</v>
      </c>
      <c r="B388" s="29">
        <v>44575.290397504701</v>
      </c>
      <c r="C388" s="29">
        <v>44579.997795120398</v>
      </c>
      <c r="D388" s="28" t="s">
        <v>98</v>
      </c>
      <c r="E388" s="28" t="s">
        <v>423</v>
      </c>
      <c r="F388" s="28" t="s">
        <v>131</v>
      </c>
      <c r="G388" s="28">
        <f t="shared" ca="1" si="12"/>
        <v>93</v>
      </c>
      <c r="H388" s="28">
        <v>4</v>
      </c>
      <c r="I388" s="25">
        <f t="shared" ca="1" si="13"/>
        <v>372</v>
      </c>
      <c r="J388" s="25" t="str">
        <f>VLOOKUP(F388,地区表!$D$2:$E$18,2,FALSE)</f>
        <v>家具</v>
      </c>
      <c r="K388" s="38" t="str">
        <f>VLOOKUP(E388,地区表!$A$2:$C$255,3,FALSE)</f>
        <v>中南</v>
      </c>
    </row>
    <row r="389" spans="1:11" ht="15.6">
      <c r="A389" s="28" t="s">
        <v>422</v>
      </c>
      <c r="B389" s="29">
        <v>44575.333501225003</v>
      </c>
      <c r="C389" s="29">
        <v>44579.910289707899</v>
      </c>
      <c r="D389" s="28" t="s">
        <v>98</v>
      </c>
      <c r="E389" s="28" t="s">
        <v>423</v>
      </c>
      <c r="F389" s="28" t="s">
        <v>135</v>
      </c>
      <c r="G389" s="28">
        <f t="shared" ca="1" si="12"/>
        <v>53</v>
      </c>
      <c r="H389" s="28">
        <v>13</v>
      </c>
      <c r="I389" s="25">
        <f t="shared" ca="1" si="13"/>
        <v>689</v>
      </c>
      <c r="J389" s="25" t="str">
        <f>VLOOKUP(F389,地区表!$D$2:$E$18,2,FALSE)</f>
        <v>办公用品</v>
      </c>
      <c r="K389" s="38" t="str">
        <f>VLOOKUP(E389,地区表!$A$2:$C$255,3,FALSE)</f>
        <v>中南</v>
      </c>
    </row>
    <row r="390" spans="1:11" ht="15.6">
      <c r="A390" s="28" t="s">
        <v>422</v>
      </c>
      <c r="B390" s="29">
        <v>44575.261166379198</v>
      </c>
      <c r="C390" s="29">
        <v>44579.862246925302</v>
      </c>
      <c r="D390" s="28" t="s">
        <v>98</v>
      </c>
      <c r="E390" s="28" t="s">
        <v>423</v>
      </c>
      <c r="F390" s="28" t="s">
        <v>101</v>
      </c>
      <c r="G390" s="28">
        <f t="shared" ca="1" si="12"/>
        <v>64</v>
      </c>
      <c r="H390" s="28">
        <v>2</v>
      </c>
      <c r="I390" s="25">
        <f t="shared" ca="1" si="13"/>
        <v>128</v>
      </c>
      <c r="J390" s="25" t="str">
        <f>VLOOKUP(F390,地区表!$D$2:$E$18,2,FALSE)</f>
        <v>办公用品</v>
      </c>
      <c r="K390" s="38" t="str">
        <f>VLOOKUP(E390,地区表!$A$2:$C$255,3,FALSE)</f>
        <v>中南</v>
      </c>
    </row>
    <row r="391" spans="1:11" ht="15.6">
      <c r="A391" s="28" t="s">
        <v>424</v>
      </c>
      <c r="B391" s="29">
        <v>44676.518088310899</v>
      </c>
      <c r="C391" s="29">
        <v>44677.0129100337</v>
      </c>
      <c r="D391" s="28" t="s">
        <v>114</v>
      </c>
      <c r="E391" s="28" t="s">
        <v>425</v>
      </c>
      <c r="F391" s="28" t="s">
        <v>135</v>
      </c>
      <c r="G391" s="28">
        <f t="shared" ca="1" si="12"/>
        <v>69</v>
      </c>
      <c r="H391" s="28">
        <v>3</v>
      </c>
      <c r="I391" s="25">
        <f t="shared" ca="1" si="13"/>
        <v>207</v>
      </c>
      <c r="J391" s="25" t="str">
        <f>VLOOKUP(F391,地区表!$D$2:$E$18,2,FALSE)</f>
        <v>办公用品</v>
      </c>
      <c r="K391" s="38" t="str">
        <f>VLOOKUP(E391,地区表!$A$2:$C$255,3,FALSE)</f>
        <v>东北</v>
      </c>
    </row>
    <row r="392" spans="1:11" ht="15.6">
      <c r="A392" s="28" t="s">
        <v>424</v>
      </c>
      <c r="B392" s="29">
        <v>44676.340463680302</v>
      </c>
      <c r="C392" s="29">
        <v>44677.5101401188</v>
      </c>
      <c r="D392" s="28" t="s">
        <v>114</v>
      </c>
      <c r="E392" s="28" t="s">
        <v>425</v>
      </c>
      <c r="F392" s="28" t="s">
        <v>110</v>
      </c>
      <c r="G392" s="28">
        <f t="shared" ca="1" si="12"/>
        <v>14</v>
      </c>
      <c r="H392" s="28">
        <v>2</v>
      </c>
      <c r="I392" s="25">
        <f t="shared" ca="1" si="13"/>
        <v>28</v>
      </c>
      <c r="J392" s="25" t="str">
        <f>VLOOKUP(F392,地区表!$D$2:$E$18,2,FALSE)</f>
        <v>家具</v>
      </c>
      <c r="K392" s="38" t="str">
        <f>VLOOKUP(E392,地区表!$A$2:$C$255,3,FALSE)</f>
        <v>东北</v>
      </c>
    </row>
    <row r="393" spans="1:11" ht="15.6">
      <c r="A393" s="28" t="s">
        <v>426</v>
      </c>
      <c r="B393" s="29">
        <v>45201.993667452298</v>
      </c>
      <c r="C393" s="29">
        <v>45206.588055923698</v>
      </c>
      <c r="D393" s="28" t="s">
        <v>98</v>
      </c>
      <c r="E393" s="28" t="s">
        <v>427</v>
      </c>
      <c r="F393" s="28" t="s">
        <v>125</v>
      </c>
      <c r="G393" s="28">
        <f t="shared" ca="1" si="12"/>
        <v>19</v>
      </c>
      <c r="H393" s="28">
        <v>5</v>
      </c>
      <c r="I393" s="25">
        <f t="shared" ca="1" si="13"/>
        <v>95</v>
      </c>
      <c r="J393" s="25" t="str">
        <f>VLOOKUP(F393,地区表!$D$2:$E$18,2,FALSE)</f>
        <v>办公用品</v>
      </c>
      <c r="K393" s="38" t="str">
        <f>VLOOKUP(E393,地区表!$A$2:$C$255,3,FALSE)</f>
        <v>中南</v>
      </c>
    </row>
    <row r="394" spans="1:11" ht="15.6">
      <c r="A394" s="28" t="s">
        <v>428</v>
      </c>
      <c r="B394" s="29">
        <v>44956.057088647503</v>
      </c>
      <c r="C394" s="29">
        <v>44960.532819197899</v>
      </c>
      <c r="D394" s="28" t="s">
        <v>98</v>
      </c>
      <c r="E394" s="28" t="s">
        <v>429</v>
      </c>
      <c r="F394" s="28" t="s">
        <v>106</v>
      </c>
      <c r="G394" s="28">
        <f t="shared" ca="1" si="12"/>
        <v>39</v>
      </c>
      <c r="H394" s="28">
        <v>4</v>
      </c>
      <c r="I394" s="25">
        <f t="shared" ca="1" si="13"/>
        <v>156</v>
      </c>
      <c r="J394" s="25" t="str">
        <f>VLOOKUP(F394,地区表!$D$2:$E$18,2,FALSE)</f>
        <v>办公用品</v>
      </c>
      <c r="K394" s="38" t="str">
        <f>VLOOKUP(E394,地区表!$A$2:$C$255,3,FALSE)</f>
        <v>西南</v>
      </c>
    </row>
    <row r="395" spans="1:11" ht="15.6">
      <c r="A395" s="28" t="s">
        <v>428</v>
      </c>
      <c r="B395" s="29">
        <v>44956.919711691997</v>
      </c>
      <c r="C395" s="29">
        <v>44960.088271951303</v>
      </c>
      <c r="D395" s="28" t="s">
        <v>98</v>
      </c>
      <c r="E395" s="28" t="s">
        <v>429</v>
      </c>
      <c r="F395" s="28" t="s">
        <v>130</v>
      </c>
      <c r="G395" s="28">
        <f t="shared" ca="1" si="12"/>
        <v>52</v>
      </c>
      <c r="H395" s="28">
        <v>2</v>
      </c>
      <c r="I395" s="25">
        <f t="shared" ca="1" si="13"/>
        <v>104</v>
      </c>
      <c r="J395" s="25" t="str">
        <f>VLOOKUP(F395,地区表!$D$2:$E$18,2,FALSE)</f>
        <v>家具</v>
      </c>
      <c r="K395" s="38" t="str">
        <f>VLOOKUP(E395,地区表!$A$2:$C$255,3,FALSE)</f>
        <v>西南</v>
      </c>
    </row>
    <row r="396" spans="1:11" ht="15.6">
      <c r="A396" s="28" t="s">
        <v>430</v>
      </c>
      <c r="B396" s="29">
        <v>44272.383981469502</v>
      </c>
      <c r="C396" s="29">
        <v>44277.649687336198</v>
      </c>
      <c r="D396" s="28" t="s">
        <v>98</v>
      </c>
      <c r="E396" s="28" t="s">
        <v>216</v>
      </c>
      <c r="F396" s="28" t="s">
        <v>110</v>
      </c>
      <c r="G396" s="28">
        <f t="shared" ca="1" si="12"/>
        <v>39</v>
      </c>
      <c r="H396" s="28">
        <v>6</v>
      </c>
      <c r="I396" s="25">
        <f t="shared" ca="1" si="13"/>
        <v>234</v>
      </c>
      <c r="J396" s="25" t="str">
        <f>VLOOKUP(F396,地区表!$D$2:$E$18,2,FALSE)</f>
        <v>家具</v>
      </c>
      <c r="K396" s="38" t="str">
        <f>VLOOKUP(E396,地区表!$A$2:$C$255,3,FALSE)</f>
        <v>中南</v>
      </c>
    </row>
    <row r="397" spans="1:11" ht="15.6">
      <c r="A397" s="28" t="s">
        <v>430</v>
      </c>
      <c r="B397" s="29">
        <v>44272.495873320397</v>
      </c>
      <c r="C397" s="29">
        <v>44277.125867274597</v>
      </c>
      <c r="D397" s="28" t="s">
        <v>98</v>
      </c>
      <c r="E397" s="28" t="s">
        <v>216</v>
      </c>
      <c r="F397" s="28" t="s">
        <v>101</v>
      </c>
      <c r="G397" s="28">
        <f t="shared" ca="1" si="12"/>
        <v>16</v>
      </c>
      <c r="H397" s="28">
        <v>2</v>
      </c>
      <c r="I397" s="25">
        <f t="shared" ca="1" si="13"/>
        <v>32</v>
      </c>
      <c r="J397" s="25" t="str">
        <f>VLOOKUP(F397,地区表!$D$2:$E$18,2,FALSE)</f>
        <v>办公用品</v>
      </c>
      <c r="K397" s="38" t="str">
        <f>VLOOKUP(E397,地区表!$A$2:$C$255,3,FALSE)</f>
        <v>中南</v>
      </c>
    </row>
    <row r="398" spans="1:11" ht="15.6">
      <c r="A398" s="28" t="s">
        <v>431</v>
      </c>
      <c r="B398" s="29">
        <v>44647.5412784894</v>
      </c>
      <c r="C398" s="29">
        <v>44651.345290277997</v>
      </c>
      <c r="D398" s="28" t="s">
        <v>114</v>
      </c>
      <c r="E398" s="28" t="s">
        <v>432</v>
      </c>
      <c r="F398" s="28" t="s">
        <v>110</v>
      </c>
      <c r="G398" s="28">
        <f t="shared" ca="1" si="12"/>
        <v>79</v>
      </c>
      <c r="H398" s="28">
        <v>10</v>
      </c>
      <c r="I398" s="25">
        <f t="shared" ca="1" si="13"/>
        <v>790</v>
      </c>
      <c r="J398" s="25" t="str">
        <f>VLOOKUP(F398,地区表!$D$2:$E$18,2,FALSE)</f>
        <v>家具</v>
      </c>
      <c r="K398" s="38" t="str">
        <f>VLOOKUP(E398,地区表!$A$2:$C$255,3,FALSE)</f>
        <v>华东</v>
      </c>
    </row>
    <row r="399" spans="1:11" ht="15.6">
      <c r="A399" s="28" t="s">
        <v>433</v>
      </c>
      <c r="B399" s="29">
        <v>44302.678691384303</v>
      </c>
      <c r="C399" s="29">
        <v>44309.810106648198</v>
      </c>
      <c r="D399" s="28" t="s">
        <v>94</v>
      </c>
      <c r="E399" s="28" t="s">
        <v>361</v>
      </c>
      <c r="F399" s="28" t="s">
        <v>96</v>
      </c>
      <c r="G399" s="28">
        <f t="shared" ca="1" si="12"/>
        <v>32</v>
      </c>
      <c r="H399" s="28">
        <v>5</v>
      </c>
      <c r="I399" s="25">
        <f t="shared" ca="1" si="13"/>
        <v>160</v>
      </c>
      <c r="J399" s="25" t="str">
        <f>VLOOKUP(F399,地区表!$D$2:$E$18,2,FALSE)</f>
        <v>办公用品</v>
      </c>
      <c r="K399" s="38" t="str">
        <f>VLOOKUP(E399,地区表!$A$2:$C$255,3,FALSE)</f>
        <v>西南</v>
      </c>
    </row>
    <row r="400" spans="1:11" ht="15.6">
      <c r="A400" s="28" t="s">
        <v>434</v>
      </c>
      <c r="B400" s="29">
        <v>44539.100507270101</v>
      </c>
      <c r="C400" s="29">
        <v>44544.676045349297</v>
      </c>
      <c r="D400" s="28" t="s">
        <v>114</v>
      </c>
      <c r="E400" s="28" t="s">
        <v>435</v>
      </c>
      <c r="F400" s="28" t="s">
        <v>141</v>
      </c>
      <c r="G400" s="28">
        <f t="shared" ca="1" si="12"/>
        <v>20</v>
      </c>
      <c r="H400" s="28">
        <v>7</v>
      </c>
      <c r="I400" s="25">
        <f t="shared" ca="1" si="13"/>
        <v>140</v>
      </c>
      <c r="J400" s="25" t="str">
        <f>VLOOKUP(F400,地区表!$D$2:$E$18,2,FALSE)</f>
        <v>办公用品</v>
      </c>
      <c r="K400" s="38" t="str">
        <f>VLOOKUP(E400,地区表!$A$2:$C$255,3,FALSE)</f>
        <v>东北</v>
      </c>
    </row>
    <row r="401" spans="1:11" ht="15.6">
      <c r="A401" s="28" t="s">
        <v>434</v>
      </c>
      <c r="B401" s="29">
        <v>44539.457147907196</v>
      </c>
      <c r="C401" s="29">
        <v>44544.503062236399</v>
      </c>
      <c r="D401" s="28" t="s">
        <v>114</v>
      </c>
      <c r="E401" s="28" t="s">
        <v>435</v>
      </c>
      <c r="F401" s="28" t="s">
        <v>106</v>
      </c>
      <c r="G401" s="28">
        <f t="shared" ca="1" si="12"/>
        <v>30</v>
      </c>
      <c r="H401" s="28">
        <v>9</v>
      </c>
      <c r="I401" s="25">
        <f t="shared" ca="1" si="13"/>
        <v>270</v>
      </c>
      <c r="J401" s="25" t="str">
        <f>VLOOKUP(F401,地区表!$D$2:$E$18,2,FALSE)</f>
        <v>办公用品</v>
      </c>
      <c r="K401" s="38" t="str">
        <f>VLOOKUP(E401,地区表!$A$2:$C$255,3,FALSE)</f>
        <v>东北</v>
      </c>
    </row>
    <row r="402" spans="1:11" ht="15.6">
      <c r="A402" s="28" t="s">
        <v>434</v>
      </c>
      <c r="B402" s="29">
        <v>44539.342765143403</v>
      </c>
      <c r="C402" s="29">
        <v>44544.554451813397</v>
      </c>
      <c r="D402" s="28" t="s">
        <v>114</v>
      </c>
      <c r="E402" s="28" t="s">
        <v>435</v>
      </c>
      <c r="F402" s="28" t="s">
        <v>101</v>
      </c>
      <c r="G402" s="28">
        <f t="shared" ca="1" si="12"/>
        <v>78</v>
      </c>
      <c r="H402" s="28">
        <v>3</v>
      </c>
      <c r="I402" s="25">
        <f t="shared" ca="1" si="13"/>
        <v>234</v>
      </c>
      <c r="J402" s="25" t="str">
        <f>VLOOKUP(F402,地区表!$D$2:$E$18,2,FALSE)</f>
        <v>办公用品</v>
      </c>
      <c r="K402" s="38" t="str">
        <f>VLOOKUP(E402,地区表!$A$2:$C$255,3,FALSE)</f>
        <v>东北</v>
      </c>
    </row>
    <row r="403" spans="1:11" ht="15.6">
      <c r="A403" s="28" t="s">
        <v>436</v>
      </c>
      <c r="B403" s="29">
        <v>45015.025176688403</v>
      </c>
      <c r="C403" s="29">
        <v>45020.3939673692</v>
      </c>
      <c r="D403" s="28" t="s">
        <v>94</v>
      </c>
      <c r="E403" s="28" t="s">
        <v>437</v>
      </c>
      <c r="F403" s="28" t="s">
        <v>106</v>
      </c>
      <c r="G403" s="28">
        <f t="shared" ca="1" si="12"/>
        <v>18</v>
      </c>
      <c r="H403" s="28">
        <v>7</v>
      </c>
      <c r="I403" s="25">
        <f t="shared" ca="1" si="13"/>
        <v>126</v>
      </c>
      <c r="J403" s="25" t="str">
        <f>VLOOKUP(F403,地区表!$D$2:$E$18,2,FALSE)</f>
        <v>办公用品</v>
      </c>
      <c r="K403" s="38" t="str">
        <f>VLOOKUP(E403,地区表!$A$2:$C$255,3,FALSE)</f>
        <v>东北</v>
      </c>
    </row>
    <row r="404" spans="1:11" ht="15.6">
      <c r="A404" s="28" t="s">
        <v>436</v>
      </c>
      <c r="B404" s="29">
        <v>45015.625210209699</v>
      </c>
      <c r="C404" s="29">
        <v>45020.580929246898</v>
      </c>
      <c r="D404" s="28" t="s">
        <v>94</v>
      </c>
      <c r="E404" s="28" t="s">
        <v>437</v>
      </c>
      <c r="F404" s="28" t="s">
        <v>112</v>
      </c>
      <c r="G404" s="28">
        <f t="shared" ca="1" si="12"/>
        <v>16</v>
      </c>
      <c r="H404" s="28">
        <v>4</v>
      </c>
      <c r="I404" s="25">
        <f t="shared" ca="1" si="13"/>
        <v>64</v>
      </c>
      <c r="J404" s="25" t="str">
        <f>VLOOKUP(F404,地区表!$D$2:$E$18,2,FALSE)</f>
        <v>办公用品</v>
      </c>
      <c r="K404" s="38" t="str">
        <f>VLOOKUP(E404,地区表!$A$2:$C$255,3,FALSE)</f>
        <v>东北</v>
      </c>
    </row>
    <row r="405" spans="1:11" ht="15.6">
      <c r="A405" s="28" t="s">
        <v>436</v>
      </c>
      <c r="B405" s="29">
        <v>45015.721993402403</v>
      </c>
      <c r="C405" s="29">
        <v>45020.186730733702</v>
      </c>
      <c r="D405" s="28" t="s">
        <v>94</v>
      </c>
      <c r="E405" s="28" t="s">
        <v>437</v>
      </c>
      <c r="F405" s="28" t="s">
        <v>100</v>
      </c>
      <c r="G405" s="28">
        <f t="shared" ca="1" si="12"/>
        <v>84</v>
      </c>
      <c r="H405" s="28">
        <v>7</v>
      </c>
      <c r="I405" s="25">
        <f t="shared" ca="1" si="13"/>
        <v>588</v>
      </c>
      <c r="J405" s="25" t="str">
        <f>VLOOKUP(F405,地区表!$D$2:$E$18,2,FALSE)</f>
        <v>办公用品</v>
      </c>
      <c r="K405" s="38" t="str">
        <f>VLOOKUP(E405,地区表!$A$2:$C$255,3,FALSE)</f>
        <v>东北</v>
      </c>
    </row>
    <row r="406" spans="1:11" ht="15.6">
      <c r="A406" s="28" t="s">
        <v>436</v>
      </c>
      <c r="B406" s="29">
        <v>45015.6630822558</v>
      </c>
      <c r="C406" s="29">
        <v>45020.700081757903</v>
      </c>
      <c r="D406" s="28" t="s">
        <v>94</v>
      </c>
      <c r="E406" s="28" t="s">
        <v>437</v>
      </c>
      <c r="F406" s="28" t="s">
        <v>121</v>
      </c>
      <c r="G406" s="28">
        <f t="shared" ca="1" si="12"/>
        <v>33</v>
      </c>
      <c r="H406" s="28">
        <v>2</v>
      </c>
      <c r="I406" s="25">
        <f t="shared" ca="1" si="13"/>
        <v>66</v>
      </c>
      <c r="J406" s="25" t="str">
        <f>VLOOKUP(F406,地区表!$D$2:$E$18,2,FALSE)</f>
        <v>技术</v>
      </c>
      <c r="K406" s="38" t="str">
        <f>VLOOKUP(E406,地区表!$A$2:$C$255,3,FALSE)</f>
        <v>东北</v>
      </c>
    </row>
    <row r="407" spans="1:11" ht="15.6">
      <c r="A407" s="28" t="s">
        <v>436</v>
      </c>
      <c r="B407" s="29">
        <v>45015.693538335501</v>
      </c>
      <c r="C407" s="29">
        <v>45020.049529578399</v>
      </c>
      <c r="D407" s="28" t="s">
        <v>94</v>
      </c>
      <c r="E407" s="28" t="s">
        <v>437</v>
      </c>
      <c r="F407" s="28" t="s">
        <v>122</v>
      </c>
      <c r="G407" s="28">
        <f t="shared" ca="1" si="12"/>
        <v>20</v>
      </c>
      <c r="H407" s="28">
        <v>7</v>
      </c>
      <c r="I407" s="25">
        <f t="shared" ca="1" si="13"/>
        <v>140</v>
      </c>
      <c r="J407" s="25" t="str">
        <f>VLOOKUP(F407,地区表!$D$2:$E$18,2,FALSE)</f>
        <v>技术</v>
      </c>
      <c r="K407" s="38" t="str">
        <f>VLOOKUP(E407,地区表!$A$2:$C$255,3,FALSE)</f>
        <v>东北</v>
      </c>
    </row>
    <row r="408" spans="1:11" ht="15.6">
      <c r="A408" s="28" t="s">
        <v>436</v>
      </c>
      <c r="B408" s="29">
        <v>45015.078021105197</v>
      </c>
      <c r="C408" s="29">
        <v>45020.712468700302</v>
      </c>
      <c r="D408" s="28" t="s">
        <v>94</v>
      </c>
      <c r="E408" s="28" t="s">
        <v>437</v>
      </c>
      <c r="F408" s="28" t="s">
        <v>100</v>
      </c>
      <c r="G408" s="28">
        <f t="shared" ca="1" si="12"/>
        <v>89</v>
      </c>
      <c r="H408" s="28">
        <v>3</v>
      </c>
      <c r="I408" s="25">
        <f t="shared" ca="1" si="13"/>
        <v>267</v>
      </c>
      <c r="J408" s="25" t="str">
        <f>VLOOKUP(F408,地区表!$D$2:$E$18,2,FALSE)</f>
        <v>办公用品</v>
      </c>
      <c r="K408" s="38" t="str">
        <f>VLOOKUP(E408,地区表!$A$2:$C$255,3,FALSE)</f>
        <v>东北</v>
      </c>
    </row>
    <row r="409" spans="1:11" ht="15.6">
      <c r="A409" s="28" t="s">
        <v>436</v>
      </c>
      <c r="B409" s="29">
        <v>45015.6384380155</v>
      </c>
      <c r="C409" s="29">
        <v>45020.327661120296</v>
      </c>
      <c r="D409" s="28" t="s">
        <v>94</v>
      </c>
      <c r="E409" s="28" t="s">
        <v>437</v>
      </c>
      <c r="F409" s="28" t="s">
        <v>141</v>
      </c>
      <c r="G409" s="28">
        <f t="shared" ca="1" si="12"/>
        <v>66</v>
      </c>
      <c r="H409" s="28">
        <v>5</v>
      </c>
      <c r="I409" s="25">
        <f t="shared" ca="1" si="13"/>
        <v>330</v>
      </c>
      <c r="J409" s="25" t="str">
        <f>VLOOKUP(F409,地区表!$D$2:$E$18,2,FALSE)</f>
        <v>办公用品</v>
      </c>
      <c r="K409" s="38" t="str">
        <f>VLOOKUP(E409,地区表!$A$2:$C$255,3,FALSE)</f>
        <v>东北</v>
      </c>
    </row>
    <row r="410" spans="1:11" ht="15.6">
      <c r="A410" s="28" t="s">
        <v>438</v>
      </c>
      <c r="B410" s="29">
        <v>44245.686612351899</v>
      </c>
      <c r="C410" s="29">
        <v>44249.031341440001</v>
      </c>
      <c r="D410" s="28" t="s">
        <v>98</v>
      </c>
      <c r="E410" s="28" t="s">
        <v>439</v>
      </c>
      <c r="F410" s="28" t="s">
        <v>118</v>
      </c>
      <c r="G410" s="28">
        <f t="shared" ca="1" si="12"/>
        <v>73</v>
      </c>
      <c r="H410" s="28">
        <v>3</v>
      </c>
      <c r="I410" s="25">
        <f t="shared" ca="1" si="13"/>
        <v>219</v>
      </c>
      <c r="J410" s="25" t="str">
        <f>VLOOKUP(F410,地区表!$D$2:$E$18,2,FALSE)</f>
        <v>技术</v>
      </c>
      <c r="K410" s="38" t="str">
        <f>VLOOKUP(E410,地区表!$A$2:$C$255,3,FALSE)</f>
        <v>东北</v>
      </c>
    </row>
    <row r="411" spans="1:11" ht="15.6">
      <c r="A411" s="28" t="s">
        <v>438</v>
      </c>
      <c r="B411" s="29">
        <v>44245.257877950397</v>
      </c>
      <c r="C411" s="29">
        <v>44249.219872445603</v>
      </c>
      <c r="D411" s="28" t="s">
        <v>98</v>
      </c>
      <c r="E411" s="28" t="s">
        <v>439</v>
      </c>
      <c r="F411" s="28" t="s">
        <v>121</v>
      </c>
      <c r="G411" s="28">
        <f t="shared" ca="1" si="12"/>
        <v>48</v>
      </c>
      <c r="H411" s="28">
        <v>2</v>
      </c>
      <c r="I411" s="25">
        <f t="shared" ca="1" si="13"/>
        <v>96</v>
      </c>
      <c r="J411" s="25" t="str">
        <f>VLOOKUP(F411,地区表!$D$2:$E$18,2,FALSE)</f>
        <v>技术</v>
      </c>
      <c r="K411" s="38" t="str">
        <f>VLOOKUP(E411,地区表!$A$2:$C$255,3,FALSE)</f>
        <v>东北</v>
      </c>
    </row>
    <row r="412" spans="1:11" ht="15.6">
      <c r="A412" s="28" t="s">
        <v>438</v>
      </c>
      <c r="B412" s="29">
        <v>44245.560701269198</v>
      </c>
      <c r="C412" s="29">
        <v>44249.699094060401</v>
      </c>
      <c r="D412" s="28" t="s">
        <v>98</v>
      </c>
      <c r="E412" s="28" t="s">
        <v>439</v>
      </c>
      <c r="F412" s="28" t="s">
        <v>101</v>
      </c>
      <c r="G412" s="28">
        <f t="shared" ca="1" si="12"/>
        <v>99</v>
      </c>
      <c r="H412" s="28">
        <v>5</v>
      </c>
      <c r="I412" s="25">
        <f t="shared" ca="1" si="13"/>
        <v>495</v>
      </c>
      <c r="J412" s="25" t="str">
        <f>VLOOKUP(F412,地区表!$D$2:$E$18,2,FALSE)</f>
        <v>办公用品</v>
      </c>
      <c r="K412" s="38" t="str">
        <f>VLOOKUP(E412,地区表!$A$2:$C$255,3,FALSE)</f>
        <v>东北</v>
      </c>
    </row>
    <row r="413" spans="1:11" ht="15.6">
      <c r="A413" s="28" t="s">
        <v>438</v>
      </c>
      <c r="B413" s="29">
        <v>44245.010062403897</v>
      </c>
      <c r="C413" s="29">
        <v>44249.047672582499</v>
      </c>
      <c r="D413" s="28" t="s">
        <v>98</v>
      </c>
      <c r="E413" s="28" t="s">
        <v>439</v>
      </c>
      <c r="F413" s="28" t="s">
        <v>96</v>
      </c>
      <c r="G413" s="28">
        <f t="shared" ca="1" si="12"/>
        <v>93</v>
      </c>
      <c r="H413" s="28">
        <v>4</v>
      </c>
      <c r="I413" s="25">
        <f t="shared" ca="1" si="13"/>
        <v>372</v>
      </c>
      <c r="J413" s="25" t="str">
        <f>VLOOKUP(F413,地区表!$D$2:$E$18,2,FALSE)</f>
        <v>办公用品</v>
      </c>
      <c r="K413" s="38" t="str">
        <f>VLOOKUP(E413,地区表!$A$2:$C$255,3,FALSE)</f>
        <v>东北</v>
      </c>
    </row>
    <row r="414" spans="1:11" ht="15.6">
      <c r="A414" s="28" t="s">
        <v>438</v>
      </c>
      <c r="B414" s="29">
        <v>44245.145088096499</v>
      </c>
      <c r="C414" s="29">
        <v>44249.988929855303</v>
      </c>
      <c r="D414" s="28" t="s">
        <v>98</v>
      </c>
      <c r="E414" s="28" t="s">
        <v>439</v>
      </c>
      <c r="F414" s="28" t="s">
        <v>131</v>
      </c>
      <c r="G414" s="28">
        <f t="shared" ca="1" si="12"/>
        <v>43</v>
      </c>
      <c r="H414" s="28">
        <v>4</v>
      </c>
      <c r="I414" s="25">
        <f t="shared" ca="1" si="13"/>
        <v>172</v>
      </c>
      <c r="J414" s="25" t="str">
        <f>VLOOKUP(F414,地区表!$D$2:$E$18,2,FALSE)</f>
        <v>家具</v>
      </c>
      <c r="K414" s="38" t="str">
        <f>VLOOKUP(E414,地区表!$A$2:$C$255,3,FALSE)</f>
        <v>东北</v>
      </c>
    </row>
    <row r="415" spans="1:11" ht="15.6">
      <c r="A415" s="28" t="s">
        <v>438</v>
      </c>
      <c r="B415" s="29">
        <v>44245.380786232898</v>
      </c>
      <c r="C415" s="29">
        <v>44249.4268453724</v>
      </c>
      <c r="D415" s="28" t="s">
        <v>98</v>
      </c>
      <c r="E415" s="28" t="s">
        <v>439</v>
      </c>
      <c r="F415" s="28" t="s">
        <v>141</v>
      </c>
      <c r="G415" s="28">
        <f t="shared" ca="1" si="12"/>
        <v>55</v>
      </c>
      <c r="H415" s="28">
        <v>1</v>
      </c>
      <c r="I415" s="25">
        <f t="shared" ca="1" si="13"/>
        <v>55</v>
      </c>
      <c r="J415" s="25" t="str">
        <f>VLOOKUP(F415,地区表!$D$2:$E$18,2,FALSE)</f>
        <v>办公用品</v>
      </c>
      <c r="K415" s="38" t="str">
        <f>VLOOKUP(E415,地区表!$A$2:$C$255,3,FALSE)</f>
        <v>东北</v>
      </c>
    </row>
    <row r="416" spans="1:11" ht="15.6">
      <c r="A416" s="28" t="s">
        <v>440</v>
      </c>
      <c r="B416" s="29">
        <v>44342.5542167561</v>
      </c>
      <c r="C416" s="29">
        <v>44348.5194852606</v>
      </c>
      <c r="D416" s="28" t="s">
        <v>94</v>
      </c>
      <c r="E416" s="28" t="s">
        <v>164</v>
      </c>
      <c r="F416" s="28" t="s">
        <v>141</v>
      </c>
      <c r="G416" s="28">
        <f t="shared" ca="1" si="12"/>
        <v>69</v>
      </c>
      <c r="H416" s="28">
        <v>6</v>
      </c>
      <c r="I416" s="25">
        <f t="shared" ca="1" si="13"/>
        <v>414</v>
      </c>
      <c r="J416" s="25" t="str">
        <f>VLOOKUP(F416,地区表!$D$2:$E$18,2,FALSE)</f>
        <v>办公用品</v>
      </c>
      <c r="K416" s="38" t="str">
        <f>VLOOKUP(E416,地区表!$A$2:$C$255,3,FALSE)</f>
        <v>西北</v>
      </c>
    </row>
    <row r="417" spans="1:11" ht="15.6">
      <c r="A417" s="28" t="s">
        <v>441</v>
      </c>
      <c r="B417" s="29">
        <v>44232.201496114998</v>
      </c>
      <c r="C417" s="29">
        <v>44235.069853313697</v>
      </c>
      <c r="D417" s="28" t="s">
        <v>98</v>
      </c>
      <c r="E417" s="28" t="s">
        <v>442</v>
      </c>
      <c r="F417" s="28" t="s">
        <v>131</v>
      </c>
      <c r="G417" s="28">
        <f t="shared" ca="1" si="12"/>
        <v>38</v>
      </c>
      <c r="H417" s="28">
        <v>2</v>
      </c>
      <c r="I417" s="25">
        <f t="shared" ca="1" si="13"/>
        <v>76</v>
      </c>
      <c r="J417" s="25" t="str">
        <f>VLOOKUP(F417,地区表!$D$2:$E$18,2,FALSE)</f>
        <v>家具</v>
      </c>
      <c r="K417" s="38" t="str">
        <f>VLOOKUP(E417,地区表!$A$2:$C$255,3,FALSE)</f>
        <v>东北</v>
      </c>
    </row>
    <row r="418" spans="1:11" ht="15.6">
      <c r="A418" s="28" t="s">
        <v>443</v>
      </c>
      <c r="B418" s="29">
        <v>44563.385437012803</v>
      </c>
      <c r="C418" s="29">
        <v>44568.401858355799</v>
      </c>
      <c r="D418" s="28" t="s">
        <v>114</v>
      </c>
      <c r="E418" s="28" t="s">
        <v>444</v>
      </c>
      <c r="F418" s="28" t="s">
        <v>101</v>
      </c>
      <c r="G418" s="28">
        <f t="shared" ca="1" si="12"/>
        <v>77</v>
      </c>
      <c r="H418" s="28">
        <v>7</v>
      </c>
      <c r="I418" s="25">
        <f t="shared" ca="1" si="13"/>
        <v>539</v>
      </c>
      <c r="J418" s="25" t="str">
        <f>VLOOKUP(F418,地区表!$D$2:$E$18,2,FALSE)</f>
        <v>办公用品</v>
      </c>
      <c r="K418" s="38" t="str">
        <f>VLOOKUP(E418,地区表!$A$2:$C$255,3,FALSE)</f>
        <v>中南</v>
      </c>
    </row>
    <row r="419" spans="1:11" ht="15.6">
      <c r="A419" s="28" t="s">
        <v>443</v>
      </c>
      <c r="B419" s="29">
        <v>44563.612540463</v>
      </c>
      <c r="C419" s="29">
        <v>44568.808124844298</v>
      </c>
      <c r="D419" s="28" t="s">
        <v>114</v>
      </c>
      <c r="E419" s="28" t="s">
        <v>444</v>
      </c>
      <c r="F419" s="28" t="s">
        <v>141</v>
      </c>
      <c r="G419" s="28">
        <f t="shared" ca="1" si="12"/>
        <v>38</v>
      </c>
      <c r="H419" s="28">
        <v>5</v>
      </c>
      <c r="I419" s="25">
        <f t="shared" ca="1" si="13"/>
        <v>190</v>
      </c>
      <c r="J419" s="25" t="str">
        <f>VLOOKUP(F419,地区表!$D$2:$E$18,2,FALSE)</f>
        <v>办公用品</v>
      </c>
      <c r="K419" s="38" t="str">
        <f>VLOOKUP(E419,地区表!$A$2:$C$255,3,FALSE)</f>
        <v>中南</v>
      </c>
    </row>
    <row r="420" spans="1:11" ht="15.6">
      <c r="A420" s="28" t="s">
        <v>443</v>
      </c>
      <c r="B420" s="29">
        <v>44563.591463350502</v>
      </c>
      <c r="C420" s="29">
        <v>44568.339728617299</v>
      </c>
      <c r="D420" s="28" t="s">
        <v>114</v>
      </c>
      <c r="E420" s="28" t="s">
        <v>444</v>
      </c>
      <c r="F420" s="28" t="s">
        <v>130</v>
      </c>
      <c r="G420" s="28">
        <f t="shared" ca="1" si="12"/>
        <v>42</v>
      </c>
      <c r="H420" s="28">
        <v>3</v>
      </c>
      <c r="I420" s="25">
        <f t="shared" ca="1" si="13"/>
        <v>126</v>
      </c>
      <c r="J420" s="25" t="str">
        <f>VLOOKUP(F420,地区表!$D$2:$E$18,2,FALSE)</f>
        <v>家具</v>
      </c>
      <c r="K420" s="38" t="str">
        <f>VLOOKUP(E420,地区表!$A$2:$C$255,3,FALSE)</f>
        <v>中南</v>
      </c>
    </row>
    <row r="421" spans="1:11" ht="15.6">
      <c r="A421" s="28" t="s">
        <v>443</v>
      </c>
      <c r="B421" s="29">
        <v>44563.646404970103</v>
      </c>
      <c r="C421" s="29">
        <v>44568.594185208203</v>
      </c>
      <c r="D421" s="28" t="s">
        <v>114</v>
      </c>
      <c r="E421" s="28" t="s">
        <v>444</v>
      </c>
      <c r="F421" s="28" t="s">
        <v>135</v>
      </c>
      <c r="G421" s="28">
        <f t="shared" ca="1" si="12"/>
        <v>65</v>
      </c>
      <c r="H421" s="28">
        <v>7</v>
      </c>
      <c r="I421" s="25">
        <f t="shared" ca="1" si="13"/>
        <v>455</v>
      </c>
      <c r="J421" s="25" t="str">
        <f>VLOOKUP(F421,地区表!$D$2:$E$18,2,FALSE)</f>
        <v>办公用品</v>
      </c>
      <c r="K421" s="38" t="str">
        <f>VLOOKUP(E421,地区表!$A$2:$C$255,3,FALSE)</f>
        <v>中南</v>
      </c>
    </row>
    <row r="422" spans="1:11" ht="15.6">
      <c r="A422" s="28" t="s">
        <v>443</v>
      </c>
      <c r="B422" s="29">
        <v>44563.5839543033</v>
      </c>
      <c r="C422" s="29">
        <v>44568.729594554199</v>
      </c>
      <c r="D422" s="28" t="s">
        <v>114</v>
      </c>
      <c r="E422" s="28" t="s">
        <v>444</v>
      </c>
      <c r="F422" s="28" t="s">
        <v>106</v>
      </c>
      <c r="G422" s="28">
        <f t="shared" ca="1" si="12"/>
        <v>65</v>
      </c>
      <c r="H422" s="28">
        <v>12</v>
      </c>
      <c r="I422" s="25">
        <f t="shared" ca="1" si="13"/>
        <v>780</v>
      </c>
      <c r="J422" s="25" t="str">
        <f>VLOOKUP(F422,地区表!$D$2:$E$18,2,FALSE)</f>
        <v>办公用品</v>
      </c>
      <c r="K422" s="38" t="str">
        <f>VLOOKUP(E422,地区表!$A$2:$C$255,3,FALSE)</f>
        <v>中南</v>
      </c>
    </row>
    <row r="423" spans="1:11" ht="15.6">
      <c r="A423" s="28" t="s">
        <v>445</v>
      </c>
      <c r="B423" s="29">
        <v>44634.043068467603</v>
      </c>
      <c r="C423" s="29">
        <v>44638.103675562597</v>
      </c>
      <c r="D423" s="28" t="s">
        <v>114</v>
      </c>
      <c r="E423" s="28" t="s">
        <v>154</v>
      </c>
      <c r="F423" s="28" t="s">
        <v>101</v>
      </c>
      <c r="G423" s="28">
        <f t="shared" ca="1" si="12"/>
        <v>21</v>
      </c>
      <c r="H423" s="28">
        <v>2</v>
      </c>
      <c r="I423" s="25">
        <f t="shared" ca="1" si="13"/>
        <v>42</v>
      </c>
      <c r="J423" s="25" t="str">
        <f>VLOOKUP(F423,地区表!$D$2:$E$18,2,FALSE)</f>
        <v>办公用品</v>
      </c>
      <c r="K423" s="38" t="str">
        <f>VLOOKUP(E423,地区表!$A$2:$C$255,3,FALSE)</f>
        <v>华东</v>
      </c>
    </row>
    <row r="424" spans="1:11" ht="15.6">
      <c r="A424" s="28" t="s">
        <v>446</v>
      </c>
      <c r="B424" s="29">
        <v>44636.080219523399</v>
      </c>
      <c r="C424" s="29">
        <v>44640.243550355801</v>
      </c>
      <c r="D424" s="28" t="s">
        <v>98</v>
      </c>
      <c r="E424" s="28" t="s">
        <v>95</v>
      </c>
      <c r="F424" s="28" t="s">
        <v>96</v>
      </c>
      <c r="G424" s="28">
        <f t="shared" ca="1" si="12"/>
        <v>67</v>
      </c>
      <c r="H424" s="28">
        <v>5</v>
      </c>
      <c r="I424" s="25">
        <f t="shared" ca="1" si="13"/>
        <v>335</v>
      </c>
      <c r="J424" s="25" t="str">
        <f>VLOOKUP(F424,地区表!$D$2:$E$18,2,FALSE)</f>
        <v>办公用品</v>
      </c>
      <c r="K424" s="38" t="str">
        <f>VLOOKUP(E424,地区表!$A$2:$C$255,3,FALSE)</f>
        <v>华东</v>
      </c>
    </row>
    <row r="425" spans="1:11" ht="15.6">
      <c r="A425" s="28" t="s">
        <v>447</v>
      </c>
      <c r="B425" s="29">
        <v>44607.545534406097</v>
      </c>
      <c r="C425" s="29">
        <v>44611.614329669501</v>
      </c>
      <c r="D425" s="28" t="s">
        <v>98</v>
      </c>
      <c r="E425" s="28" t="s">
        <v>349</v>
      </c>
      <c r="F425" s="28" t="s">
        <v>121</v>
      </c>
      <c r="G425" s="28">
        <f t="shared" ca="1" si="12"/>
        <v>44</v>
      </c>
      <c r="H425" s="28">
        <v>3</v>
      </c>
      <c r="I425" s="25">
        <f t="shared" ca="1" si="13"/>
        <v>132</v>
      </c>
      <c r="J425" s="25" t="str">
        <f>VLOOKUP(F425,地区表!$D$2:$E$18,2,FALSE)</f>
        <v>技术</v>
      </c>
      <c r="K425" s="38" t="str">
        <f>VLOOKUP(E425,地区表!$A$2:$C$255,3,FALSE)</f>
        <v>华东</v>
      </c>
    </row>
    <row r="426" spans="1:11" ht="15.6">
      <c r="A426" s="28" t="s">
        <v>447</v>
      </c>
      <c r="B426" s="29">
        <v>44607.598371229702</v>
      </c>
      <c r="C426" s="29">
        <v>44611.399634364599</v>
      </c>
      <c r="D426" s="28" t="s">
        <v>98</v>
      </c>
      <c r="E426" s="28" t="s">
        <v>349</v>
      </c>
      <c r="F426" s="28" t="s">
        <v>135</v>
      </c>
      <c r="G426" s="28">
        <f t="shared" ca="1" si="12"/>
        <v>33</v>
      </c>
      <c r="H426" s="28">
        <v>4</v>
      </c>
      <c r="I426" s="25">
        <f t="shared" ca="1" si="13"/>
        <v>132</v>
      </c>
      <c r="J426" s="25" t="str">
        <f>VLOOKUP(F426,地区表!$D$2:$E$18,2,FALSE)</f>
        <v>办公用品</v>
      </c>
      <c r="K426" s="38" t="str">
        <f>VLOOKUP(E426,地区表!$A$2:$C$255,3,FALSE)</f>
        <v>华东</v>
      </c>
    </row>
    <row r="427" spans="1:11" ht="15.6">
      <c r="A427" s="28" t="s">
        <v>447</v>
      </c>
      <c r="B427" s="29">
        <v>44607.538024824098</v>
      </c>
      <c r="C427" s="29">
        <v>44611.7678642584</v>
      </c>
      <c r="D427" s="28" t="s">
        <v>98</v>
      </c>
      <c r="E427" s="28" t="s">
        <v>349</v>
      </c>
      <c r="F427" s="28" t="s">
        <v>121</v>
      </c>
      <c r="G427" s="28">
        <f t="shared" ca="1" si="12"/>
        <v>79</v>
      </c>
      <c r="H427" s="28">
        <v>2</v>
      </c>
      <c r="I427" s="25">
        <f t="shared" ca="1" si="13"/>
        <v>158</v>
      </c>
      <c r="J427" s="25" t="str">
        <f>VLOOKUP(F427,地区表!$D$2:$E$18,2,FALSE)</f>
        <v>技术</v>
      </c>
      <c r="K427" s="38" t="str">
        <f>VLOOKUP(E427,地区表!$A$2:$C$255,3,FALSE)</f>
        <v>华东</v>
      </c>
    </row>
    <row r="428" spans="1:11" ht="15.6">
      <c r="A428" s="28" t="s">
        <v>448</v>
      </c>
      <c r="B428" s="29">
        <v>44995.677284739402</v>
      </c>
      <c r="C428" s="29">
        <v>44997.600150017897</v>
      </c>
      <c r="D428" s="28" t="s">
        <v>114</v>
      </c>
      <c r="E428" s="28" t="s">
        <v>449</v>
      </c>
      <c r="F428" s="28" t="s">
        <v>101</v>
      </c>
      <c r="G428" s="28">
        <f t="shared" ca="1" si="12"/>
        <v>19</v>
      </c>
      <c r="H428" s="28">
        <v>3</v>
      </c>
      <c r="I428" s="25">
        <f t="shared" ca="1" si="13"/>
        <v>57</v>
      </c>
      <c r="J428" s="25" t="str">
        <f>VLOOKUP(F428,地区表!$D$2:$E$18,2,FALSE)</f>
        <v>办公用品</v>
      </c>
      <c r="K428" s="38" t="str">
        <f>VLOOKUP(E428,地区表!$A$2:$C$255,3,FALSE)</f>
        <v>中南</v>
      </c>
    </row>
    <row r="429" spans="1:11" ht="15.6">
      <c r="A429" s="28" t="s">
        <v>448</v>
      </c>
      <c r="B429" s="29">
        <v>44995.471685263699</v>
      </c>
      <c r="C429" s="29">
        <v>44997.179035901798</v>
      </c>
      <c r="D429" s="28" t="s">
        <v>114</v>
      </c>
      <c r="E429" s="28" t="s">
        <v>449</v>
      </c>
      <c r="F429" s="28" t="s">
        <v>118</v>
      </c>
      <c r="G429" s="28">
        <f t="shared" ca="1" si="12"/>
        <v>97</v>
      </c>
      <c r="H429" s="28">
        <v>9</v>
      </c>
      <c r="I429" s="25">
        <f t="shared" ca="1" si="13"/>
        <v>873</v>
      </c>
      <c r="J429" s="25" t="str">
        <f>VLOOKUP(F429,地区表!$D$2:$E$18,2,FALSE)</f>
        <v>技术</v>
      </c>
      <c r="K429" s="38" t="str">
        <f>VLOOKUP(E429,地区表!$A$2:$C$255,3,FALSE)</f>
        <v>中南</v>
      </c>
    </row>
    <row r="430" spans="1:11" ht="15.6">
      <c r="A430" s="28" t="s">
        <v>450</v>
      </c>
      <c r="B430" s="29">
        <v>45204.197031697302</v>
      </c>
      <c r="C430" s="29">
        <v>45208.137202584701</v>
      </c>
      <c r="D430" s="28" t="s">
        <v>98</v>
      </c>
      <c r="E430" s="28" t="s">
        <v>124</v>
      </c>
      <c r="F430" s="28" t="s">
        <v>106</v>
      </c>
      <c r="G430" s="28">
        <f t="shared" ca="1" si="12"/>
        <v>94</v>
      </c>
      <c r="H430" s="28">
        <v>4</v>
      </c>
      <c r="I430" s="25">
        <f t="shared" ca="1" si="13"/>
        <v>376</v>
      </c>
      <c r="J430" s="25" t="str">
        <f>VLOOKUP(F430,地区表!$D$2:$E$18,2,FALSE)</f>
        <v>办公用品</v>
      </c>
      <c r="K430" s="38" t="str">
        <f>VLOOKUP(E430,地区表!$A$2:$C$255,3,FALSE)</f>
        <v>华东</v>
      </c>
    </row>
    <row r="431" spans="1:11" ht="15.6">
      <c r="A431" s="28" t="s">
        <v>451</v>
      </c>
      <c r="B431" s="29">
        <v>44485.073862257203</v>
      </c>
      <c r="C431" s="29">
        <v>44487.307665986496</v>
      </c>
      <c r="D431" s="28" t="s">
        <v>98</v>
      </c>
      <c r="E431" s="28" t="s">
        <v>452</v>
      </c>
      <c r="F431" s="28" t="s">
        <v>122</v>
      </c>
      <c r="G431" s="28">
        <f t="shared" ca="1" si="12"/>
        <v>67</v>
      </c>
      <c r="H431" s="28">
        <v>5</v>
      </c>
      <c r="I431" s="25">
        <f t="shared" ca="1" si="13"/>
        <v>335</v>
      </c>
      <c r="J431" s="25" t="str">
        <f>VLOOKUP(F431,地区表!$D$2:$E$18,2,FALSE)</f>
        <v>技术</v>
      </c>
      <c r="K431" s="38" t="str">
        <f>VLOOKUP(E431,地区表!$A$2:$C$255,3,FALSE)</f>
        <v>西南</v>
      </c>
    </row>
    <row r="432" spans="1:11" ht="15.6">
      <c r="A432" s="28" t="s">
        <v>453</v>
      </c>
      <c r="B432" s="29">
        <v>44612.755246094603</v>
      </c>
      <c r="C432" s="29">
        <v>44616.605076684798</v>
      </c>
      <c r="D432" s="28" t="s">
        <v>98</v>
      </c>
      <c r="E432" s="28" t="s">
        <v>233</v>
      </c>
      <c r="F432" s="28" t="s">
        <v>121</v>
      </c>
      <c r="G432" s="28">
        <f t="shared" ca="1" si="12"/>
        <v>74</v>
      </c>
      <c r="H432" s="28">
        <v>7</v>
      </c>
      <c r="I432" s="25">
        <f t="shared" ca="1" si="13"/>
        <v>518</v>
      </c>
      <c r="J432" s="25" t="str">
        <f>VLOOKUP(F432,地区表!$D$2:$E$18,2,FALSE)</f>
        <v>技术</v>
      </c>
      <c r="K432" s="38" t="str">
        <f>VLOOKUP(E432,地区表!$A$2:$C$255,3,FALSE)</f>
        <v>西北</v>
      </c>
    </row>
    <row r="433" spans="1:11" ht="15.6">
      <c r="A433" s="28" t="s">
        <v>453</v>
      </c>
      <c r="B433" s="29">
        <v>44612.816514022299</v>
      </c>
      <c r="C433" s="29">
        <v>44616.696861092598</v>
      </c>
      <c r="D433" s="28" t="s">
        <v>98</v>
      </c>
      <c r="E433" s="28" t="s">
        <v>233</v>
      </c>
      <c r="F433" s="28" t="s">
        <v>109</v>
      </c>
      <c r="G433" s="28">
        <f t="shared" ca="1" si="12"/>
        <v>35</v>
      </c>
      <c r="H433" s="28">
        <v>5</v>
      </c>
      <c r="I433" s="25">
        <f t="shared" ca="1" si="13"/>
        <v>175</v>
      </c>
      <c r="J433" s="25" t="str">
        <f>VLOOKUP(F433,地区表!$D$2:$E$18,2,FALSE)</f>
        <v>技术</v>
      </c>
      <c r="K433" s="38" t="str">
        <f>VLOOKUP(E433,地区表!$A$2:$C$255,3,FALSE)</f>
        <v>西北</v>
      </c>
    </row>
    <row r="434" spans="1:11" ht="15.6">
      <c r="A434" s="28" t="s">
        <v>453</v>
      </c>
      <c r="B434" s="29">
        <v>44612.7067363475</v>
      </c>
      <c r="C434" s="29">
        <v>44616.725188853197</v>
      </c>
      <c r="D434" s="28" t="s">
        <v>98</v>
      </c>
      <c r="E434" s="28" t="s">
        <v>233</v>
      </c>
      <c r="F434" s="28" t="s">
        <v>110</v>
      </c>
      <c r="G434" s="28">
        <f t="shared" ca="1" si="12"/>
        <v>48</v>
      </c>
      <c r="H434" s="28">
        <v>3</v>
      </c>
      <c r="I434" s="25">
        <f t="shared" ca="1" si="13"/>
        <v>144</v>
      </c>
      <c r="J434" s="25" t="str">
        <f>VLOOKUP(F434,地区表!$D$2:$E$18,2,FALSE)</f>
        <v>家具</v>
      </c>
      <c r="K434" s="38" t="str">
        <f>VLOOKUP(E434,地区表!$A$2:$C$255,3,FALSE)</f>
        <v>西北</v>
      </c>
    </row>
    <row r="435" spans="1:11" ht="15.6">
      <c r="A435" s="28" t="s">
        <v>454</v>
      </c>
      <c r="B435" s="29">
        <v>45195.004373608099</v>
      </c>
      <c r="C435" s="29">
        <v>45198.616911069097</v>
      </c>
      <c r="D435" s="28" t="s">
        <v>98</v>
      </c>
      <c r="E435" s="28" t="s">
        <v>455</v>
      </c>
      <c r="F435" s="28" t="s">
        <v>122</v>
      </c>
      <c r="G435" s="28">
        <f t="shared" ca="1" si="12"/>
        <v>66</v>
      </c>
      <c r="H435" s="28">
        <v>1</v>
      </c>
      <c r="I435" s="25">
        <f t="shared" ca="1" si="13"/>
        <v>66</v>
      </c>
      <c r="J435" s="25" t="str">
        <f>VLOOKUP(F435,地区表!$D$2:$E$18,2,FALSE)</f>
        <v>技术</v>
      </c>
      <c r="K435" s="38" t="str">
        <f>VLOOKUP(E435,地区表!$A$2:$C$255,3,FALSE)</f>
        <v>东北</v>
      </c>
    </row>
    <row r="436" spans="1:11" ht="15.6">
      <c r="A436" s="28" t="s">
        <v>454</v>
      </c>
      <c r="B436" s="29">
        <v>45195.043917831099</v>
      </c>
      <c r="C436" s="29">
        <v>45198.821954937499</v>
      </c>
      <c r="D436" s="28" t="s">
        <v>98</v>
      </c>
      <c r="E436" s="28" t="s">
        <v>455</v>
      </c>
      <c r="F436" s="28" t="s">
        <v>118</v>
      </c>
      <c r="G436" s="28">
        <f t="shared" ca="1" si="12"/>
        <v>11</v>
      </c>
      <c r="H436" s="28">
        <v>1</v>
      </c>
      <c r="I436" s="25">
        <f t="shared" ca="1" si="13"/>
        <v>11</v>
      </c>
      <c r="J436" s="25" t="str">
        <f>VLOOKUP(F436,地区表!$D$2:$E$18,2,FALSE)</f>
        <v>技术</v>
      </c>
      <c r="K436" s="38" t="str">
        <f>VLOOKUP(E436,地区表!$A$2:$C$255,3,FALSE)</f>
        <v>东北</v>
      </c>
    </row>
    <row r="437" spans="1:11" ht="15.6">
      <c r="A437" s="28" t="s">
        <v>456</v>
      </c>
      <c r="B437" s="29">
        <v>44739.598845185799</v>
      </c>
      <c r="C437" s="29">
        <v>44743.777068388998</v>
      </c>
      <c r="D437" s="28" t="s">
        <v>94</v>
      </c>
      <c r="E437" s="28" t="s">
        <v>354</v>
      </c>
      <c r="F437" s="28" t="s">
        <v>122</v>
      </c>
      <c r="G437" s="28">
        <f t="shared" ca="1" si="12"/>
        <v>32</v>
      </c>
      <c r="H437" s="28">
        <v>9</v>
      </c>
      <c r="I437" s="25">
        <f t="shared" ca="1" si="13"/>
        <v>288</v>
      </c>
      <c r="J437" s="25" t="str">
        <f>VLOOKUP(F437,地区表!$D$2:$E$18,2,FALSE)</f>
        <v>技术</v>
      </c>
      <c r="K437" s="38" t="str">
        <f>VLOOKUP(E437,地区表!$A$2:$C$255,3,FALSE)</f>
        <v>东北</v>
      </c>
    </row>
    <row r="438" spans="1:11" ht="15.6">
      <c r="A438" s="28" t="s">
        <v>456</v>
      </c>
      <c r="B438" s="29">
        <v>44739.862108471498</v>
      </c>
      <c r="C438" s="29">
        <v>44743.361638971001</v>
      </c>
      <c r="D438" s="28" t="s">
        <v>94</v>
      </c>
      <c r="E438" s="28" t="s">
        <v>354</v>
      </c>
      <c r="F438" s="28" t="s">
        <v>106</v>
      </c>
      <c r="G438" s="28">
        <f t="shared" ca="1" si="12"/>
        <v>90</v>
      </c>
      <c r="H438" s="28">
        <v>2</v>
      </c>
      <c r="I438" s="25">
        <f t="shared" ca="1" si="13"/>
        <v>180</v>
      </c>
      <c r="J438" s="25" t="str">
        <f>VLOOKUP(F438,地区表!$D$2:$E$18,2,FALSE)</f>
        <v>办公用品</v>
      </c>
      <c r="K438" s="38" t="str">
        <f>VLOOKUP(E438,地区表!$A$2:$C$255,3,FALSE)</f>
        <v>东北</v>
      </c>
    </row>
    <row r="439" spans="1:11" ht="15.6">
      <c r="A439" s="28" t="s">
        <v>456</v>
      </c>
      <c r="B439" s="29">
        <v>44739.412400639099</v>
      </c>
      <c r="C439" s="29">
        <v>44743.835723055403</v>
      </c>
      <c r="D439" s="28" t="s">
        <v>94</v>
      </c>
      <c r="E439" s="28" t="s">
        <v>354</v>
      </c>
      <c r="F439" s="28" t="s">
        <v>112</v>
      </c>
      <c r="G439" s="28">
        <f t="shared" ca="1" si="12"/>
        <v>91</v>
      </c>
      <c r="H439" s="28">
        <v>4</v>
      </c>
      <c r="I439" s="25">
        <f t="shared" ca="1" si="13"/>
        <v>364</v>
      </c>
      <c r="J439" s="25" t="str">
        <f>VLOOKUP(F439,地区表!$D$2:$E$18,2,FALSE)</f>
        <v>办公用品</v>
      </c>
      <c r="K439" s="38" t="str">
        <f>VLOOKUP(E439,地区表!$A$2:$C$255,3,FALSE)</f>
        <v>东北</v>
      </c>
    </row>
    <row r="440" spans="1:11" ht="15.6">
      <c r="A440" s="28" t="s">
        <v>456</v>
      </c>
      <c r="B440" s="29">
        <v>44739.003097084802</v>
      </c>
      <c r="C440" s="29">
        <v>44743.865126245997</v>
      </c>
      <c r="D440" s="28" t="s">
        <v>94</v>
      </c>
      <c r="E440" s="28" t="s">
        <v>354</v>
      </c>
      <c r="F440" s="28" t="s">
        <v>112</v>
      </c>
      <c r="G440" s="28">
        <f t="shared" ca="1" si="12"/>
        <v>50</v>
      </c>
      <c r="H440" s="28">
        <v>4</v>
      </c>
      <c r="I440" s="25">
        <f t="shared" ca="1" si="13"/>
        <v>200</v>
      </c>
      <c r="J440" s="25" t="str">
        <f>VLOOKUP(F440,地区表!$D$2:$E$18,2,FALSE)</f>
        <v>办公用品</v>
      </c>
      <c r="K440" s="38" t="str">
        <f>VLOOKUP(E440,地区表!$A$2:$C$255,3,FALSE)</f>
        <v>东北</v>
      </c>
    </row>
    <row r="441" spans="1:11" ht="15.6">
      <c r="A441" s="28" t="s">
        <v>456</v>
      </c>
      <c r="B441" s="29">
        <v>44739.498712467903</v>
      </c>
      <c r="C441" s="29">
        <v>44743.672872868403</v>
      </c>
      <c r="D441" s="28" t="s">
        <v>94</v>
      </c>
      <c r="E441" s="28" t="s">
        <v>354</v>
      </c>
      <c r="F441" s="28" t="s">
        <v>130</v>
      </c>
      <c r="G441" s="28">
        <f t="shared" ca="1" si="12"/>
        <v>35</v>
      </c>
      <c r="H441" s="28">
        <v>7</v>
      </c>
      <c r="I441" s="25">
        <f t="shared" ca="1" si="13"/>
        <v>245</v>
      </c>
      <c r="J441" s="25" t="str">
        <f>VLOOKUP(F441,地区表!$D$2:$E$18,2,FALSE)</f>
        <v>家具</v>
      </c>
      <c r="K441" s="38" t="str">
        <f>VLOOKUP(E441,地区表!$A$2:$C$255,3,FALSE)</f>
        <v>东北</v>
      </c>
    </row>
    <row r="442" spans="1:11" ht="15.6">
      <c r="A442" s="28" t="s">
        <v>456</v>
      </c>
      <c r="B442" s="29">
        <v>44739.331922785197</v>
      </c>
      <c r="C442" s="29">
        <v>44743.527492725902</v>
      </c>
      <c r="D442" s="28" t="s">
        <v>94</v>
      </c>
      <c r="E442" s="28" t="s">
        <v>354</v>
      </c>
      <c r="F442" s="28" t="s">
        <v>111</v>
      </c>
      <c r="G442" s="28">
        <f t="shared" ca="1" si="12"/>
        <v>39</v>
      </c>
      <c r="H442" s="28">
        <v>2</v>
      </c>
      <c r="I442" s="25">
        <f t="shared" ca="1" si="13"/>
        <v>78</v>
      </c>
      <c r="J442" s="25" t="str">
        <f>VLOOKUP(F442,地区表!$D$2:$E$18,2,FALSE)</f>
        <v>办公用品</v>
      </c>
      <c r="K442" s="38" t="str">
        <f>VLOOKUP(E442,地区表!$A$2:$C$255,3,FALSE)</f>
        <v>东北</v>
      </c>
    </row>
    <row r="443" spans="1:11" ht="15.6">
      <c r="A443" s="28" t="s">
        <v>457</v>
      </c>
      <c r="B443" s="29">
        <v>44285.116474749797</v>
      </c>
      <c r="C443" s="29">
        <v>44288.368040843103</v>
      </c>
      <c r="D443" s="28" t="s">
        <v>98</v>
      </c>
      <c r="E443" s="28" t="s">
        <v>458</v>
      </c>
      <c r="F443" s="28" t="s">
        <v>110</v>
      </c>
      <c r="G443" s="28">
        <f t="shared" ca="1" si="12"/>
        <v>31</v>
      </c>
      <c r="H443" s="28">
        <v>4</v>
      </c>
      <c r="I443" s="25">
        <f t="shared" ca="1" si="13"/>
        <v>124</v>
      </c>
      <c r="J443" s="25" t="str">
        <f>VLOOKUP(F443,地区表!$D$2:$E$18,2,FALSE)</f>
        <v>家具</v>
      </c>
      <c r="K443" s="38" t="str">
        <f>VLOOKUP(E443,地区表!$A$2:$C$255,3,FALSE)</f>
        <v>东北</v>
      </c>
    </row>
    <row r="444" spans="1:11" ht="15.6">
      <c r="A444" s="28" t="s">
        <v>457</v>
      </c>
      <c r="B444" s="29">
        <v>44285.753196841702</v>
      </c>
      <c r="C444" s="29">
        <v>44288.596286192202</v>
      </c>
      <c r="D444" s="28" t="s">
        <v>98</v>
      </c>
      <c r="E444" s="28" t="s">
        <v>458</v>
      </c>
      <c r="F444" s="28" t="s">
        <v>111</v>
      </c>
      <c r="G444" s="28">
        <f t="shared" ca="1" si="12"/>
        <v>40</v>
      </c>
      <c r="H444" s="28">
        <v>2</v>
      </c>
      <c r="I444" s="25">
        <f t="shared" ca="1" si="13"/>
        <v>80</v>
      </c>
      <c r="J444" s="25" t="str">
        <f>VLOOKUP(F444,地区表!$D$2:$E$18,2,FALSE)</f>
        <v>办公用品</v>
      </c>
      <c r="K444" s="38" t="str">
        <f>VLOOKUP(E444,地区表!$A$2:$C$255,3,FALSE)</f>
        <v>东北</v>
      </c>
    </row>
    <row r="445" spans="1:11" ht="15.6">
      <c r="A445" s="28" t="s">
        <v>457</v>
      </c>
      <c r="B445" s="29">
        <v>44285.7076221077</v>
      </c>
      <c r="C445" s="29">
        <v>44288.944317191999</v>
      </c>
      <c r="D445" s="28" t="s">
        <v>98</v>
      </c>
      <c r="E445" s="28" t="s">
        <v>458</v>
      </c>
      <c r="F445" s="28" t="s">
        <v>112</v>
      </c>
      <c r="G445" s="28">
        <f t="shared" ca="1" si="12"/>
        <v>81</v>
      </c>
      <c r="H445" s="28">
        <v>2</v>
      </c>
      <c r="I445" s="25">
        <f t="shared" ca="1" si="13"/>
        <v>162</v>
      </c>
      <c r="J445" s="25" t="str">
        <f>VLOOKUP(F445,地区表!$D$2:$E$18,2,FALSE)</f>
        <v>办公用品</v>
      </c>
      <c r="K445" s="38" t="str">
        <f>VLOOKUP(E445,地区表!$A$2:$C$255,3,FALSE)</f>
        <v>东北</v>
      </c>
    </row>
    <row r="446" spans="1:11" ht="15.6">
      <c r="A446" s="28" t="s">
        <v>457</v>
      </c>
      <c r="B446" s="29">
        <v>44285.2668000216</v>
      </c>
      <c r="C446" s="29">
        <v>44288.335746673001</v>
      </c>
      <c r="D446" s="28" t="s">
        <v>98</v>
      </c>
      <c r="E446" s="28" t="s">
        <v>458</v>
      </c>
      <c r="F446" s="28" t="s">
        <v>130</v>
      </c>
      <c r="G446" s="28">
        <f t="shared" ca="1" si="12"/>
        <v>100</v>
      </c>
      <c r="H446" s="28">
        <v>2</v>
      </c>
      <c r="I446" s="25">
        <f t="shared" ca="1" si="13"/>
        <v>200</v>
      </c>
      <c r="J446" s="25" t="str">
        <f>VLOOKUP(F446,地区表!$D$2:$E$18,2,FALSE)</f>
        <v>家具</v>
      </c>
      <c r="K446" s="38" t="str">
        <f>VLOOKUP(E446,地区表!$A$2:$C$255,3,FALSE)</f>
        <v>东北</v>
      </c>
    </row>
    <row r="447" spans="1:11" ht="15.6">
      <c r="A447" s="28" t="s">
        <v>457</v>
      </c>
      <c r="B447" s="29">
        <v>44285.278716736197</v>
      </c>
      <c r="C447" s="29">
        <v>44288.124044984303</v>
      </c>
      <c r="D447" s="28" t="s">
        <v>98</v>
      </c>
      <c r="E447" s="28" t="s">
        <v>458</v>
      </c>
      <c r="F447" s="28" t="s">
        <v>118</v>
      </c>
      <c r="G447" s="28">
        <f t="shared" ca="1" si="12"/>
        <v>14</v>
      </c>
      <c r="H447" s="28">
        <v>6</v>
      </c>
      <c r="I447" s="25">
        <f t="shared" ca="1" si="13"/>
        <v>84</v>
      </c>
      <c r="J447" s="25" t="str">
        <f>VLOOKUP(F447,地区表!$D$2:$E$18,2,FALSE)</f>
        <v>技术</v>
      </c>
      <c r="K447" s="38" t="str">
        <f>VLOOKUP(E447,地区表!$A$2:$C$255,3,FALSE)</f>
        <v>东北</v>
      </c>
    </row>
    <row r="448" spans="1:11" ht="15.6">
      <c r="A448" s="28" t="s">
        <v>457</v>
      </c>
      <c r="B448" s="29">
        <v>44285.5163280099</v>
      </c>
      <c r="C448" s="29">
        <v>44288.525696849101</v>
      </c>
      <c r="D448" s="28" t="s">
        <v>98</v>
      </c>
      <c r="E448" s="28" t="s">
        <v>458</v>
      </c>
      <c r="F448" s="28" t="s">
        <v>111</v>
      </c>
      <c r="G448" s="28">
        <f t="shared" ca="1" si="12"/>
        <v>68</v>
      </c>
      <c r="H448" s="28">
        <v>5</v>
      </c>
      <c r="I448" s="25">
        <f t="shared" ca="1" si="13"/>
        <v>340</v>
      </c>
      <c r="J448" s="25" t="str">
        <f>VLOOKUP(F448,地区表!$D$2:$E$18,2,FALSE)</f>
        <v>办公用品</v>
      </c>
      <c r="K448" s="38" t="str">
        <f>VLOOKUP(E448,地区表!$A$2:$C$255,3,FALSE)</f>
        <v>东北</v>
      </c>
    </row>
    <row r="449" spans="1:11" ht="15.6">
      <c r="A449" s="28" t="s">
        <v>457</v>
      </c>
      <c r="B449" s="29">
        <v>44285.149266813001</v>
      </c>
      <c r="C449" s="29">
        <v>44288.443881085499</v>
      </c>
      <c r="D449" s="28" t="s">
        <v>98</v>
      </c>
      <c r="E449" s="28" t="s">
        <v>458</v>
      </c>
      <c r="F449" s="28" t="s">
        <v>106</v>
      </c>
      <c r="G449" s="28">
        <f t="shared" ca="1" si="12"/>
        <v>58</v>
      </c>
      <c r="H449" s="28">
        <v>2</v>
      </c>
      <c r="I449" s="25">
        <f t="shared" ca="1" si="13"/>
        <v>116</v>
      </c>
      <c r="J449" s="25" t="str">
        <f>VLOOKUP(F449,地区表!$D$2:$E$18,2,FALSE)</f>
        <v>办公用品</v>
      </c>
      <c r="K449" s="38" t="str">
        <f>VLOOKUP(E449,地区表!$A$2:$C$255,3,FALSE)</f>
        <v>东北</v>
      </c>
    </row>
    <row r="450" spans="1:11" ht="15.6">
      <c r="A450" s="28" t="s">
        <v>459</v>
      </c>
      <c r="B450" s="29">
        <v>44601.774915567199</v>
      </c>
      <c r="C450" s="29">
        <v>44606.3056822781</v>
      </c>
      <c r="D450" s="28" t="s">
        <v>114</v>
      </c>
      <c r="E450" s="28" t="s">
        <v>292</v>
      </c>
      <c r="F450" s="28" t="s">
        <v>122</v>
      </c>
      <c r="G450" s="28">
        <f t="shared" ref="G450:G513" ca="1" si="14">RANDBETWEEN(10,100)</f>
        <v>29</v>
      </c>
      <c r="H450" s="28">
        <v>6</v>
      </c>
      <c r="I450" s="25">
        <f t="shared" ref="I450:I513" ca="1" si="15">G450*H450</f>
        <v>174</v>
      </c>
      <c r="J450" s="25" t="str">
        <f>VLOOKUP(F450,地区表!$D$2:$E$18,2,FALSE)</f>
        <v>技术</v>
      </c>
      <c r="K450" s="38" t="str">
        <f>VLOOKUP(E450,地区表!$A$2:$C$255,3,FALSE)</f>
        <v>西南</v>
      </c>
    </row>
    <row r="451" spans="1:11" ht="15.6">
      <c r="A451" s="28" t="s">
        <v>460</v>
      </c>
      <c r="B451" s="29">
        <v>45089.410839116099</v>
      </c>
      <c r="C451" s="29">
        <v>45094.133425720203</v>
      </c>
      <c r="D451" s="28" t="s">
        <v>94</v>
      </c>
      <c r="E451" s="28" t="s">
        <v>455</v>
      </c>
      <c r="F451" s="28" t="s">
        <v>112</v>
      </c>
      <c r="G451" s="28">
        <f t="shared" ca="1" si="14"/>
        <v>22</v>
      </c>
      <c r="H451" s="28">
        <v>2</v>
      </c>
      <c r="I451" s="25">
        <f t="shared" ca="1" si="15"/>
        <v>44</v>
      </c>
      <c r="J451" s="25" t="str">
        <f>VLOOKUP(F451,地区表!$D$2:$E$18,2,FALSE)</f>
        <v>办公用品</v>
      </c>
      <c r="K451" s="38" t="str">
        <f>VLOOKUP(E451,地区表!$A$2:$C$255,3,FALSE)</f>
        <v>东北</v>
      </c>
    </row>
    <row r="452" spans="1:11" ht="15.6">
      <c r="A452" s="28" t="s">
        <v>461</v>
      </c>
      <c r="B452" s="29">
        <v>44202.106161027499</v>
      </c>
      <c r="C452" s="29">
        <v>44202.120976403698</v>
      </c>
      <c r="D452" s="28" t="s">
        <v>94</v>
      </c>
      <c r="E452" s="28" t="s">
        <v>462</v>
      </c>
      <c r="F452" s="28" t="s">
        <v>101</v>
      </c>
      <c r="G452" s="28">
        <f t="shared" ca="1" si="14"/>
        <v>58</v>
      </c>
      <c r="H452" s="28">
        <v>9</v>
      </c>
      <c r="I452" s="25">
        <f t="shared" ca="1" si="15"/>
        <v>522</v>
      </c>
      <c r="J452" s="25" t="str">
        <f>VLOOKUP(F452,地区表!$D$2:$E$18,2,FALSE)</f>
        <v>办公用品</v>
      </c>
      <c r="K452" s="38" t="str">
        <f>VLOOKUP(E452,地区表!$A$2:$C$255,3,FALSE)</f>
        <v>中南</v>
      </c>
    </row>
    <row r="453" spans="1:11" ht="15.6">
      <c r="A453" s="28" t="s">
        <v>463</v>
      </c>
      <c r="B453" s="29">
        <v>44710.35324746</v>
      </c>
      <c r="C453" s="29">
        <v>44712.759582335399</v>
      </c>
      <c r="D453" s="28" t="s">
        <v>98</v>
      </c>
      <c r="E453" s="28" t="s">
        <v>127</v>
      </c>
      <c r="F453" s="28" t="s">
        <v>135</v>
      </c>
      <c r="G453" s="28">
        <f t="shared" ca="1" si="14"/>
        <v>65</v>
      </c>
      <c r="H453" s="28">
        <v>11</v>
      </c>
      <c r="I453" s="25">
        <f t="shared" ca="1" si="15"/>
        <v>715</v>
      </c>
      <c r="J453" s="25" t="str">
        <f>VLOOKUP(F453,地区表!$D$2:$E$18,2,FALSE)</f>
        <v>办公用品</v>
      </c>
      <c r="K453" s="38" t="str">
        <f>VLOOKUP(E453,地区表!$A$2:$C$255,3,FALSE)</f>
        <v>华东</v>
      </c>
    </row>
    <row r="454" spans="1:11" ht="15.6">
      <c r="A454" s="28" t="s">
        <v>463</v>
      </c>
      <c r="B454" s="29">
        <v>44710.548253151101</v>
      </c>
      <c r="C454" s="29">
        <v>44712.220844389303</v>
      </c>
      <c r="D454" s="28" t="s">
        <v>98</v>
      </c>
      <c r="E454" s="28" t="s">
        <v>127</v>
      </c>
      <c r="F454" s="28" t="s">
        <v>141</v>
      </c>
      <c r="G454" s="28">
        <f t="shared" ca="1" si="14"/>
        <v>77</v>
      </c>
      <c r="H454" s="28">
        <v>7</v>
      </c>
      <c r="I454" s="25">
        <f t="shared" ca="1" si="15"/>
        <v>539</v>
      </c>
      <c r="J454" s="25" t="str">
        <f>VLOOKUP(F454,地区表!$D$2:$E$18,2,FALSE)</f>
        <v>办公用品</v>
      </c>
      <c r="K454" s="38" t="str">
        <f>VLOOKUP(E454,地区表!$A$2:$C$255,3,FALSE)</f>
        <v>华东</v>
      </c>
    </row>
    <row r="455" spans="1:11" ht="15.6">
      <c r="A455" s="28" t="s">
        <v>463</v>
      </c>
      <c r="B455" s="29">
        <v>44710.022533323601</v>
      </c>
      <c r="C455" s="29">
        <v>44712.773336434097</v>
      </c>
      <c r="D455" s="28" t="s">
        <v>98</v>
      </c>
      <c r="E455" s="28" t="s">
        <v>127</v>
      </c>
      <c r="F455" s="28" t="s">
        <v>110</v>
      </c>
      <c r="G455" s="28">
        <f t="shared" ca="1" si="14"/>
        <v>98</v>
      </c>
      <c r="H455" s="28">
        <v>1</v>
      </c>
      <c r="I455" s="25">
        <f t="shared" ca="1" si="15"/>
        <v>98</v>
      </c>
      <c r="J455" s="25" t="str">
        <f>VLOOKUP(F455,地区表!$D$2:$E$18,2,FALSE)</f>
        <v>家具</v>
      </c>
      <c r="K455" s="38" t="str">
        <f>VLOOKUP(E455,地区表!$A$2:$C$255,3,FALSE)</f>
        <v>华东</v>
      </c>
    </row>
    <row r="456" spans="1:11" ht="15.6">
      <c r="A456" s="28" t="s">
        <v>463</v>
      </c>
      <c r="B456" s="29">
        <v>44710.7917298709</v>
      </c>
      <c r="C456" s="29">
        <v>44712.010079849497</v>
      </c>
      <c r="D456" s="28" t="s">
        <v>98</v>
      </c>
      <c r="E456" s="28" t="s">
        <v>127</v>
      </c>
      <c r="F456" s="28" t="s">
        <v>110</v>
      </c>
      <c r="G456" s="28">
        <f t="shared" ca="1" si="14"/>
        <v>59</v>
      </c>
      <c r="H456" s="28">
        <v>6</v>
      </c>
      <c r="I456" s="25">
        <f t="shared" ca="1" si="15"/>
        <v>354</v>
      </c>
      <c r="J456" s="25" t="str">
        <f>VLOOKUP(F456,地区表!$D$2:$E$18,2,FALSE)</f>
        <v>家具</v>
      </c>
      <c r="K456" s="38" t="str">
        <f>VLOOKUP(E456,地区表!$A$2:$C$255,3,FALSE)</f>
        <v>华东</v>
      </c>
    </row>
    <row r="457" spans="1:11" ht="15.6">
      <c r="A457" s="28" t="s">
        <v>464</v>
      </c>
      <c r="B457" s="29">
        <v>44648.590622503099</v>
      </c>
      <c r="C457" s="29">
        <v>44654.628097889101</v>
      </c>
      <c r="D457" s="28" t="s">
        <v>94</v>
      </c>
      <c r="E457" s="28" t="s">
        <v>152</v>
      </c>
      <c r="F457" s="28" t="s">
        <v>141</v>
      </c>
      <c r="G457" s="28">
        <f t="shared" ca="1" si="14"/>
        <v>82</v>
      </c>
      <c r="H457" s="28">
        <v>13</v>
      </c>
      <c r="I457" s="25">
        <f t="shared" ca="1" si="15"/>
        <v>1066</v>
      </c>
      <c r="J457" s="25" t="str">
        <f>VLOOKUP(F457,地区表!$D$2:$E$18,2,FALSE)</f>
        <v>办公用品</v>
      </c>
      <c r="K457" s="38" t="str">
        <f>VLOOKUP(E457,地区表!$A$2:$C$255,3,FALSE)</f>
        <v>华东</v>
      </c>
    </row>
    <row r="458" spans="1:11" ht="15.6">
      <c r="A458" s="28" t="s">
        <v>464</v>
      </c>
      <c r="B458" s="29">
        <v>44648.455299847599</v>
      </c>
      <c r="C458" s="29">
        <v>44654.072150570799</v>
      </c>
      <c r="D458" s="28" t="s">
        <v>94</v>
      </c>
      <c r="E458" s="28" t="s">
        <v>152</v>
      </c>
      <c r="F458" s="28" t="s">
        <v>118</v>
      </c>
      <c r="G458" s="28">
        <f t="shared" ca="1" si="14"/>
        <v>77</v>
      </c>
      <c r="H458" s="28">
        <v>3</v>
      </c>
      <c r="I458" s="25">
        <f t="shared" ca="1" si="15"/>
        <v>231</v>
      </c>
      <c r="J458" s="25" t="str">
        <f>VLOOKUP(F458,地区表!$D$2:$E$18,2,FALSE)</f>
        <v>技术</v>
      </c>
      <c r="K458" s="38" t="str">
        <f>VLOOKUP(E458,地区表!$A$2:$C$255,3,FALSE)</f>
        <v>华东</v>
      </c>
    </row>
    <row r="459" spans="1:11" ht="15.6">
      <c r="A459" s="28" t="s">
        <v>465</v>
      </c>
      <c r="B459" s="29">
        <v>45022.977342854902</v>
      </c>
      <c r="C459" s="29">
        <v>45026.643937711196</v>
      </c>
      <c r="D459" s="28" t="s">
        <v>114</v>
      </c>
      <c r="E459" s="28" t="s">
        <v>466</v>
      </c>
      <c r="F459" s="28" t="s">
        <v>135</v>
      </c>
      <c r="G459" s="28">
        <f t="shared" ca="1" si="14"/>
        <v>87</v>
      </c>
      <c r="H459" s="28">
        <v>1</v>
      </c>
      <c r="I459" s="25">
        <f t="shared" ca="1" si="15"/>
        <v>87</v>
      </c>
      <c r="J459" s="25" t="str">
        <f>VLOOKUP(F459,地区表!$D$2:$E$18,2,FALSE)</f>
        <v>办公用品</v>
      </c>
      <c r="K459" s="38" t="str">
        <f>VLOOKUP(E459,地区表!$A$2:$C$255,3,FALSE)</f>
        <v>中南</v>
      </c>
    </row>
    <row r="460" spans="1:11" ht="15.6">
      <c r="A460" s="28" t="s">
        <v>467</v>
      </c>
      <c r="B460" s="29">
        <v>44368.340765008397</v>
      </c>
      <c r="C460" s="29">
        <v>44373.581758085602</v>
      </c>
      <c r="D460" s="28" t="s">
        <v>98</v>
      </c>
      <c r="E460" s="28" t="s">
        <v>468</v>
      </c>
      <c r="F460" s="28" t="s">
        <v>131</v>
      </c>
      <c r="G460" s="28">
        <f t="shared" ca="1" si="14"/>
        <v>27</v>
      </c>
      <c r="H460" s="28">
        <v>11</v>
      </c>
      <c r="I460" s="25">
        <f t="shared" ca="1" si="15"/>
        <v>297</v>
      </c>
      <c r="J460" s="25" t="str">
        <f>VLOOKUP(F460,地区表!$D$2:$E$18,2,FALSE)</f>
        <v>家具</v>
      </c>
      <c r="K460" s="38" t="str">
        <f>VLOOKUP(E460,地区表!$A$2:$C$255,3,FALSE)</f>
        <v>西北</v>
      </c>
    </row>
    <row r="461" spans="1:11" ht="15.6">
      <c r="A461" s="28" t="s">
        <v>467</v>
      </c>
      <c r="B461" s="29">
        <v>44368.906366290801</v>
      </c>
      <c r="C461" s="29">
        <v>44373.034371170303</v>
      </c>
      <c r="D461" s="28" t="s">
        <v>98</v>
      </c>
      <c r="E461" s="28" t="s">
        <v>468</v>
      </c>
      <c r="F461" s="28" t="s">
        <v>110</v>
      </c>
      <c r="G461" s="28">
        <f t="shared" ca="1" si="14"/>
        <v>42</v>
      </c>
      <c r="H461" s="28">
        <v>3</v>
      </c>
      <c r="I461" s="25">
        <f t="shared" ca="1" si="15"/>
        <v>126</v>
      </c>
      <c r="J461" s="25" t="str">
        <f>VLOOKUP(F461,地区表!$D$2:$E$18,2,FALSE)</f>
        <v>家具</v>
      </c>
      <c r="K461" s="38" t="str">
        <f>VLOOKUP(E461,地区表!$A$2:$C$255,3,FALSE)</f>
        <v>西北</v>
      </c>
    </row>
    <row r="462" spans="1:11" ht="15.6">
      <c r="A462" s="28" t="s">
        <v>469</v>
      </c>
      <c r="B462" s="29">
        <v>44584.530970362503</v>
      </c>
      <c r="C462" s="29">
        <v>44588.431494133401</v>
      </c>
      <c r="D462" s="28" t="s">
        <v>98</v>
      </c>
      <c r="E462" s="28" t="s">
        <v>470</v>
      </c>
      <c r="F462" s="28" t="s">
        <v>130</v>
      </c>
      <c r="G462" s="28">
        <f t="shared" ca="1" si="14"/>
        <v>59</v>
      </c>
      <c r="H462" s="28">
        <v>4</v>
      </c>
      <c r="I462" s="25">
        <f t="shared" ca="1" si="15"/>
        <v>236</v>
      </c>
      <c r="J462" s="25" t="str">
        <f>VLOOKUP(F462,地区表!$D$2:$E$18,2,FALSE)</f>
        <v>家具</v>
      </c>
      <c r="K462" s="38" t="str">
        <f>VLOOKUP(E462,地区表!$A$2:$C$255,3,FALSE)</f>
        <v>东北</v>
      </c>
    </row>
    <row r="463" spans="1:11" ht="15.6">
      <c r="A463" s="28" t="s">
        <v>469</v>
      </c>
      <c r="B463" s="29">
        <v>44584.674524654103</v>
      </c>
      <c r="C463" s="29">
        <v>44588.156840165102</v>
      </c>
      <c r="D463" s="28" t="s">
        <v>98</v>
      </c>
      <c r="E463" s="28" t="s">
        <v>470</v>
      </c>
      <c r="F463" s="28" t="s">
        <v>144</v>
      </c>
      <c r="G463" s="28">
        <f t="shared" ca="1" si="14"/>
        <v>58</v>
      </c>
      <c r="H463" s="28">
        <v>3</v>
      </c>
      <c r="I463" s="25">
        <f t="shared" ca="1" si="15"/>
        <v>174</v>
      </c>
      <c r="J463" s="25" t="str">
        <f>VLOOKUP(F463,地区表!$D$2:$E$18,2,FALSE)</f>
        <v>家具</v>
      </c>
      <c r="K463" s="38" t="str">
        <f>VLOOKUP(E463,地区表!$A$2:$C$255,3,FALSE)</f>
        <v>东北</v>
      </c>
    </row>
    <row r="464" spans="1:11" ht="15.6">
      <c r="A464" s="28" t="s">
        <v>471</v>
      </c>
      <c r="B464" s="29">
        <v>44642.522101927199</v>
      </c>
      <c r="C464" s="29">
        <v>44645.093510168103</v>
      </c>
      <c r="D464" s="28" t="s">
        <v>98</v>
      </c>
      <c r="E464" s="28" t="s">
        <v>472</v>
      </c>
      <c r="F464" s="28" t="s">
        <v>122</v>
      </c>
      <c r="G464" s="28">
        <f t="shared" ca="1" si="14"/>
        <v>77</v>
      </c>
      <c r="H464" s="28">
        <v>1</v>
      </c>
      <c r="I464" s="25">
        <f t="shared" ca="1" si="15"/>
        <v>77</v>
      </c>
      <c r="J464" s="25" t="str">
        <f>VLOOKUP(F464,地区表!$D$2:$E$18,2,FALSE)</f>
        <v>技术</v>
      </c>
      <c r="K464" s="38" t="str">
        <f>VLOOKUP(E464,地区表!$A$2:$C$255,3,FALSE)</f>
        <v>华东</v>
      </c>
    </row>
    <row r="465" spans="1:11" ht="15.6">
      <c r="A465" s="28" t="s">
        <v>473</v>
      </c>
      <c r="B465" s="29">
        <v>44611.506282579699</v>
      </c>
      <c r="C465" s="29">
        <v>44616.410607537102</v>
      </c>
      <c r="D465" s="28" t="s">
        <v>94</v>
      </c>
      <c r="E465" s="28" t="s">
        <v>474</v>
      </c>
      <c r="F465" s="28" t="s">
        <v>131</v>
      </c>
      <c r="G465" s="28">
        <f t="shared" ca="1" si="14"/>
        <v>45</v>
      </c>
      <c r="H465" s="28">
        <v>3</v>
      </c>
      <c r="I465" s="25">
        <f t="shared" ca="1" si="15"/>
        <v>135</v>
      </c>
      <c r="J465" s="25" t="str">
        <f>VLOOKUP(F465,地区表!$D$2:$E$18,2,FALSE)</f>
        <v>家具</v>
      </c>
      <c r="K465" s="38" t="str">
        <f>VLOOKUP(E465,地区表!$A$2:$C$255,3,FALSE)</f>
        <v>华北</v>
      </c>
    </row>
    <row r="466" spans="1:11" ht="15.6">
      <c r="A466" s="28" t="s">
        <v>473</v>
      </c>
      <c r="B466" s="29">
        <v>44611.794010384103</v>
      </c>
      <c r="C466" s="29">
        <v>44616.8153943414</v>
      </c>
      <c r="D466" s="28" t="s">
        <v>94</v>
      </c>
      <c r="E466" s="28" t="s">
        <v>474</v>
      </c>
      <c r="F466" s="28" t="s">
        <v>109</v>
      </c>
      <c r="G466" s="28">
        <f t="shared" ca="1" si="14"/>
        <v>17</v>
      </c>
      <c r="H466" s="28">
        <v>2</v>
      </c>
      <c r="I466" s="25">
        <f t="shared" ca="1" si="15"/>
        <v>34</v>
      </c>
      <c r="J466" s="25" t="str">
        <f>VLOOKUP(F466,地区表!$D$2:$E$18,2,FALSE)</f>
        <v>技术</v>
      </c>
      <c r="K466" s="38" t="str">
        <f>VLOOKUP(E466,地区表!$A$2:$C$255,3,FALSE)</f>
        <v>华北</v>
      </c>
    </row>
    <row r="467" spans="1:11" ht="15.6">
      <c r="A467" s="28" t="s">
        <v>475</v>
      </c>
      <c r="B467" s="29">
        <v>44635.405741893097</v>
      </c>
      <c r="C467" s="29">
        <v>44641.286644226697</v>
      </c>
      <c r="D467" s="28" t="s">
        <v>98</v>
      </c>
      <c r="E467" s="28" t="s">
        <v>476</v>
      </c>
      <c r="F467" s="28" t="s">
        <v>101</v>
      </c>
      <c r="G467" s="28">
        <f t="shared" ca="1" si="14"/>
        <v>76</v>
      </c>
      <c r="H467" s="28">
        <v>2</v>
      </c>
      <c r="I467" s="25">
        <f t="shared" ca="1" si="15"/>
        <v>152</v>
      </c>
      <c r="J467" s="25" t="str">
        <f>VLOOKUP(F467,地区表!$D$2:$E$18,2,FALSE)</f>
        <v>办公用品</v>
      </c>
      <c r="K467" s="38" t="str">
        <f>VLOOKUP(E467,地区表!$A$2:$C$255,3,FALSE)</f>
        <v>华东</v>
      </c>
    </row>
    <row r="468" spans="1:11" ht="15.6">
      <c r="A468" s="28" t="s">
        <v>475</v>
      </c>
      <c r="B468" s="29">
        <v>44635.220300722998</v>
      </c>
      <c r="C468" s="29">
        <v>44641.332389138101</v>
      </c>
      <c r="D468" s="28" t="s">
        <v>98</v>
      </c>
      <c r="E468" s="28" t="s">
        <v>476</v>
      </c>
      <c r="F468" s="28" t="s">
        <v>144</v>
      </c>
      <c r="G468" s="28">
        <f t="shared" ca="1" si="14"/>
        <v>73</v>
      </c>
      <c r="H468" s="28">
        <v>3</v>
      </c>
      <c r="I468" s="25">
        <f t="shared" ca="1" si="15"/>
        <v>219</v>
      </c>
      <c r="J468" s="25" t="str">
        <f>VLOOKUP(F468,地区表!$D$2:$E$18,2,FALSE)</f>
        <v>家具</v>
      </c>
      <c r="K468" s="38" t="str">
        <f>VLOOKUP(E468,地区表!$A$2:$C$255,3,FALSE)</f>
        <v>华东</v>
      </c>
    </row>
    <row r="469" spans="1:11" ht="15.6">
      <c r="A469" s="28" t="s">
        <v>475</v>
      </c>
      <c r="B469" s="29">
        <v>44635.0742106869</v>
      </c>
      <c r="C469" s="29">
        <v>44641.577934838802</v>
      </c>
      <c r="D469" s="28" t="s">
        <v>98</v>
      </c>
      <c r="E469" s="28" t="s">
        <v>476</v>
      </c>
      <c r="F469" s="28" t="s">
        <v>106</v>
      </c>
      <c r="G469" s="28">
        <f t="shared" ca="1" si="14"/>
        <v>89</v>
      </c>
      <c r="H469" s="28">
        <v>4</v>
      </c>
      <c r="I469" s="25">
        <f t="shared" ca="1" si="15"/>
        <v>356</v>
      </c>
      <c r="J469" s="25" t="str">
        <f>VLOOKUP(F469,地区表!$D$2:$E$18,2,FALSE)</f>
        <v>办公用品</v>
      </c>
      <c r="K469" s="38" t="str">
        <f>VLOOKUP(E469,地区表!$A$2:$C$255,3,FALSE)</f>
        <v>华东</v>
      </c>
    </row>
    <row r="470" spans="1:11" ht="15.6">
      <c r="A470" s="28" t="s">
        <v>475</v>
      </c>
      <c r="B470" s="29">
        <v>44635.0711056828</v>
      </c>
      <c r="C470" s="29">
        <v>44641.056284211802</v>
      </c>
      <c r="D470" s="28" t="s">
        <v>98</v>
      </c>
      <c r="E470" s="28" t="s">
        <v>476</v>
      </c>
      <c r="F470" s="28" t="s">
        <v>110</v>
      </c>
      <c r="G470" s="28">
        <f t="shared" ca="1" si="14"/>
        <v>84</v>
      </c>
      <c r="H470" s="28">
        <v>3</v>
      </c>
      <c r="I470" s="25">
        <f t="shared" ca="1" si="15"/>
        <v>252</v>
      </c>
      <c r="J470" s="25" t="str">
        <f>VLOOKUP(F470,地区表!$D$2:$E$18,2,FALSE)</f>
        <v>家具</v>
      </c>
      <c r="K470" s="38" t="str">
        <f>VLOOKUP(E470,地区表!$A$2:$C$255,3,FALSE)</f>
        <v>华东</v>
      </c>
    </row>
    <row r="471" spans="1:11" ht="15.6">
      <c r="A471" s="28" t="s">
        <v>477</v>
      </c>
      <c r="B471" s="29">
        <v>44445.601493720198</v>
      </c>
      <c r="C471" s="29">
        <v>44450.119601557402</v>
      </c>
      <c r="D471" s="28" t="s">
        <v>94</v>
      </c>
      <c r="E471" s="28" t="s">
        <v>378</v>
      </c>
      <c r="F471" s="28" t="s">
        <v>101</v>
      </c>
      <c r="G471" s="28">
        <f t="shared" ca="1" si="14"/>
        <v>65</v>
      </c>
      <c r="H471" s="28">
        <v>4</v>
      </c>
      <c r="I471" s="25">
        <f t="shared" ca="1" si="15"/>
        <v>260</v>
      </c>
      <c r="J471" s="25" t="str">
        <f>VLOOKUP(F471,地区表!$D$2:$E$18,2,FALSE)</f>
        <v>办公用品</v>
      </c>
      <c r="K471" s="38" t="str">
        <f>VLOOKUP(E471,地区表!$A$2:$C$255,3,FALSE)</f>
        <v>华北</v>
      </c>
    </row>
    <row r="472" spans="1:11" ht="15.6">
      <c r="A472" s="28" t="s">
        <v>477</v>
      </c>
      <c r="B472" s="29">
        <v>44445.262294058302</v>
      </c>
      <c r="C472" s="29">
        <v>44450.492550771902</v>
      </c>
      <c r="D472" s="28" t="s">
        <v>94</v>
      </c>
      <c r="E472" s="28" t="s">
        <v>378</v>
      </c>
      <c r="F472" s="28" t="s">
        <v>118</v>
      </c>
      <c r="G472" s="28">
        <f t="shared" ca="1" si="14"/>
        <v>69</v>
      </c>
      <c r="H472" s="28">
        <v>2</v>
      </c>
      <c r="I472" s="25">
        <f t="shared" ca="1" si="15"/>
        <v>138</v>
      </c>
      <c r="J472" s="25" t="str">
        <f>VLOOKUP(F472,地区表!$D$2:$E$18,2,FALSE)</f>
        <v>技术</v>
      </c>
      <c r="K472" s="38" t="str">
        <f>VLOOKUP(E472,地区表!$A$2:$C$255,3,FALSE)</f>
        <v>华北</v>
      </c>
    </row>
    <row r="473" spans="1:11" ht="15.6">
      <c r="A473" s="28" t="s">
        <v>478</v>
      </c>
      <c r="B473" s="29">
        <v>44626.5352014788</v>
      </c>
      <c r="C473" s="29">
        <v>44631.5937140881</v>
      </c>
      <c r="D473" s="28" t="s">
        <v>94</v>
      </c>
      <c r="E473" s="28" t="s">
        <v>479</v>
      </c>
      <c r="F473" s="28" t="s">
        <v>122</v>
      </c>
      <c r="G473" s="28">
        <f t="shared" ca="1" si="14"/>
        <v>89</v>
      </c>
      <c r="H473" s="28">
        <v>5</v>
      </c>
      <c r="I473" s="25">
        <f t="shared" ca="1" si="15"/>
        <v>445</v>
      </c>
      <c r="J473" s="25" t="str">
        <f>VLOOKUP(F473,地区表!$D$2:$E$18,2,FALSE)</f>
        <v>技术</v>
      </c>
      <c r="K473" s="38" t="str">
        <f>VLOOKUP(E473,地区表!$A$2:$C$255,3,FALSE)</f>
        <v>西南</v>
      </c>
    </row>
    <row r="474" spans="1:11" ht="15.6">
      <c r="A474" s="28" t="s">
        <v>478</v>
      </c>
      <c r="B474" s="29">
        <v>44626.254257694702</v>
      </c>
      <c r="C474" s="29">
        <v>44631.410874751498</v>
      </c>
      <c r="D474" s="28" t="s">
        <v>94</v>
      </c>
      <c r="E474" s="28" t="s">
        <v>479</v>
      </c>
      <c r="F474" s="28" t="s">
        <v>118</v>
      </c>
      <c r="G474" s="28">
        <f t="shared" ca="1" si="14"/>
        <v>89</v>
      </c>
      <c r="H474" s="28">
        <v>5</v>
      </c>
      <c r="I474" s="25">
        <f t="shared" ca="1" si="15"/>
        <v>445</v>
      </c>
      <c r="J474" s="25" t="str">
        <f>VLOOKUP(F474,地区表!$D$2:$E$18,2,FALSE)</f>
        <v>技术</v>
      </c>
      <c r="K474" s="38" t="str">
        <f>VLOOKUP(E474,地区表!$A$2:$C$255,3,FALSE)</f>
        <v>西南</v>
      </c>
    </row>
    <row r="475" spans="1:11" ht="15.6">
      <c r="A475" s="28" t="s">
        <v>480</v>
      </c>
      <c r="B475" s="29">
        <v>44295.052343245901</v>
      </c>
      <c r="C475" s="29">
        <v>44299.145359585702</v>
      </c>
      <c r="D475" s="28" t="s">
        <v>98</v>
      </c>
      <c r="E475" s="28" t="s">
        <v>481</v>
      </c>
      <c r="F475" s="28" t="s">
        <v>112</v>
      </c>
      <c r="G475" s="28">
        <f t="shared" ca="1" si="14"/>
        <v>83</v>
      </c>
      <c r="H475" s="28">
        <v>3</v>
      </c>
      <c r="I475" s="25">
        <f t="shared" ca="1" si="15"/>
        <v>249</v>
      </c>
      <c r="J475" s="25" t="str">
        <f>VLOOKUP(F475,地区表!$D$2:$E$18,2,FALSE)</f>
        <v>办公用品</v>
      </c>
      <c r="K475" s="38" t="str">
        <f>VLOOKUP(E475,地区表!$A$2:$C$255,3,FALSE)</f>
        <v>华东</v>
      </c>
    </row>
    <row r="476" spans="1:11" ht="15.6">
      <c r="A476" s="28" t="s">
        <v>482</v>
      </c>
      <c r="B476" s="29">
        <v>44573.8787310189</v>
      </c>
      <c r="C476" s="29">
        <v>44578.794582410097</v>
      </c>
      <c r="D476" s="28" t="s">
        <v>98</v>
      </c>
      <c r="E476" s="28" t="s">
        <v>279</v>
      </c>
      <c r="F476" s="28" t="s">
        <v>111</v>
      </c>
      <c r="G476" s="28">
        <f t="shared" ca="1" si="14"/>
        <v>32</v>
      </c>
      <c r="H476" s="28">
        <v>2</v>
      </c>
      <c r="I476" s="25">
        <f t="shared" ca="1" si="15"/>
        <v>64</v>
      </c>
      <c r="J476" s="25" t="str">
        <f>VLOOKUP(F476,地区表!$D$2:$E$18,2,FALSE)</f>
        <v>办公用品</v>
      </c>
      <c r="K476" s="38" t="str">
        <f>VLOOKUP(E476,地区表!$A$2:$C$255,3,FALSE)</f>
        <v>中南</v>
      </c>
    </row>
    <row r="477" spans="1:11" ht="15.6">
      <c r="A477" s="28" t="s">
        <v>482</v>
      </c>
      <c r="B477" s="29">
        <v>44573.2300449373</v>
      </c>
      <c r="C477" s="29">
        <v>44578.552785890097</v>
      </c>
      <c r="D477" s="28" t="s">
        <v>98</v>
      </c>
      <c r="E477" s="28" t="s">
        <v>279</v>
      </c>
      <c r="F477" s="28" t="s">
        <v>112</v>
      </c>
      <c r="G477" s="28">
        <f t="shared" ca="1" si="14"/>
        <v>79</v>
      </c>
      <c r="H477" s="28">
        <v>5</v>
      </c>
      <c r="I477" s="25">
        <f t="shared" ca="1" si="15"/>
        <v>395</v>
      </c>
      <c r="J477" s="25" t="str">
        <f>VLOOKUP(F477,地区表!$D$2:$E$18,2,FALSE)</f>
        <v>办公用品</v>
      </c>
      <c r="K477" s="38" t="str">
        <f>VLOOKUP(E477,地区表!$A$2:$C$255,3,FALSE)</f>
        <v>中南</v>
      </c>
    </row>
    <row r="478" spans="1:11" ht="15.6">
      <c r="A478" s="28" t="s">
        <v>482</v>
      </c>
      <c r="B478" s="29">
        <v>44573.346445693001</v>
      </c>
      <c r="C478" s="29">
        <v>44578.9948622886</v>
      </c>
      <c r="D478" s="28" t="s">
        <v>98</v>
      </c>
      <c r="E478" s="28" t="s">
        <v>279</v>
      </c>
      <c r="F478" s="28" t="s">
        <v>100</v>
      </c>
      <c r="G478" s="28">
        <f t="shared" ca="1" si="14"/>
        <v>52</v>
      </c>
      <c r="H478" s="28">
        <v>6</v>
      </c>
      <c r="I478" s="25">
        <f t="shared" ca="1" si="15"/>
        <v>312</v>
      </c>
      <c r="J478" s="25" t="str">
        <f>VLOOKUP(F478,地区表!$D$2:$E$18,2,FALSE)</f>
        <v>办公用品</v>
      </c>
      <c r="K478" s="38" t="str">
        <f>VLOOKUP(E478,地区表!$A$2:$C$255,3,FALSE)</f>
        <v>中南</v>
      </c>
    </row>
    <row r="479" spans="1:11" ht="15.6">
      <c r="A479" s="28" t="s">
        <v>482</v>
      </c>
      <c r="B479" s="29">
        <v>44573.057081343002</v>
      </c>
      <c r="C479" s="29">
        <v>44578.512854668901</v>
      </c>
      <c r="D479" s="28" t="s">
        <v>98</v>
      </c>
      <c r="E479" s="28" t="s">
        <v>279</v>
      </c>
      <c r="F479" s="28" t="s">
        <v>109</v>
      </c>
      <c r="G479" s="28">
        <f t="shared" ca="1" si="14"/>
        <v>97</v>
      </c>
      <c r="H479" s="28">
        <v>1</v>
      </c>
      <c r="I479" s="25">
        <f t="shared" ca="1" si="15"/>
        <v>97</v>
      </c>
      <c r="J479" s="25" t="str">
        <f>VLOOKUP(F479,地区表!$D$2:$E$18,2,FALSE)</f>
        <v>技术</v>
      </c>
      <c r="K479" s="38" t="str">
        <f>VLOOKUP(E479,地区表!$A$2:$C$255,3,FALSE)</f>
        <v>中南</v>
      </c>
    </row>
    <row r="480" spans="1:11" ht="15.6">
      <c r="A480" s="28" t="s">
        <v>483</v>
      </c>
      <c r="B480" s="29">
        <v>45087.041928062899</v>
      </c>
      <c r="C480" s="29">
        <v>45092.751706685602</v>
      </c>
      <c r="D480" s="28" t="s">
        <v>94</v>
      </c>
      <c r="E480" s="28" t="s">
        <v>479</v>
      </c>
      <c r="F480" s="28" t="s">
        <v>101</v>
      </c>
      <c r="G480" s="28">
        <f t="shared" ca="1" si="14"/>
        <v>73</v>
      </c>
      <c r="H480" s="28">
        <v>5</v>
      </c>
      <c r="I480" s="25">
        <f t="shared" ca="1" si="15"/>
        <v>365</v>
      </c>
      <c r="J480" s="25" t="str">
        <f>VLOOKUP(F480,地区表!$D$2:$E$18,2,FALSE)</f>
        <v>办公用品</v>
      </c>
      <c r="K480" s="38" t="str">
        <f>VLOOKUP(E480,地区表!$A$2:$C$255,3,FALSE)</f>
        <v>西南</v>
      </c>
    </row>
    <row r="481" spans="1:11" ht="15.6">
      <c r="A481" s="28" t="s">
        <v>484</v>
      </c>
      <c r="B481" s="29">
        <v>44251.824065690103</v>
      </c>
      <c r="C481" s="29">
        <v>44253.1475304044</v>
      </c>
      <c r="D481" s="28" t="s">
        <v>98</v>
      </c>
      <c r="E481" s="28" t="s">
        <v>176</v>
      </c>
      <c r="F481" s="28" t="s">
        <v>131</v>
      </c>
      <c r="G481" s="28">
        <f t="shared" ca="1" si="14"/>
        <v>86</v>
      </c>
      <c r="H481" s="28">
        <v>3</v>
      </c>
      <c r="I481" s="25">
        <f t="shared" ca="1" si="15"/>
        <v>258</v>
      </c>
      <c r="J481" s="25" t="str">
        <f>VLOOKUP(F481,地区表!$D$2:$E$18,2,FALSE)</f>
        <v>家具</v>
      </c>
      <c r="K481" s="38" t="str">
        <f>VLOOKUP(E481,地区表!$A$2:$C$255,3,FALSE)</f>
        <v>中南</v>
      </c>
    </row>
    <row r="482" spans="1:11" ht="15.6">
      <c r="A482" s="28" t="s">
        <v>485</v>
      </c>
      <c r="B482" s="29">
        <v>44944.823401796399</v>
      </c>
      <c r="C482" s="29">
        <v>44948.160467296402</v>
      </c>
      <c r="D482" s="28" t="s">
        <v>98</v>
      </c>
      <c r="E482" s="28" t="s">
        <v>179</v>
      </c>
      <c r="F482" s="28" t="s">
        <v>96</v>
      </c>
      <c r="G482" s="28">
        <f t="shared" ca="1" si="14"/>
        <v>96</v>
      </c>
      <c r="H482" s="28">
        <v>2</v>
      </c>
      <c r="I482" s="25">
        <f t="shared" ca="1" si="15"/>
        <v>192</v>
      </c>
      <c r="J482" s="25" t="str">
        <f>VLOOKUP(F482,地区表!$D$2:$E$18,2,FALSE)</f>
        <v>办公用品</v>
      </c>
      <c r="K482" s="38" t="str">
        <f>VLOOKUP(E482,地区表!$A$2:$C$255,3,FALSE)</f>
        <v>华东</v>
      </c>
    </row>
    <row r="483" spans="1:11" ht="15.6">
      <c r="A483" s="28" t="s">
        <v>486</v>
      </c>
      <c r="B483" s="29">
        <v>44611.909090986199</v>
      </c>
      <c r="C483" s="29">
        <v>44615.6167434288</v>
      </c>
      <c r="D483" s="28" t="s">
        <v>94</v>
      </c>
      <c r="E483" s="28" t="s">
        <v>487</v>
      </c>
      <c r="F483" s="28" t="s">
        <v>130</v>
      </c>
      <c r="G483" s="28">
        <f t="shared" ca="1" si="14"/>
        <v>65</v>
      </c>
      <c r="H483" s="28">
        <v>3</v>
      </c>
      <c r="I483" s="25">
        <f t="shared" ca="1" si="15"/>
        <v>195</v>
      </c>
      <c r="J483" s="25" t="str">
        <f>VLOOKUP(F483,地区表!$D$2:$E$18,2,FALSE)</f>
        <v>家具</v>
      </c>
      <c r="K483" s="38" t="str">
        <f>VLOOKUP(E483,地区表!$A$2:$C$255,3,FALSE)</f>
        <v>华北</v>
      </c>
    </row>
    <row r="484" spans="1:11" ht="15.6">
      <c r="A484" s="28" t="s">
        <v>488</v>
      </c>
      <c r="B484" s="29">
        <v>44684.009951823202</v>
      </c>
      <c r="C484" s="29">
        <v>44689.7424259908</v>
      </c>
      <c r="D484" s="28" t="s">
        <v>98</v>
      </c>
      <c r="E484" s="28" t="s">
        <v>489</v>
      </c>
      <c r="F484" s="28" t="s">
        <v>100</v>
      </c>
      <c r="G484" s="28">
        <f t="shared" ca="1" si="14"/>
        <v>11</v>
      </c>
      <c r="H484" s="28">
        <v>2</v>
      </c>
      <c r="I484" s="25">
        <f t="shared" ca="1" si="15"/>
        <v>22</v>
      </c>
      <c r="J484" s="25" t="str">
        <f>VLOOKUP(F484,地区表!$D$2:$E$18,2,FALSE)</f>
        <v>办公用品</v>
      </c>
      <c r="K484" s="38" t="str">
        <f>VLOOKUP(E484,地区表!$A$2:$C$255,3,FALSE)</f>
        <v>中南</v>
      </c>
    </row>
    <row r="485" spans="1:11" ht="15.6">
      <c r="A485" s="28" t="s">
        <v>488</v>
      </c>
      <c r="B485" s="29">
        <v>44684.149137052103</v>
      </c>
      <c r="C485" s="29">
        <v>44689.091468327802</v>
      </c>
      <c r="D485" s="28" t="s">
        <v>98</v>
      </c>
      <c r="E485" s="28" t="s">
        <v>489</v>
      </c>
      <c r="F485" s="28" t="s">
        <v>101</v>
      </c>
      <c r="G485" s="28">
        <f t="shared" ca="1" si="14"/>
        <v>47</v>
      </c>
      <c r="H485" s="28">
        <v>3</v>
      </c>
      <c r="I485" s="25">
        <f t="shared" ca="1" si="15"/>
        <v>141</v>
      </c>
      <c r="J485" s="25" t="str">
        <f>VLOOKUP(F485,地区表!$D$2:$E$18,2,FALSE)</f>
        <v>办公用品</v>
      </c>
      <c r="K485" s="38" t="str">
        <f>VLOOKUP(E485,地区表!$A$2:$C$255,3,FALSE)</f>
        <v>中南</v>
      </c>
    </row>
    <row r="486" spans="1:11" ht="15.6">
      <c r="A486" s="28" t="s">
        <v>490</v>
      </c>
      <c r="B486" s="29">
        <v>44505.049104107798</v>
      </c>
      <c r="C486" s="29">
        <v>44512.117258240098</v>
      </c>
      <c r="D486" s="28" t="s">
        <v>94</v>
      </c>
      <c r="E486" s="28" t="s">
        <v>491</v>
      </c>
      <c r="F486" s="28" t="s">
        <v>96</v>
      </c>
      <c r="G486" s="28">
        <f t="shared" ca="1" si="14"/>
        <v>79</v>
      </c>
      <c r="H486" s="28">
        <v>2</v>
      </c>
      <c r="I486" s="25">
        <f t="shared" ca="1" si="15"/>
        <v>158</v>
      </c>
      <c r="J486" s="25" t="str">
        <f>VLOOKUP(F486,地区表!$D$2:$E$18,2,FALSE)</f>
        <v>办公用品</v>
      </c>
      <c r="K486" s="38" t="str">
        <f>VLOOKUP(E486,地区表!$A$2:$C$255,3,FALSE)</f>
        <v>东北</v>
      </c>
    </row>
    <row r="487" spans="1:11" ht="15.6">
      <c r="A487" s="28" t="s">
        <v>490</v>
      </c>
      <c r="B487" s="29">
        <v>44505.7141817753</v>
      </c>
      <c r="C487" s="29">
        <v>44512.5130720003</v>
      </c>
      <c r="D487" s="28" t="s">
        <v>94</v>
      </c>
      <c r="E487" s="28" t="s">
        <v>491</v>
      </c>
      <c r="F487" s="28" t="s">
        <v>110</v>
      </c>
      <c r="G487" s="28">
        <f t="shared" ca="1" si="14"/>
        <v>93</v>
      </c>
      <c r="H487" s="28">
        <v>8</v>
      </c>
      <c r="I487" s="25">
        <f t="shared" ca="1" si="15"/>
        <v>744</v>
      </c>
      <c r="J487" s="25" t="str">
        <f>VLOOKUP(F487,地区表!$D$2:$E$18,2,FALSE)</f>
        <v>家具</v>
      </c>
      <c r="K487" s="38" t="str">
        <f>VLOOKUP(E487,地区表!$A$2:$C$255,3,FALSE)</f>
        <v>东北</v>
      </c>
    </row>
    <row r="488" spans="1:11" ht="15.6">
      <c r="A488" s="28" t="s">
        <v>492</v>
      </c>
      <c r="B488" s="29">
        <v>45244.581191698402</v>
      </c>
      <c r="C488" s="29">
        <v>45248.433161551897</v>
      </c>
      <c r="D488" s="28" t="s">
        <v>98</v>
      </c>
      <c r="E488" s="28" t="s">
        <v>493</v>
      </c>
      <c r="F488" s="28" t="s">
        <v>121</v>
      </c>
      <c r="G488" s="28">
        <f t="shared" ca="1" si="14"/>
        <v>24</v>
      </c>
      <c r="H488" s="28">
        <v>2</v>
      </c>
      <c r="I488" s="25">
        <f t="shared" ca="1" si="15"/>
        <v>48</v>
      </c>
      <c r="J488" s="25" t="str">
        <f>VLOOKUP(F488,地区表!$D$2:$E$18,2,FALSE)</f>
        <v>技术</v>
      </c>
      <c r="K488" s="38" t="str">
        <f>VLOOKUP(E488,地区表!$A$2:$C$255,3,FALSE)</f>
        <v>中南</v>
      </c>
    </row>
    <row r="489" spans="1:11" ht="15.6">
      <c r="A489" s="28" t="s">
        <v>492</v>
      </c>
      <c r="B489" s="29">
        <v>45244.472525112498</v>
      </c>
      <c r="C489" s="29">
        <v>45248.972129383503</v>
      </c>
      <c r="D489" s="28" t="s">
        <v>98</v>
      </c>
      <c r="E489" s="28" t="s">
        <v>493</v>
      </c>
      <c r="F489" s="28" t="s">
        <v>118</v>
      </c>
      <c r="G489" s="28">
        <f t="shared" ca="1" si="14"/>
        <v>56</v>
      </c>
      <c r="H489" s="28">
        <v>4</v>
      </c>
      <c r="I489" s="25">
        <f t="shared" ca="1" si="15"/>
        <v>224</v>
      </c>
      <c r="J489" s="25" t="str">
        <f>VLOOKUP(F489,地区表!$D$2:$E$18,2,FALSE)</f>
        <v>技术</v>
      </c>
      <c r="K489" s="38" t="str">
        <f>VLOOKUP(E489,地区表!$A$2:$C$255,3,FALSE)</f>
        <v>中南</v>
      </c>
    </row>
    <row r="490" spans="1:11" ht="15.6">
      <c r="A490" s="28" t="s">
        <v>492</v>
      </c>
      <c r="B490" s="29">
        <v>45244.114994504998</v>
      </c>
      <c r="C490" s="29">
        <v>45248.237788543098</v>
      </c>
      <c r="D490" s="28" t="s">
        <v>98</v>
      </c>
      <c r="E490" s="28" t="s">
        <v>493</v>
      </c>
      <c r="F490" s="28" t="s">
        <v>135</v>
      </c>
      <c r="G490" s="28">
        <f t="shared" ca="1" si="14"/>
        <v>24</v>
      </c>
      <c r="H490" s="28">
        <v>3</v>
      </c>
      <c r="I490" s="25">
        <f t="shared" ca="1" si="15"/>
        <v>72</v>
      </c>
      <c r="J490" s="25" t="str">
        <f>VLOOKUP(F490,地区表!$D$2:$E$18,2,FALSE)</f>
        <v>办公用品</v>
      </c>
      <c r="K490" s="38" t="str">
        <f>VLOOKUP(E490,地区表!$A$2:$C$255,3,FALSE)</f>
        <v>中南</v>
      </c>
    </row>
    <row r="491" spans="1:11" ht="15.6">
      <c r="A491" s="28" t="s">
        <v>492</v>
      </c>
      <c r="B491" s="29">
        <v>45244.367723825701</v>
      </c>
      <c r="C491" s="29">
        <v>45248.708528033399</v>
      </c>
      <c r="D491" s="28" t="s">
        <v>98</v>
      </c>
      <c r="E491" s="28" t="s">
        <v>493</v>
      </c>
      <c r="F491" s="28" t="s">
        <v>131</v>
      </c>
      <c r="G491" s="28">
        <f t="shared" ca="1" si="14"/>
        <v>80</v>
      </c>
      <c r="H491" s="28">
        <v>3</v>
      </c>
      <c r="I491" s="25">
        <f t="shared" ca="1" si="15"/>
        <v>240</v>
      </c>
      <c r="J491" s="25" t="str">
        <f>VLOOKUP(F491,地区表!$D$2:$E$18,2,FALSE)</f>
        <v>家具</v>
      </c>
      <c r="K491" s="38" t="str">
        <f>VLOOKUP(E491,地区表!$A$2:$C$255,3,FALSE)</f>
        <v>中南</v>
      </c>
    </row>
    <row r="492" spans="1:11" ht="15.6">
      <c r="A492" s="28" t="s">
        <v>492</v>
      </c>
      <c r="B492" s="29">
        <v>45244.011827549999</v>
      </c>
      <c r="C492" s="29">
        <v>45248.573261102603</v>
      </c>
      <c r="D492" s="28" t="s">
        <v>98</v>
      </c>
      <c r="E492" s="28" t="s">
        <v>493</v>
      </c>
      <c r="F492" s="28" t="s">
        <v>121</v>
      </c>
      <c r="G492" s="28">
        <f t="shared" ca="1" si="14"/>
        <v>10</v>
      </c>
      <c r="H492" s="28">
        <v>3</v>
      </c>
      <c r="I492" s="25">
        <f t="shared" ca="1" si="15"/>
        <v>30</v>
      </c>
      <c r="J492" s="25" t="str">
        <f>VLOOKUP(F492,地区表!$D$2:$E$18,2,FALSE)</f>
        <v>技术</v>
      </c>
      <c r="K492" s="38" t="str">
        <f>VLOOKUP(E492,地区表!$A$2:$C$255,3,FALSE)</f>
        <v>中南</v>
      </c>
    </row>
    <row r="493" spans="1:11" ht="15.6">
      <c r="A493" s="28" t="s">
        <v>494</v>
      </c>
      <c r="B493" s="29">
        <v>45271.790147895503</v>
      </c>
      <c r="C493" s="29">
        <v>45275.721285357999</v>
      </c>
      <c r="D493" s="28" t="s">
        <v>94</v>
      </c>
      <c r="E493" s="28" t="s">
        <v>279</v>
      </c>
      <c r="F493" s="28" t="s">
        <v>106</v>
      </c>
      <c r="G493" s="28">
        <f t="shared" ca="1" si="14"/>
        <v>21</v>
      </c>
      <c r="H493" s="28">
        <v>2</v>
      </c>
      <c r="I493" s="25">
        <f t="shared" ca="1" si="15"/>
        <v>42</v>
      </c>
      <c r="J493" s="25" t="str">
        <f>VLOOKUP(F493,地区表!$D$2:$E$18,2,FALSE)</f>
        <v>办公用品</v>
      </c>
      <c r="K493" s="38" t="str">
        <f>VLOOKUP(E493,地区表!$A$2:$C$255,3,FALSE)</f>
        <v>中南</v>
      </c>
    </row>
    <row r="494" spans="1:11" ht="15.6">
      <c r="A494" s="28" t="s">
        <v>494</v>
      </c>
      <c r="B494" s="29">
        <v>45271.793480004198</v>
      </c>
      <c r="C494" s="29">
        <v>45275.430475677</v>
      </c>
      <c r="D494" s="28" t="s">
        <v>94</v>
      </c>
      <c r="E494" s="28" t="s">
        <v>279</v>
      </c>
      <c r="F494" s="28" t="s">
        <v>100</v>
      </c>
      <c r="G494" s="28">
        <f t="shared" ca="1" si="14"/>
        <v>25</v>
      </c>
      <c r="H494" s="28">
        <v>4</v>
      </c>
      <c r="I494" s="25">
        <f t="shared" ca="1" si="15"/>
        <v>100</v>
      </c>
      <c r="J494" s="25" t="str">
        <f>VLOOKUP(F494,地区表!$D$2:$E$18,2,FALSE)</f>
        <v>办公用品</v>
      </c>
      <c r="K494" s="38" t="str">
        <f>VLOOKUP(E494,地区表!$A$2:$C$255,3,FALSE)</f>
        <v>中南</v>
      </c>
    </row>
    <row r="495" spans="1:11" ht="15.6">
      <c r="A495" s="28" t="s">
        <v>494</v>
      </c>
      <c r="B495" s="29">
        <v>45271.409993995003</v>
      </c>
      <c r="C495" s="29">
        <v>45275.743751576498</v>
      </c>
      <c r="D495" s="28" t="s">
        <v>94</v>
      </c>
      <c r="E495" s="28" t="s">
        <v>279</v>
      </c>
      <c r="F495" s="28" t="s">
        <v>96</v>
      </c>
      <c r="G495" s="28">
        <f t="shared" ca="1" si="14"/>
        <v>43</v>
      </c>
      <c r="H495" s="28">
        <v>2</v>
      </c>
      <c r="I495" s="25">
        <f t="shared" ca="1" si="15"/>
        <v>86</v>
      </c>
      <c r="J495" s="25" t="str">
        <f>VLOOKUP(F495,地区表!$D$2:$E$18,2,FALSE)</f>
        <v>办公用品</v>
      </c>
      <c r="K495" s="38" t="str">
        <f>VLOOKUP(E495,地区表!$A$2:$C$255,3,FALSE)</f>
        <v>中南</v>
      </c>
    </row>
    <row r="496" spans="1:11" ht="15.6">
      <c r="A496" s="28" t="s">
        <v>494</v>
      </c>
      <c r="B496" s="29">
        <v>45271.752130587898</v>
      </c>
      <c r="C496" s="29">
        <v>45275.717343025499</v>
      </c>
      <c r="D496" s="28" t="s">
        <v>94</v>
      </c>
      <c r="E496" s="28" t="s">
        <v>279</v>
      </c>
      <c r="F496" s="28" t="s">
        <v>144</v>
      </c>
      <c r="G496" s="28">
        <f t="shared" ca="1" si="14"/>
        <v>62</v>
      </c>
      <c r="H496" s="28">
        <v>2</v>
      </c>
      <c r="I496" s="25">
        <f t="shared" ca="1" si="15"/>
        <v>124</v>
      </c>
      <c r="J496" s="25" t="str">
        <f>VLOOKUP(F496,地区表!$D$2:$E$18,2,FALSE)</f>
        <v>家具</v>
      </c>
      <c r="K496" s="38" t="str">
        <f>VLOOKUP(E496,地区表!$A$2:$C$255,3,FALSE)</f>
        <v>中南</v>
      </c>
    </row>
    <row r="497" spans="1:11" ht="15.6">
      <c r="A497" s="28" t="s">
        <v>495</v>
      </c>
      <c r="B497" s="29">
        <v>44307.347839451599</v>
      </c>
      <c r="C497" s="29">
        <v>44310.593790824401</v>
      </c>
      <c r="D497" s="28" t="s">
        <v>98</v>
      </c>
      <c r="E497" s="28" t="s">
        <v>496</v>
      </c>
      <c r="F497" s="28" t="s">
        <v>101</v>
      </c>
      <c r="G497" s="28">
        <f t="shared" ca="1" si="14"/>
        <v>96</v>
      </c>
      <c r="H497" s="28">
        <v>2</v>
      </c>
      <c r="I497" s="25">
        <f t="shared" ca="1" si="15"/>
        <v>192</v>
      </c>
      <c r="J497" s="25" t="str">
        <f>VLOOKUP(F497,地区表!$D$2:$E$18,2,FALSE)</f>
        <v>办公用品</v>
      </c>
      <c r="K497" s="38" t="str">
        <f>VLOOKUP(E497,地区表!$A$2:$C$255,3,FALSE)</f>
        <v>华东</v>
      </c>
    </row>
    <row r="498" spans="1:11" ht="15.6">
      <c r="A498" s="28" t="s">
        <v>495</v>
      </c>
      <c r="B498" s="29">
        <v>44307.536866586197</v>
      </c>
      <c r="C498" s="29">
        <v>44310.885264295997</v>
      </c>
      <c r="D498" s="28" t="s">
        <v>98</v>
      </c>
      <c r="E498" s="28" t="s">
        <v>496</v>
      </c>
      <c r="F498" s="28" t="s">
        <v>109</v>
      </c>
      <c r="G498" s="28">
        <f t="shared" ca="1" si="14"/>
        <v>58</v>
      </c>
      <c r="H498" s="28">
        <v>5</v>
      </c>
      <c r="I498" s="25">
        <f t="shared" ca="1" si="15"/>
        <v>290</v>
      </c>
      <c r="J498" s="25" t="str">
        <f>VLOOKUP(F498,地区表!$D$2:$E$18,2,FALSE)</f>
        <v>技术</v>
      </c>
      <c r="K498" s="38" t="str">
        <f>VLOOKUP(E498,地区表!$A$2:$C$255,3,FALSE)</f>
        <v>华东</v>
      </c>
    </row>
    <row r="499" spans="1:11" ht="15.6">
      <c r="A499" s="28" t="s">
        <v>495</v>
      </c>
      <c r="B499" s="29">
        <v>44307.637181697399</v>
      </c>
      <c r="C499" s="29">
        <v>44310.951106726498</v>
      </c>
      <c r="D499" s="28" t="s">
        <v>98</v>
      </c>
      <c r="E499" s="28" t="s">
        <v>496</v>
      </c>
      <c r="F499" s="28" t="s">
        <v>100</v>
      </c>
      <c r="G499" s="28">
        <f t="shared" ca="1" si="14"/>
        <v>65</v>
      </c>
      <c r="H499" s="28">
        <v>2</v>
      </c>
      <c r="I499" s="25">
        <f t="shared" ca="1" si="15"/>
        <v>130</v>
      </c>
      <c r="J499" s="25" t="str">
        <f>VLOOKUP(F499,地区表!$D$2:$E$18,2,FALSE)</f>
        <v>办公用品</v>
      </c>
      <c r="K499" s="38" t="str">
        <f>VLOOKUP(E499,地区表!$A$2:$C$255,3,FALSE)</f>
        <v>华东</v>
      </c>
    </row>
    <row r="500" spans="1:11" ht="15.6">
      <c r="A500" s="28" t="s">
        <v>495</v>
      </c>
      <c r="B500" s="29">
        <v>44307.740716102402</v>
      </c>
      <c r="C500" s="29">
        <v>44310.8354307915</v>
      </c>
      <c r="D500" s="28" t="s">
        <v>98</v>
      </c>
      <c r="E500" s="28" t="s">
        <v>496</v>
      </c>
      <c r="F500" s="28" t="s">
        <v>96</v>
      </c>
      <c r="G500" s="28">
        <f t="shared" ca="1" si="14"/>
        <v>20</v>
      </c>
      <c r="H500" s="28">
        <v>6</v>
      </c>
      <c r="I500" s="25">
        <f t="shared" ca="1" si="15"/>
        <v>120</v>
      </c>
      <c r="J500" s="25" t="str">
        <f>VLOOKUP(F500,地区表!$D$2:$E$18,2,FALSE)</f>
        <v>办公用品</v>
      </c>
      <c r="K500" s="38" t="str">
        <f>VLOOKUP(E500,地区表!$A$2:$C$255,3,FALSE)</f>
        <v>华东</v>
      </c>
    </row>
    <row r="501" spans="1:11" ht="15.6">
      <c r="A501" s="28" t="s">
        <v>495</v>
      </c>
      <c r="B501" s="29">
        <v>44307.759016553697</v>
      </c>
      <c r="C501" s="29">
        <v>44310.013581553001</v>
      </c>
      <c r="D501" s="28" t="s">
        <v>98</v>
      </c>
      <c r="E501" s="28" t="s">
        <v>496</v>
      </c>
      <c r="F501" s="28" t="s">
        <v>111</v>
      </c>
      <c r="G501" s="28">
        <f t="shared" ca="1" si="14"/>
        <v>99</v>
      </c>
      <c r="H501" s="28">
        <v>2</v>
      </c>
      <c r="I501" s="25">
        <f t="shared" ca="1" si="15"/>
        <v>198</v>
      </c>
      <c r="J501" s="25" t="str">
        <f>VLOOKUP(F501,地区表!$D$2:$E$18,2,FALSE)</f>
        <v>办公用品</v>
      </c>
      <c r="K501" s="38" t="str">
        <f>VLOOKUP(E501,地区表!$A$2:$C$255,3,FALSE)</f>
        <v>华东</v>
      </c>
    </row>
    <row r="502" spans="1:11" ht="15.6">
      <c r="A502" s="28" t="s">
        <v>495</v>
      </c>
      <c r="B502" s="29">
        <v>44307.9952977145</v>
      </c>
      <c r="C502" s="29">
        <v>44310.702397667199</v>
      </c>
      <c r="D502" s="28" t="s">
        <v>98</v>
      </c>
      <c r="E502" s="28" t="s">
        <v>496</v>
      </c>
      <c r="F502" s="28" t="s">
        <v>121</v>
      </c>
      <c r="G502" s="28">
        <f t="shared" ca="1" si="14"/>
        <v>49</v>
      </c>
      <c r="H502" s="28">
        <v>2</v>
      </c>
      <c r="I502" s="25">
        <f t="shared" ca="1" si="15"/>
        <v>98</v>
      </c>
      <c r="J502" s="25" t="str">
        <f>VLOOKUP(F502,地区表!$D$2:$E$18,2,FALSE)</f>
        <v>技术</v>
      </c>
      <c r="K502" s="38" t="str">
        <f>VLOOKUP(E502,地区表!$A$2:$C$255,3,FALSE)</f>
        <v>华东</v>
      </c>
    </row>
    <row r="503" spans="1:11" ht="15.6">
      <c r="A503" s="28" t="s">
        <v>495</v>
      </c>
      <c r="B503" s="29">
        <v>44307.752120869802</v>
      </c>
      <c r="C503" s="29">
        <v>44310.571411463898</v>
      </c>
      <c r="D503" s="28" t="s">
        <v>98</v>
      </c>
      <c r="E503" s="28" t="s">
        <v>496</v>
      </c>
      <c r="F503" s="28" t="s">
        <v>135</v>
      </c>
      <c r="G503" s="28">
        <f t="shared" ca="1" si="14"/>
        <v>67</v>
      </c>
      <c r="H503" s="28">
        <v>3</v>
      </c>
      <c r="I503" s="25">
        <f t="shared" ca="1" si="15"/>
        <v>201</v>
      </c>
      <c r="J503" s="25" t="str">
        <f>VLOOKUP(F503,地区表!$D$2:$E$18,2,FALSE)</f>
        <v>办公用品</v>
      </c>
      <c r="K503" s="38" t="str">
        <f>VLOOKUP(E503,地区表!$A$2:$C$255,3,FALSE)</f>
        <v>华东</v>
      </c>
    </row>
    <row r="504" spans="1:11" ht="15.6">
      <c r="A504" s="28" t="s">
        <v>497</v>
      </c>
      <c r="B504" s="29">
        <v>44643.639970963603</v>
      </c>
      <c r="C504" s="29">
        <v>44643.751486142697</v>
      </c>
      <c r="D504" s="28" t="s">
        <v>98</v>
      </c>
      <c r="E504" s="28" t="s">
        <v>183</v>
      </c>
      <c r="F504" s="28" t="s">
        <v>131</v>
      </c>
      <c r="G504" s="28">
        <f t="shared" ca="1" si="14"/>
        <v>62</v>
      </c>
      <c r="H504" s="28">
        <v>4</v>
      </c>
      <c r="I504" s="25">
        <f t="shared" ca="1" si="15"/>
        <v>248</v>
      </c>
      <c r="J504" s="25" t="str">
        <f>VLOOKUP(F504,地区表!$D$2:$E$18,2,FALSE)</f>
        <v>家具</v>
      </c>
      <c r="K504" s="38" t="str">
        <f>VLOOKUP(E504,地区表!$A$2:$C$255,3,FALSE)</f>
        <v>西南</v>
      </c>
    </row>
    <row r="505" spans="1:11" ht="15.6">
      <c r="A505" s="28" t="s">
        <v>497</v>
      </c>
      <c r="B505" s="29">
        <v>44643.713734221703</v>
      </c>
      <c r="C505" s="29">
        <v>44643.915011531397</v>
      </c>
      <c r="D505" s="28" t="s">
        <v>98</v>
      </c>
      <c r="E505" s="28" t="s">
        <v>183</v>
      </c>
      <c r="F505" s="28" t="s">
        <v>131</v>
      </c>
      <c r="G505" s="28">
        <f t="shared" ca="1" si="14"/>
        <v>71</v>
      </c>
      <c r="H505" s="28">
        <v>2</v>
      </c>
      <c r="I505" s="25">
        <f t="shared" ca="1" si="15"/>
        <v>142</v>
      </c>
      <c r="J505" s="25" t="str">
        <f>VLOOKUP(F505,地区表!$D$2:$E$18,2,FALSE)</f>
        <v>家具</v>
      </c>
      <c r="K505" s="38" t="str">
        <f>VLOOKUP(E505,地区表!$A$2:$C$255,3,FALSE)</f>
        <v>西南</v>
      </c>
    </row>
    <row r="506" spans="1:11" ht="15.6">
      <c r="A506" s="28" t="s">
        <v>498</v>
      </c>
      <c r="B506" s="29">
        <v>45173.2172451121</v>
      </c>
      <c r="C506" s="29">
        <v>45177.008836852401</v>
      </c>
      <c r="D506" s="28" t="s">
        <v>98</v>
      </c>
      <c r="E506" s="28" t="s">
        <v>472</v>
      </c>
      <c r="F506" s="28" t="s">
        <v>112</v>
      </c>
      <c r="G506" s="28">
        <f t="shared" ca="1" si="14"/>
        <v>41</v>
      </c>
      <c r="H506" s="28">
        <v>4</v>
      </c>
      <c r="I506" s="25">
        <f t="shared" ca="1" si="15"/>
        <v>164</v>
      </c>
      <c r="J506" s="25" t="str">
        <f>VLOOKUP(F506,地区表!$D$2:$E$18,2,FALSE)</f>
        <v>办公用品</v>
      </c>
      <c r="K506" s="38" t="str">
        <f>VLOOKUP(E506,地区表!$A$2:$C$255,3,FALSE)</f>
        <v>华东</v>
      </c>
    </row>
    <row r="507" spans="1:11" ht="15.6">
      <c r="A507" s="28" t="s">
        <v>499</v>
      </c>
      <c r="B507" s="29">
        <v>44461.915168628599</v>
      </c>
      <c r="C507" s="29">
        <v>44466.696103502298</v>
      </c>
      <c r="D507" s="28" t="s">
        <v>114</v>
      </c>
      <c r="E507" s="28" t="s">
        <v>500</v>
      </c>
      <c r="F507" s="28" t="s">
        <v>141</v>
      </c>
      <c r="G507" s="28">
        <f t="shared" ca="1" si="14"/>
        <v>90</v>
      </c>
      <c r="H507" s="28">
        <v>5</v>
      </c>
      <c r="I507" s="25">
        <f t="shared" ca="1" si="15"/>
        <v>450</v>
      </c>
      <c r="J507" s="25" t="str">
        <f>VLOOKUP(F507,地区表!$D$2:$E$18,2,FALSE)</f>
        <v>办公用品</v>
      </c>
      <c r="K507" s="38" t="str">
        <f>VLOOKUP(E507,地区表!$A$2:$C$255,3,FALSE)</f>
        <v>华东</v>
      </c>
    </row>
    <row r="508" spans="1:11" ht="15.6">
      <c r="A508" s="28" t="s">
        <v>501</v>
      </c>
      <c r="B508" s="29">
        <v>45219.5729165429</v>
      </c>
      <c r="C508" s="29">
        <v>45221.525659183302</v>
      </c>
      <c r="D508" s="28" t="s">
        <v>98</v>
      </c>
      <c r="E508" s="28" t="s">
        <v>502</v>
      </c>
      <c r="F508" s="28" t="s">
        <v>125</v>
      </c>
      <c r="G508" s="28">
        <f t="shared" ca="1" si="14"/>
        <v>91</v>
      </c>
      <c r="H508" s="28">
        <v>3</v>
      </c>
      <c r="I508" s="25">
        <f t="shared" ca="1" si="15"/>
        <v>273</v>
      </c>
      <c r="J508" s="25" t="str">
        <f>VLOOKUP(F508,地区表!$D$2:$E$18,2,FALSE)</f>
        <v>办公用品</v>
      </c>
      <c r="K508" s="38" t="str">
        <f>VLOOKUP(E508,地区表!$A$2:$C$255,3,FALSE)</f>
        <v>东北</v>
      </c>
    </row>
    <row r="509" spans="1:11" ht="15.6">
      <c r="A509" s="28" t="s">
        <v>503</v>
      </c>
      <c r="B509" s="29">
        <v>44245.5993517815</v>
      </c>
      <c r="C509" s="29">
        <v>44252.725587565103</v>
      </c>
      <c r="D509" s="28" t="s">
        <v>114</v>
      </c>
      <c r="E509" s="28" t="s">
        <v>207</v>
      </c>
      <c r="F509" s="28" t="s">
        <v>109</v>
      </c>
      <c r="G509" s="28">
        <f t="shared" ca="1" si="14"/>
        <v>40</v>
      </c>
      <c r="H509" s="28">
        <v>3</v>
      </c>
      <c r="I509" s="25">
        <f t="shared" ca="1" si="15"/>
        <v>120</v>
      </c>
      <c r="J509" s="25" t="str">
        <f>VLOOKUP(F509,地区表!$D$2:$E$18,2,FALSE)</f>
        <v>技术</v>
      </c>
      <c r="K509" s="38" t="str">
        <f>VLOOKUP(E509,地区表!$A$2:$C$255,3,FALSE)</f>
        <v>华北</v>
      </c>
    </row>
    <row r="510" spans="1:11" ht="15.6">
      <c r="A510" s="28" t="s">
        <v>504</v>
      </c>
      <c r="B510" s="29">
        <v>44586.439593110597</v>
      </c>
      <c r="C510" s="29">
        <v>44590.734179783503</v>
      </c>
      <c r="D510" s="28" t="s">
        <v>94</v>
      </c>
      <c r="E510" s="28" t="s">
        <v>505</v>
      </c>
      <c r="F510" s="28" t="s">
        <v>131</v>
      </c>
      <c r="G510" s="28">
        <f t="shared" ca="1" si="14"/>
        <v>91</v>
      </c>
      <c r="H510" s="28">
        <v>3</v>
      </c>
      <c r="I510" s="25">
        <f t="shared" ca="1" si="15"/>
        <v>273</v>
      </c>
      <c r="J510" s="25" t="str">
        <f>VLOOKUP(F510,地区表!$D$2:$E$18,2,FALSE)</f>
        <v>家具</v>
      </c>
      <c r="K510" s="38" t="str">
        <f>VLOOKUP(E510,地区表!$A$2:$C$255,3,FALSE)</f>
        <v>东北</v>
      </c>
    </row>
    <row r="511" spans="1:11" ht="15.6">
      <c r="A511" s="28" t="s">
        <v>506</v>
      </c>
      <c r="B511" s="29">
        <v>45125.033196956101</v>
      </c>
      <c r="C511" s="29">
        <v>45129.9534878306</v>
      </c>
      <c r="D511" s="28" t="s">
        <v>98</v>
      </c>
      <c r="E511" s="28" t="s">
        <v>502</v>
      </c>
      <c r="F511" s="28" t="s">
        <v>121</v>
      </c>
      <c r="G511" s="28">
        <f t="shared" ca="1" si="14"/>
        <v>18</v>
      </c>
      <c r="H511" s="28">
        <v>3</v>
      </c>
      <c r="I511" s="25">
        <f t="shared" ca="1" si="15"/>
        <v>54</v>
      </c>
      <c r="J511" s="25" t="str">
        <f>VLOOKUP(F511,地区表!$D$2:$E$18,2,FALSE)</f>
        <v>技术</v>
      </c>
      <c r="K511" s="38" t="str">
        <f>VLOOKUP(E511,地区表!$A$2:$C$255,3,FALSE)</f>
        <v>东北</v>
      </c>
    </row>
    <row r="512" spans="1:11" ht="15.6">
      <c r="A512" s="28" t="s">
        <v>506</v>
      </c>
      <c r="B512" s="29">
        <v>45125.049288938397</v>
      </c>
      <c r="C512" s="29">
        <v>45129.505862429403</v>
      </c>
      <c r="D512" s="28" t="s">
        <v>98</v>
      </c>
      <c r="E512" s="28" t="s">
        <v>502</v>
      </c>
      <c r="F512" s="28" t="s">
        <v>96</v>
      </c>
      <c r="G512" s="28">
        <f t="shared" ca="1" si="14"/>
        <v>97</v>
      </c>
      <c r="H512" s="28">
        <v>5</v>
      </c>
      <c r="I512" s="25">
        <f t="shared" ca="1" si="15"/>
        <v>485</v>
      </c>
      <c r="J512" s="25" t="str">
        <f>VLOOKUP(F512,地区表!$D$2:$E$18,2,FALSE)</f>
        <v>办公用品</v>
      </c>
      <c r="K512" s="38" t="str">
        <f>VLOOKUP(E512,地区表!$A$2:$C$255,3,FALSE)</f>
        <v>东北</v>
      </c>
    </row>
    <row r="513" spans="1:11" ht="15.6">
      <c r="A513" s="28" t="s">
        <v>507</v>
      </c>
      <c r="B513" s="29">
        <v>45152.146627394301</v>
      </c>
      <c r="C513" s="29">
        <v>45156.0864541091</v>
      </c>
      <c r="D513" s="28" t="s">
        <v>98</v>
      </c>
      <c r="E513" s="28" t="s">
        <v>409</v>
      </c>
      <c r="F513" s="28" t="s">
        <v>121</v>
      </c>
      <c r="G513" s="28">
        <f t="shared" ca="1" si="14"/>
        <v>84</v>
      </c>
      <c r="H513" s="28">
        <v>3</v>
      </c>
      <c r="I513" s="25">
        <f t="shared" ca="1" si="15"/>
        <v>252</v>
      </c>
      <c r="J513" s="25" t="str">
        <f>VLOOKUP(F513,地区表!$D$2:$E$18,2,FALSE)</f>
        <v>技术</v>
      </c>
      <c r="K513" s="38" t="str">
        <f>VLOOKUP(E513,地区表!$A$2:$C$255,3,FALSE)</f>
        <v>西南</v>
      </c>
    </row>
    <row r="514" spans="1:11" ht="15.6">
      <c r="A514" s="28" t="s">
        <v>508</v>
      </c>
      <c r="B514" s="29">
        <v>45177.909330812297</v>
      </c>
      <c r="C514" s="29">
        <v>45181.260699790801</v>
      </c>
      <c r="D514" s="28" t="s">
        <v>98</v>
      </c>
      <c r="E514" s="28" t="s">
        <v>509</v>
      </c>
      <c r="F514" s="28" t="s">
        <v>106</v>
      </c>
      <c r="G514" s="28">
        <f t="shared" ref="G514:G577" ca="1" si="16">RANDBETWEEN(10,100)</f>
        <v>47</v>
      </c>
      <c r="H514" s="28">
        <v>4</v>
      </c>
      <c r="I514" s="25">
        <f t="shared" ref="I514:I577" ca="1" si="17">G514*H514</f>
        <v>188</v>
      </c>
      <c r="J514" s="25" t="str">
        <f>VLOOKUP(F514,地区表!$D$2:$E$18,2,FALSE)</f>
        <v>办公用品</v>
      </c>
      <c r="K514" s="38" t="str">
        <f>VLOOKUP(E514,地区表!$A$2:$C$255,3,FALSE)</f>
        <v>华东</v>
      </c>
    </row>
    <row r="515" spans="1:11" ht="15.6">
      <c r="A515" s="28" t="s">
        <v>508</v>
      </c>
      <c r="B515" s="29">
        <v>45177.604421592398</v>
      </c>
      <c r="C515" s="29">
        <v>45181.524991744896</v>
      </c>
      <c r="D515" s="28" t="s">
        <v>98</v>
      </c>
      <c r="E515" s="28" t="s">
        <v>509</v>
      </c>
      <c r="F515" s="28" t="s">
        <v>112</v>
      </c>
      <c r="G515" s="28">
        <f t="shared" ca="1" si="16"/>
        <v>25</v>
      </c>
      <c r="H515" s="28">
        <v>4</v>
      </c>
      <c r="I515" s="25">
        <f t="shared" ca="1" si="17"/>
        <v>100</v>
      </c>
      <c r="J515" s="25" t="str">
        <f>VLOOKUP(F515,地区表!$D$2:$E$18,2,FALSE)</f>
        <v>办公用品</v>
      </c>
      <c r="K515" s="38" t="str">
        <f>VLOOKUP(E515,地区表!$A$2:$C$255,3,FALSE)</f>
        <v>华东</v>
      </c>
    </row>
    <row r="516" spans="1:11" ht="15.6">
      <c r="A516" s="28" t="s">
        <v>508</v>
      </c>
      <c r="B516" s="29">
        <v>45177.9787035107</v>
      </c>
      <c r="C516" s="29">
        <v>45181.574212511703</v>
      </c>
      <c r="D516" s="28" t="s">
        <v>98</v>
      </c>
      <c r="E516" s="28" t="s">
        <v>509</v>
      </c>
      <c r="F516" s="28" t="s">
        <v>110</v>
      </c>
      <c r="G516" s="28">
        <f t="shared" ca="1" si="16"/>
        <v>57</v>
      </c>
      <c r="H516" s="28">
        <v>3</v>
      </c>
      <c r="I516" s="25">
        <f t="shared" ca="1" si="17"/>
        <v>171</v>
      </c>
      <c r="J516" s="25" t="str">
        <f>VLOOKUP(F516,地区表!$D$2:$E$18,2,FALSE)</f>
        <v>家具</v>
      </c>
      <c r="K516" s="38" t="str">
        <f>VLOOKUP(E516,地区表!$A$2:$C$255,3,FALSE)</f>
        <v>华东</v>
      </c>
    </row>
    <row r="517" spans="1:11" ht="15.6">
      <c r="A517" s="28" t="s">
        <v>508</v>
      </c>
      <c r="B517" s="29">
        <v>45177.671368807401</v>
      </c>
      <c r="C517" s="29">
        <v>45181.085650592497</v>
      </c>
      <c r="D517" s="28" t="s">
        <v>98</v>
      </c>
      <c r="E517" s="28" t="s">
        <v>509</v>
      </c>
      <c r="F517" s="28" t="s">
        <v>111</v>
      </c>
      <c r="G517" s="28">
        <f t="shared" ca="1" si="16"/>
        <v>41</v>
      </c>
      <c r="H517" s="28">
        <v>3</v>
      </c>
      <c r="I517" s="25">
        <f t="shared" ca="1" si="17"/>
        <v>123</v>
      </c>
      <c r="J517" s="25" t="str">
        <f>VLOOKUP(F517,地区表!$D$2:$E$18,2,FALSE)</f>
        <v>办公用品</v>
      </c>
      <c r="K517" s="38" t="str">
        <f>VLOOKUP(E517,地区表!$A$2:$C$255,3,FALSE)</f>
        <v>华东</v>
      </c>
    </row>
    <row r="518" spans="1:11" ht="15.6">
      <c r="A518" s="28" t="s">
        <v>510</v>
      </c>
      <c r="B518" s="29">
        <v>44973.032070682901</v>
      </c>
      <c r="C518" s="29">
        <v>44973.944535361399</v>
      </c>
      <c r="D518" s="28" t="s">
        <v>98</v>
      </c>
      <c r="E518" s="28" t="s">
        <v>273</v>
      </c>
      <c r="F518" s="28" t="s">
        <v>100</v>
      </c>
      <c r="G518" s="28">
        <f t="shared" ca="1" si="16"/>
        <v>87</v>
      </c>
      <c r="H518" s="28">
        <v>3</v>
      </c>
      <c r="I518" s="25">
        <f t="shared" ca="1" si="17"/>
        <v>261</v>
      </c>
      <c r="J518" s="25" t="str">
        <f>VLOOKUP(F518,地区表!$D$2:$E$18,2,FALSE)</f>
        <v>办公用品</v>
      </c>
      <c r="K518" s="38" t="str">
        <f>VLOOKUP(E518,地区表!$A$2:$C$255,3,FALSE)</f>
        <v>中南</v>
      </c>
    </row>
    <row r="519" spans="1:11" ht="15.6">
      <c r="A519" s="28" t="s">
        <v>510</v>
      </c>
      <c r="B519" s="29">
        <v>44973.267114061302</v>
      </c>
      <c r="C519" s="29">
        <v>44973.649960809598</v>
      </c>
      <c r="D519" s="28" t="s">
        <v>98</v>
      </c>
      <c r="E519" s="28" t="s">
        <v>273</v>
      </c>
      <c r="F519" s="28" t="s">
        <v>111</v>
      </c>
      <c r="G519" s="28">
        <f t="shared" ca="1" si="16"/>
        <v>25</v>
      </c>
      <c r="H519" s="28">
        <v>7</v>
      </c>
      <c r="I519" s="25">
        <f t="shared" ca="1" si="17"/>
        <v>175</v>
      </c>
      <c r="J519" s="25" t="str">
        <f>VLOOKUP(F519,地区表!$D$2:$E$18,2,FALSE)</f>
        <v>办公用品</v>
      </c>
      <c r="K519" s="38" t="str">
        <f>VLOOKUP(E519,地区表!$A$2:$C$255,3,FALSE)</f>
        <v>中南</v>
      </c>
    </row>
    <row r="520" spans="1:11" ht="15.6">
      <c r="A520" s="28" t="s">
        <v>511</v>
      </c>
      <c r="B520" s="29">
        <v>44705.915869447497</v>
      </c>
      <c r="C520" s="29">
        <v>44710.439560612802</v>
      </c>
      <c r="D520" s="28" t="s">
        <v>98</v>
      </c>
      <c r="E520" s="28" t="s">
        <v>143</v>
      </c>
      <c r="F520" s="28" t="s">
        <v>141</v>
      </c>
      <c r="G520" s="28">
        <f t="shared" ca="1" si="16"/>
        <v>62</v>
      </c>
      <c r="H520" s="28">
        <v>2</v>
      </c>
      <c r="I520" s="25">
        <f t="shared" ca="1" si="17"/>
        <v>124</v>
      </c>
      <c r="J520" s="25" t="str">
        <f>VLOOKUP(F520,地区表!$D$2:$E$18,2,FALSE)</f>
        <v>办公用品</v>
      </c>
      <c r="K520" s="38" t="str">
        <f>VLOOKUP(E520,地区表!$A$2:$C$255,3,FALSE)</f>
        <v>华东</v>
      </c>
    </row>
    <row r="521" spans="1:11" ht="15.6">
      <c r="A521" s="28" t="s">
        <v>512</v>
      </c>
      <c r="B521" s="29">
        <v>44561.495239389202</v>
      </c>
      <c r="C521" s="29">
        <v>44563.163667659603</v>
      </c>
      <c r="D521" s="28" t="s">
        <v>98</v>
      </c>
      <c r="E521" s="28" t="s">
        <v>513</v>
      </c>
      <c r="F521" s="28" t="s">
        <v>118</v>
      </c>
      <c r="G521" s="28">
        <f t="shared" ca="1" si="16"/>
        <v>24</v>
      </c>
      <c r="H521" s="28">
        <v>5</v>
      </c>
      <c r="I521" s="25">
        <f t="shared" ca="1" si="17"/>
        <v>120</v>
      </c>
      <c r="J521" s="25" t="str">
        <f>VLOOKUP(F521,地区表!$D$2:$E$18,2,FALSE)</f>
        <v>技术</v>
      </c>
      <c r="K521" s="38" t="str">
        <f>VLOOKUP(E521,地区表!$A$2:$C$255,3,FALSE)</f>
        <v>中南</v>
      </c>
    </row>
    <row r="522" spans="1:11" ht="15.6">
      <c r="A522" s="28" t="s">
        <v>514</v>
      </c>
      <c r="B522" s="29">
        <v>44994.570013439399</v>
      </c>
      <c r="C522" s="29">
        <v>45000.100510423901</v>
      </c>
      <c r="D522" s="28" t="s">
        <v>94</v>
      </c>
      <c r="E522" s="28" t="s">
        <v>354</v>
      </c>
      <c r="F522" s="28" t="s">
        <v>96</v>
      </c>
      <c r="G522" s="28">
        <f t="shared" ca="1" si="16"/>
        <v>44</v>
      </c>
      <c r="H522" s="28">
        <v>6</v>
      </c>
      <c r="I522" s="25">
        <f t="shared" ca="1" si="17"/>
        <v>264</v>
      </c>
      <c r="J522" s="25" t="str">
        <f>VLOOKUP(F522,地区表!$D$2:$E$18,2,FALSE)</f>
        <v>办公用品</v>
      </c>
      <c r="K522" s="38" t="str">
        <f>VLOOKUP(E522,地区表!$A$2:$C$255,3,FALSE)</f>
        <v>东北</v>
      </c>
    </row>
    <row r="523" spans="1:11" ht="15.6">
      <c r="A523" s="28" t="s">
        <v>515</v>
      </c>
      <c r="B523" s="29">
        <v>45222.794639097199</v>
      </c>
      <c r="C523" s="29">
        <v>45228.845476259601</v>
      </c>
      <c r="D523" s="28" t="s">
        <v>98</v>
      </c>
      <c r="E523" s="28" t="s">
        <v>516</v>
      </c>
      <c r="F523" s="28" t="s">
        <v>118</v>
      </c>
      <c r="G523" s="28">
        <f t="shared" ca="1" si="16"/>
        <v>95</v>
      </c>
      <c r="H523" s="28">
        <v>2</v>
      </c>
      <c r="I523" s="25">
        <f t="shared" ca="1" si="17"/>
        <v>190</v>
      </c>
      <c r="J523" s="25" t="str">
        <f>VLOOKUP(F523,地区表!$D$2:$E$18,2,FALSE)</f>
        <v>技术</v>
      </c>
      <c r="K523" s="38" t="str">
        <f>VLOOKUP(E523,地区表!$A$2:$C$255,3,FALSE)</f>
        <v>华北</v>
      </c>
    </row>
    <row r="524" spans="1:11" ht="15.6">
      <c r="A524" s="28" t="s">
        <v>517</v>
      </c>
      <c r="B524" s="29">
        <v>44497.6140288428</v>
      </c>
      <c r="C524" s="29">
        <v>44504.426691159402</v>
      </c>
      <c r="D524" s="28" t="s">
        <v>98</v>
      </c>
      <c r="E524" s="28" t="s">
        <v>518</v>
      </c>
      <c r="F524" s="28" t="s">
        <v>100</v>
      </c>
      <c r="G524" s="28">
        <f t="shared" ca="1" si="16"/>
        <v>38</v>
      </c>
      <c r="H524" s="28">
        <v>3</v>
      </c>
      <c r="I524" s="25">
        <f t="shared" ca="1" si="17"/>
        <v>114</v>
      </c>
      <c r="J524" s="25" t="str">
        <f>VLOOKUP(F524,地区表!$D$2:$E$18,2,FALSE)</f>
        <v>办公用品</v>
      </c>
      <c r="K524" s="38" t="str">
        <f>VLOOKUP(E524,地区表!$A$2:$C$255,3,FALSE)</f>
        <v>中南</v>
      </c>
    </row>
    <row r="525" spans="1:11" ht="15.6">
      <c r="A525" s="28" t="s">
        <v>519</v>
      </c>
      <c r="B525" s="29">
        <v>45096.224263300603</v>
      </c>
      <c r="C525" s="29">
        <v>45096.935631987297</v>
      </c>
      <c r="D525" s="28" t="s">
        <v>94</v>
      </c>
      <c r="E525" s="28" t="s">
        <v>520</v>
      </c>
      <c r="F525" s="28" t="s">
        <v>101</v>
      </c>
      <c r="G525" s="28">
        <f t="shared" ca="1" si="16"/>
        <v>95</v>
      </c>
      <c r="H525" s="28">
        <v>3</v>
      </c>
      <c r="I525" s="25">
        <f t="shared" ca="1" si="17"/>
        <v>285</v>
      </c>
      <c r="J525" s="25" t="str">
        <f>VLOOKUP(F525,地区表!$D$2:$E$18,2,FALSE)</f>
        <v>办公用品</v>
      </c>
      <c r="K525" s="38" t="str">
        <f>VLOOKUP(E525,地区表!$A$2:$C$255,3,FALSE)</f>
        <v>中南</v>
      </c>
    </row>
    <row r="526" spans="1:11" ht="15.6">
      <c r="A526" s="28" t="s">
        <v>521</v>
      </c>
      <c r="B526" s="29">
        <v>44638.150436020303</v>
      </c>
      <c r="C526" s="29">
        <v>44643.450712327802</v>
      </c>
      <c r="D526" s="28" t="s">
        <v>114</v>
      </c>
      <c r="E526" s="28" t="s">
        <v>185</v>
      </c>
      <c r="F526" s="28" t="s">
        <v>141</v>
      </c>
      <c r="G526" s="28">
        <f t="shared" ca="1" si="16"/>
        <v>90</v>
      </c>
      <c r="H526" s="28">
        <v>1</v>
      </c>
      <c r="I526" s="25">
        <f t="shared" ca="1" si="17"/>
        <v>90</v>
      </c>
      <c r="J526" s="25" t="str">
        <f>VLOOKUP(F526,地区表!$D$2:$E$18,2,FALSE)</f>
        <v>办公用品</v>
      </c>
      <c r="K526" s="38" t="str">
        <f>VLOOKUP(E526,地区表!$A$2:$C$255,3,FALSE)</f>
        <v>华东</v>
      </c>
    </row>
    <row r="527" spans="1:11" ht="15.6">
      <c r="A527" s="28" t="s">
        <v>522</v>
      </c>
      <c r="B527" s="29">
        <v>44607.858064471002</v>
      </c>
      <c r="C527" s="29">
        <v>44612.459568855404</v>
      </c>
      <c r="D527" s="28" t="s">
        <v>94</v>
      </c>
      <c r="E527" s="28" t="s">
        <v>197</v>
      </c>
      <c r="F527" s="28" t="s">
        <v>110</v>
      </c>
      <c r="G527" s="28">
        <f t="shared" ca="1" si="16"/>
        <v>65</v>
      </c>
      <c r="H527" s="28">
        <v>4</v>
      </c>
      <c r="I527" s="25">
        <f t="shared" ca="1" si="17"/>
        <v>260</v>
      </c>
      <c r="J527" s="25" t="str">
        <f>VLOOKUP(F527,地区表!$D$2:$E$18,2,FALSE)</f>
        <v>家具</v>
      </c>
      <c r="K527" s="38" t="str">
        <f>VLOOKUP(E527,地区表!$A$2:$C$255,3,FALSE)</f>
        <v>中南</v>
      </c>
    </row>
    <row r="528" spans="1:11" ht="15.6">
      <c r="A528" s="28" t="s">
        <v>522</v>
      </c>
      <c r="B528" s="29">
        <v>44607.738377052199</v>
      </c>
      <c r="C528" s="29">
        <v>44612.4282785084</v>
      </c>
      <c r="D528" s="28" t="s">
        <v>94</v>
      </c>
      <c r="E528" s="28" t="s">
        <v>197</v>
      </c>
      <c r="F528" s="28" t="s">
        <v>135</v>
      </c>
      <c r="G528" s="28">
        <f t="shared" ca="1" si="16"/>
        <v>35</v>
      </c>
      <c r="H528" s="28">
        <v>1</v>
      </c>
      <c r="I528" s="25">
        <f t="shared" ca="1" si="17"/>
        <v>35</v>
      </c>
      <c r="J528" s="25" t="str">
        <f>VLOOKUP(F528,地区表!$D$2:$E$18,2,FALSE)</f>
        <v>办公用品</v>
      </c>
      <c r="K528" s="38" t="str">
        <f>VLOOKUP(E528,地区表!$A$2:$C$255,3,FALSE)</f>
        <v>中南</v>
      </c>
    </row>
    <row r="529" spans="1:11" ht="15.6">
      <c r="A529" s="28" t="s">
        <v>522</v>
      </c>
      <c r="B529" s="29">
        <v>44607.704933838497</v>
      </c>
      <c r="C529" s="29">
        <v>44612.869754639803</v>
      </c>
      <c r="D529" s="28" t="s">
        <v>94</v>
      </c>
      <c r="E529" s="28" t="s">
        <v>197</v>
      </c>
      <c r="F529" s="28" t="s">
        <v>131</v>
      </c>
      <c r="G529" s="28">
        <f t="shared" ca="1" si="16"/>
        <v>81</v>
      </c>
      <c r="H529" s="28">
        <v>1</v>
      </c>
      <c r="I529" s="25">
        <f t="shared" ca="1" si="17"/>
        <v>81</v>
      </c>
      <c r="J529" s="25" t="str">
        <f>VLOOKUP(F529,地区表!$D$2:$E$18,2,FALSE)</f>
        <v>家具</v>
      </c>
      <c r="K529" s="38" t="str">
        <f>VLOOKUP(E529,地区表!$A$2:$C$255,3,FALSE)</f>
        <v>中南</v>
      </c>
    </row>
    <row r="530" spans="1:11" ht="15.6">
      <c r="A530" s="28" t="s">
        <v>523</v>
      </c>
      <c r="B530" s="29">
        <v>44319.904523858997</v>
      </c>
      <c r="C530" s="29">
        <v>44322.326028899399</v>
      </c>
      <c r="D530" s="28" t="s">
        <v>94</v>
      </c>
      <c r="E530" s="28" t="s">
        <v>524</v>
      </c>
      <c r="F530" s="28" t="s">
        <v>125</v>
      </c>
      <c r="G530" s="28">
        <f t="shared" ca="1" si="16"/>
        <v>24</v>
      </c>
      <c r="H530" s="28">
        <v>7</v>
      </c>
      <c r="I530" s="25">
        <f t="shared" ca="1" si="17"/>
        <v>168</v>
      </c>
      <c r="J530" s="25" t="str">
        <f>VLOOKUP(F530,地区表!$D$2:$E$18,2,FALSE)</f>
        <v>办公用品</v>
      </c>
      <c r="K530" s="38" t="str">
        <f>VLOOKUP(E530,地区表!$A$2:$C$255,3,FALSE)</f>
        <v>华东</v>
      </c>
    </row>
    <row r="531" spans="1:11" ht="15.6">
      <c r="A531" s="28" t="s">
        <v>525</v>
      </c>
      <c r="B531" s="29">
        <v>44449.079075651403</v>
      </c>
      <c r="C531" s="29">
        <v>44453.195798811197</v>
      </c>
      <c r="D531" s="28" t="s">
        <v>94</v>
      </c>
      <c r="E531" s="28" t="s">
        <v>174</v>
      </c>
      <c r="F531" s="28" t="s">
        <v>141</v>
      </c>
      <c r="G531" s="28">
        <f t="shared" ca="1" si="16"/>
        <v>81</v>
      </c>
      <c r="H531" s="28">
        <v>1</v>
      </c>
      <c r="I531" s="25">
        <f t="shared" ca="1" si="17"/>
        <v>81</v>
      </c>
      <c r="J531" s="25" t="str">
        <f>VLOOKUP(F531,地区表!$D$2:$E$18,2,FALSE)</f>
        <v>办公用品</v>
      </c>
      <c r="K531" s="38" t="str">
        <f>VLOOKUP(E531,地区表!$A$2:$C$255,3,FALSE)</f>
        <v>中南</v>
      </c>
    </row>
    <row r="532" spans="1:11" ht="15.6">
      <c r="A532" s="28" t="s">
        <v>525</v>
      </c>
      <c r="B532" s="29">
        <v>44449.274879435601</v>
      </c>
      <c r="C532" s="29">
        <v>44453.213129989701</v>
      </c>
      <c r="D532" s="28" t="s">
        <v>94</v>
      </c>
      <c r="E532" s="28" t="s">
        <v>174</v>
      </c>
      <c r="F532" s="28" t="s">
        <v>101</v>
      </c>
      <c r="G532" s="28">
        <f t="shared" ca="1" si="16"/>
        <v>57</v>
      </c>
      <c r="H532" s="28">
        <v>3</v>
      </c>
      <c r="I532" s="25">
        <f t="shared" ca="1" si="17"/>
        <v>171</v>
      </c>
      <c r="J532" s="25" t="str">
        <f>VLOOKUP(F532,地区表!$D$2:$E$18,2,FALSE)</f>
        <v>办公用品</v>
      </c>
      <c r="K532" s="38" t="str">
        <f>VLOOKUP(E532,地区表!$A$2:$C$255,3,FALSE)</f>
        <v>中南</v>
      </c>
    </row>
    <row r="533" spans="1:11" ht="15.6">
      <c r="A533" s="28" t="s">
        <v>526</v>
      </c>
      <c r="B533" s="29">
        <v>44426.695043458298</v>
      </c>
      <c r="C533" s="29">
        <v>44431.727704509802</v>
      </c>
      <c r="D533" s="28" t="s">
        <v>98</v>
      </c>
      <c r="E533" s="28" t="s">
        <v>527</v>
      </c>
      <c r="F533" s="28" t="s">
        <v>131</v>
      </c>
      <c r="G533" s="28">
        <f t="shared" ca="1" si="16"/>
        <v>61</v>
      </c>
      <c r="H533" s="28">
        <v>3</v>
      </c>
      <c r="I533" s="25">
        <f t="shared" ca="1" si="17"/>
        <v>183</v>
      </c>
      <c r="J533" s="25" t="str">
        <f>VLOOKUP(F533,地区表!$D$2:$E$18,2,FALSE)</f>
        <v>家具</v>
      </c>
      <c r="K533" s="38" t="str">
        <f>VLOOKUP(E533,地区表!$A$2:$C$255,3,FALSE)</f>
        <v>东北</v>
      </c>
    </row>
    <row r="534" spans="1:11" ht="15.6">
      <c r="A534" s="28" t="s">
        <v>526</v>
      </c>
      <c r="B534" s="29">
        <v>44426.744015357399</v>
      </c>
      <c r="C534" s="29">
        <v>44431.675375926701</v>
      </c>
      <c r="D534" s="28" t="s">
        <v>98</v>
      </c>
      <c r="E534" s="28" t="s">
        <v>527</v>
      </c>
      <c r="F534" s="28" t="s">
        <v>122</v>
      </c>
      <c r="G534" s="28">
        <f t="shared" ca="1" si="16"/>
        <v>52</v>
      </c>
      <c r="H534" s="28">
        <v>2</v>
      </c>
      <c r="I534" s="25">
        <f t="shared" ca="1" si="17"/>
        <v>104</v>
      </c>
      <c r="J534" s="25" t="str">
        <f>VLOOKUP(F534,地区表!$D$2:$E$18,2,FALSE)</f>
        <v>技术</v>
      </c>
      <c r="K534" s="38" t="str">
        <f>VLOOKUP(E534,地区表!$A$2:$C$255,3,FALSE)</f>
        <v>东北</v>
      </c>
    </row>
    <row r="535" spans="1:11" ht="15.6">
      <c r="A535" s="28" t="s">
        <v>528</v>
      </c>
      <c r="B535" s="29">
        <v>44924.209947828298</v>
      </c>
      <c r="C535" s="29">
        <v>44926.910885951402</v>
      </c>
      <c r="D535" s="28" t="s">
        <v>98</v>
      </c>
      <c r="E535" s="28" t="s">
        <v>529</v>
      </c>
      <c r="F535" s="28" t="s">
        <v>100</v>
      </c>
      <c r="G535" s="28">
        <f t="shared" ca="1" si="16"/>
        <v>37</v>
      </c>
      <c r="H535" s="28">
        <v>8</v>
      </c>
      <c r="I535" s="25">
        <f t="shared" ca="1" si="17"/>
        <v>296</v>
      </c>
      <c r="J535" s="25" t="str">
        <f>VLOOKUP(F535,地区表!$D$2:$E$18,2,FALSE)</f>
        <v>办公用品</v>
      </c>
      <c r="K535" s="38" t="str">
        <f>VLOOKUP(E535,地区表!$A$2:$C$255,3,FALSE)</f>
        <v>东北</v>
      </c>
    </row>
    <row r="536" spans="1:11" ht="15.6">
      <c r="A536" s="28" t="s">
        <v>528</v>
      </c>
      <c r="B536" s="29">
        <v>44924.997163382497</v>
      </c>
      <c r="C536" s="29">
        <v>44926.7231835122</v>
      </c>
      <c r="D536" s="28" t="s">
        <v>98</v>
      </c>
      <c r="E536" s="28" t="s">
        <v>529</v>
      </c>
      <c r="F536" s="28" t="s">
        <v>110</v>
      </c>
      <c r="G536" s="28">
        <f t="shared" ca="1" si="16"/>
        <v>69</v>
      </c>
      <c r="H536" s="28">
        <v>5</v>
      </c>
      <c r="I536" s="25">
        <f t="shared" ca="1" si="17"/>
        <v>345</v>
      </c>
      <c r="J536" s="25" t="str">
        <f>VLOOKUP(F536,地区表!$D$2:$E$18,2,FALSE)</f>
        <v>家具</v>
      </c>
      <c r="K536" s="38" t="str">
        <f>VLOOKUP(E536,地区表!$A$2:$C$255,3,FALSE)</f>
        <v>东北</v>
      </c>
    </row>
    <row r="537" spans="1:11" ht="15.6">
      <c r="A537" s="28" t="s">
        <v>528</v>
      </c>
      <c r="B537" s="29">
        <v>44924.045778840999</v>
      </c>
      <c r="C537" s="29">
        <v>44926.014883987002</v>
      </c>
      <c r="D537" s="28" t="s">
        <v>98</v>
      </c>
      <c r="E537" s="28" t="s">
        <v>529</v>
      </c>
      <c r="F537" s="28" t="s">
        <v>110</v>
      </c>
      <c r="G537" s="28">
        <f t="shared" ca="1" si="16"/>
        <v>87</v>
      </c>
      <c r="H537" s="28">
        <v>1</v>
      </c>
      <c r="I537" s="25">
        <f t="shared" ca="1" si="17"/>
        <v>87</v>
      </c>
      <c r="J537" s="25" t="str">
        <f>VLOOKUP(F537,地区表!$D$2:$E$18,2,FALSE)</f>
        <v>家具</v>
      </c>
      <c r="K537" s="38" t="str">
        <f>VLOOKUP(E537,地区表!$A$2:$C$255,3,FALSE)</f>
        <v>东北</v>
      </c>
    </row>
    <row r="538" spans="1:11" ht="15.6">
      <c r="A538" s="28" t="s">
        <v>530</v>
      </c>
      <c r="B538" s="29">
        <v>45243.778715607303</v>
      </c>
      <c r="C538" s="29">
        <v>45247.138641981903</v>
      </c>
      <c r="D538" s="28" t="s">
        <v>94</v>
      </c>
      <c r="E538" s="28" t="s">
        <v>160</v>
      </c>
      <c r="F538" s="28" t="s">
        <v>111</v>
      </c>
      <c r="G538" s="28">
        <f t="shared" ca="1" si="16"/>
        <v>53</v>
      </c>
      <c r="H538" s="28">
        <v>3</v>
      </c>
      <c r="I538" s="25">
        <f t="shared" ca="1" si="17"/>
        <v>159</v>
      </c>
      <c r="J538" s="25" t="str">
        <f>VLOOKUP(F538,地区表!$D$2:$E$18,2,FALSE)</f>
        <v>办公用品</v>
      </c>
      <c r="K538" s="38" t="str">
        <f>VLOOKUP(E538,地区表!$A$2:$C$255,3,FALSE)</f>
        <v>东北</v>
      </c>
    </row>
    <row r="539" spans="1:11" ht="15.6">
      <c r="A539" s="28" t="s">
        <v>530</v>
      </c>
      <c r="B539" s="29">
        <v>45243.276039776603</v>
      </c>
      <c r="C539" s="29">
        <v>45247.425902758398</v>
      </c>
      <c r="D539" s="28" t="s">
        <v>94</v>
      </c>
      <c r="E539" s="28" t="s">
        <v>160</v>
      </c>
      <c r="F539" s="28" t="s">
        <v>125</v>
      </c>
      <c r="G539" s="28">
        <f t="shared" ca="1" si="16"/>
        <v>68</v>
      </c>
      <c r="H539" s="28">
        <v>6</v>
      </c>
      <c r="I539" s="25">
        <f t="shared" ca="1" si="17"/>
        <v>408</v>
      </c>
      <c r="J539" s="25" t="str">
        <f>VLOOKUP(F539,地区表!$D$2:$E$18,2,FALSE)</f>
        <v>办公用品</v>
      </c>
      <c r="K539" s="38" t="str">
        <f>VLOOKUP(E539,地区表!$A$2:$C$255,3,FALSE)</f>
        <v>东北</v>
      </c>
    </row>
    <row r="540" spans="1:11" ht="15.6">
      <c r="A540" s="28" t="s">
        <v>530</v>
      </c>
      <c r="B540" s="29">
        <v>45243.8584541686</v>
      </c>
      <c r="C540" s="29">
        <v>45247.0601430319</v>
      </c>
      <c r="D540" s="28" t="s">
        <v>94</v>
      </c>
      <c r="E540" s="28" t="s">
        <v>160</v>
      </c>
      <c r="F540" s="28" t="s">
        <v>100</v>
      </c>
      <c r="G540" s="28">
        <f t="shared" ca="1" si="16"/>
        <v>59</v>
      </c>
      <c r="H540" s="28">
        <v>2</v>
      </c>
      <c r="I540" s="25">
        <f t="shared" ca="1" si="17"/>
        <v>118</v>
      </c>
      <c r="J540" s="25" t="str">
        <f>VLOOKUP(F540,地区表!$D$2:$E$18,2,FALSE)</f>
        <v>办公用品</v>
      </c>
      <c r="K540" s="38" t="str">
        <f>VLOOKUP(E540,地区表!$A$2:$C$255,3,FALSE)</f>
        <v>东北</v>
      </c>
    </row>
    <row r="541" spans="1:11" ht="15.6">
      <c r="A541" s="28" t="s">
        <v>530</v>
      </c>
      <c r="B541" s="29">
        <v>45243.137829262101</v>
      </c>
      <c r="C541" s="29">
        <v>45247.2759835205</v>
      </c>
      <c r="D541" s="28" t="s">
        <v>94</v>
      </c>
      <c r="E541" s="28" t="s">
        <v>160</v>
      </c>
      <c r="F541" s="28" t="s">
        <v>122</v>
      </c>
      <c r="G541" s="28">
        <f t="shared" ca="1" si="16"/>
        <v>86</v>
      </c>
      <c r="H541" s="28">
        <v>3</v>
      </c>
      <c r="I541" s="25">
        <f t="shared" ca="1" si="17"/>
        <v>258</v>
      </c>
      <c r="J541" s="25" t="str">
        <f>VLOOKUP(F541,地区表!$D$2:$E$18,2,FALSE)</f>
        <v>技术</v>
      </c>
      <c r="K541" s="38" t="str">
        <f>VLOOKUP(E541,地区表!$A$2:$C$255,3,FALSE)</f>
        <v>东北</v>
      </c>
    </row>
    <row r="542" spans="1:11" ht="15.6">
      <c r="A542" s="28" t="s">
        <v>530</v>
      </c>
      <c r="B542" s="29">
        <v>45243.111411734499</v>
      </c>
      <c r="C542" s="29">
        <v>45247.106867180097</v>
      </c>
      <c r="D542" s="28" t="s">
        <v>94</v>
      </c>
      <c r="E542" s="28" t="s">
        <v>160</v>
      </c>
      <c r="F542" s="28" t="s">
        <v>110</v>
      </c>
      <c r="G542" s="28">
        <f t="shared" ca="1" si="16"/>
        <v>75</v>
      </c>
      <c r="H542" s="28">
        <v>1</v>
      </c>
      <c r="I542" s="25">
        <f t="shared" ca="1" si="17"/>
        <v>75</v>
      </c>
      <c r="J542" s="25" t="str">
        <f>VLOOKUP(F542,地区表!$D$2:$E$18,2,FALSE)</f>
        <v>家具</v>
      </c>
      <c r="K542" s="38" t="str">
        <f>VLOOKUP(E542,地区表!$A$2:$C$255,3,FALSE)</f>
        <v>东北</v>
      </c>
    </row>
    <row r="543" spans="1:11" ht="15.6">
      <c r="A543" s="28" t="s">
        <v>531</v>
      </c>
      <c r="B543" s="29">
        <v>45274.133782768098</v>
      </c>
      <c r="C543" s="29">
        <v>45276.875007806499</v>
      </c>
      <c r="D543" s="28" t="s">
        <v>98</v>
      </c>
      <c r="E543" s="28" t="s">
        <v>95</v>
      </c>
      <c r="F543" s="28" t="s">
        <v>121</v>
      </c>
      <c r="G543" s="28">
        <f t="shared" ca="1" si="16"/>
        <v>27</v>
      </c>
      <c r="H543" s="28">
        <v>4</v>
      </c>
      <c r="I543" s="25">
        <f t="shared" ca="1" si="17"/>
        <v>108</v>
      </c>
      <c r="J543" s="25" t="str">
        <f>VLOOKUP(F543,地区表!$D$2:$E$18,2,FALSE)</f>
        <v>技术</v>
      </c>
      <c r="K543" s="38" t="str">
        <f>VLOOKUP(E543,地区表!$A$2:$C$255,3,FALSE)</f>
        <v>华东</v>
      </c>
    </row>
    <row r="544" spans="1:11" ht="15.6">
      <c r="A544" s="28" t="s">
        <v>531</v>
      </c>
      <c r="B544" s="29">
        <v>45274.831991339401</v>
      </c>
      <c r="C544" s="29">
        <v>45276.215125970499</v>
      </c>
      <c r="D544" s="28" t="s">
        <v>98</v>
      </c>
      <c r="E544" s="28" t="s">
        <v>95</v>
      </c>
      <c r="F544" s="28" t="s">
        <v>122</v>
      </c>
      <c r="G544" s="28">
        <f t="shared" ca="1" si="16"/>
        <v>19</v>
      </c>
      <c r="H544" s="28">
        <v>3</v>
      </c>
      <c r="I544" s="25">
        <f t="shared" ca="1" si="17"/>
        <v>57</v>
      </c>
      <c r="J544" s="25" t="str">
        <f>VLOOKUP(F544,地区表!$D$2:$E$18,2,FALSE)</f>
        <v>技术</v>
      </c>
      <c r="K544" s="38" t="str">
        <f>VLOOKUP(E544,地区表!$A$2:$C$255,3,FALSE)</f>
        <v>华东</v>
      </c>
    </row>
    <row r="545" spans="1:11" ht="15.6">
      <c r="A545" s="28" t="s">
        <v>532</v>
      </c>
      <c r="B545" s="29">
        <v>45071.786863655601</v>
      </c>
      <c r="C545" s="29">
        <v>45075.664928472303</v>
      </c>
      <c r="D545" s="28" t="s">
        <v>94</v>
      </c>
      <c r="E545" s="28" t="s">
        <v>533</v>
      </c>
      <c r="F545" s="28" t="s">
        <v>125</v>
      </c>
      <c r="G545" s="28">
        <f t="shared" ca="1" si="16"/>
        <v>16</v>
      </c>
      <c r="H545" s="28">
        <v>5</v>
      </c>
      <c r="I545" s="25">
        <f t="shared" ca="1" si="17"/>
        <v>80</v>
      </c>
      <c r="J545" s="25" t="str">
        <f>VLOOKUP(F545,地区表!$D$2:$E$18,2,FALSE)</f>
        <v>办公用品</v>
      </c>
      <c r="K545" s="38" t="str">
        <f>VLOOKUP(E545,地区表!$A$2:$C$255,3,FALSE)</f>
        <v>华东</v>
      </c>
    </row>
    <row r="546" spans="1:11" ht="15.6">
      <c r="A546" s="28" t="s">
        <v>532</v>
      </c>
      <c r="B546" s="29">
        <v>45071.618451517897</v>
      </c>
      <c r="C546" s="29">
        <v>45075.660660971997</v>
      </c>
      <c r="D546" s="28" t="s">
        <v>94</v>
      </c>
      <c r="E546" s="28" t="s">
        <v>533</v>
      </c>
      <c r="F546" s="28" t="s">
        <v>106</v>
      </c>
      <c r="G546" s="28">
        <f t="shared" ca="1" si="16"/>
        <v>84</v>
      </c>
      <c r="H546" s="28">
        <v>2</v>
      </c>
      <c r="I546" s="25">
        <f t="shared" ca="1" si="17"/>
        <v>168</v>
      </c>
      <c r="J546" s="25" t="str">
        <f>VLOOKUP(F546,地区表!$D$2:$E$18,2,FALSE)</f>
        <v>办公用品</v>
      </c>
      <c r="K546" s="38" t="str">
        <f>VLOOKUP(E546,地区表!$A$2:$C$255,3,FALSE)</f>
        <v>华东</v>
      </c>
    </row>
    <row r="547" spans="1:11" ht="15.6">
      <c r="A547" s="28" t="s">
        <v>532</v>
      </c>
      <c r="B547" s="29">
        <v>45071.9103372397</v>
      </c>
      <c r="C547" s="29">
        <v>45075.543717834997</v>
      </c>
      <c r="D547" s="28" t="s">
        <v>94</v>
      </c>
      <c r="E547" s="28" t="s">
        <v>533</v>
      </c>
      <c r="F547" s="28" t="s">
        <v>141</v>
      </c>
      <c r="G547" s="28">
        <f t="shared" ca="1" si="16"/>
        <v>65</v>
      </c>
      <c r="H547" s="28">
        <v>2</v>
      </c>
      <c r="I547" s="25">
        <f t="shared" ca="1" si="17"/>
        <v>130</v>
      </c>
      <c r="J547" s="25" t="str">
        <f>VLOOKUP(F547,地区表!$D$2:$E$18,2,FALSE)</f>
        <v>办公用品</v>
      </c>
      <c r="K547" s="38" t="str">
        <f>VLOOKUP(E547,地区表!$A$2:$C$255,3,FALSE)</f>
        <v>华东</v>
      </c>
    </row>
    <row r="548" spans="1:11" ht="15.6">
      <c r="A548" s="28" t="s">
        <v>534</v>
      </c>
      <c r="B548" s="29">
        <v>44580.159778693604</v>
      </c>
      <c r="C548" s="29">
        <v>44585.612428743902</v>
      </c>
      <c r="D548" s="28" t="s">
        <v>94</v>
      </c>
      <c r="E548" s="28" t="s">
        <v>239</v>
      </c>
      <c r="F548" s="28" t="s">
        <v>121</v>
      </c>
      <c r="G548" s="28">
        <f t="shared" ca="1" si="16"/>
        <v>23</v>
      </c>
      <c r="H548" s="28">
        <v>5</v>
      </c>
      <c r="I548" s="25">
        <f t="shared" ca="1" si="17"/>
        <v>115</v>
      </c>
      <c r="J548" s="25" t="str">
        <f>VLOOKUP(F548,地区表!$D$2:$E$18,2,FALSE)</f>
        <v>技术</v>
      </c>
      <c r="K548" s="38" t="str">
        <f>VLOOKUP(E548,地区表!$A$2:$C$255,3,FALSE)</f>
        <v>中南</v>
      </c>
    </row>
    <row r="549" spans="1:11" ht="15.6">
      <c r="A549" s="28" t="s">
        <v>534</v>
      </c>
      <c r="B549" s="29">
        <v>44580.104805818199</v>
      </c>
      <c r="C549" s="29">
        <v>44585.609938981899</v>
      </c>
      <c r="D549" s="28" t="s">
        <v>94</v>
      </c>
      <c r="E549" s="28" t="s">
        <v>239</v>
      </c>
      <c r="F549" s="28" t="s">
        <v>106</v>
      </c>
      <c r="G549" s="28">
        <f t="shared" ca="1" si="16"/>
        <v>17</v>
      </c>
      <c r="H549" s="28">
        <v>11</v>
      </c>
      <c r="I549" s="25">
        <f t="shared" ca="1" si="17"/>
        <v>187</v>
      </c>
      <c r="J549" s="25" t="str">
        <f>VLOOKUP(F549,地区表!$D$2:$E$18,2,FALSE)</f>
        <v>办公用品</v>
      </c>
      <c r="K549" s="38" t="str">
        <f>VLOOKUP(E549,地区表!$A$2:$C$255,3,FALSE)</f>
        <v>中南</v>
      </c>
    </row>
    <row r="550" spans="1:11" ht="15.6">
      <c r="A550" s="28" t="s">
        <v>535</v>
      </c>
      <c r="B550" s="29">
        <v>45031.9544063094</v>
      </c>
      <c r="C550" s="29">
        <v>45035.574523606803</v>
      </c>
      <c r="D550" s="28" t="s">
        <v>94</v>
      </c>
      <c r="E550" s="28" t="s">
        <v>536</v>
      </c>
      <c r="F550" s="28" t="s">
        <v>130</v>
      </c>
      <c r="G550" s="28">
        <f t="shared" ca="1" si="16"/>
        <v>10</v>
      </c>
      <c r="H550" s="28">
        <v>2</v>
      </c>
      <c r="I550" s="25">
        <f t="shared" ca="1" si="17"/>
        <v>20</v>
      </c>
      <c r="J550" s="25" t="str">
        <f>VLOOKUP(F550,地区表!$D$2:$E$18,2,FALSE)</f>
        <v>家具</v>
      </c>
      <c r="K550" s="38" t="str">
        <f>VLOOKUP(E550,地区表!$A$2:$C$255,3,FALSE)</f>
        <v>中南</v>
      </c>
    </row>
    <row r="551" spans="1:11" ht="15.6">
      <c r="A551" s="28" t="s">
        <v>535</v>
      </c>
      <c r="B551" s="29">
        <v>45031.8266320736</v>
      </c>
      <c r="C551" s="29">
        <v>45035.555989128698</v>
      </c>
      <c r="D551" s="28" t="s">
        <v>94</v>
      </c>
      <c r="E551" s="28" t="s">
        <v>536</v>
      </c>
      <c r="F551" s="28" t="s">
        <v>130</v>
      </c>
      <c r="G551" s="28">
        <f t="shared" ca="1" si="16"/>
        <v>64</v>
      </c>
      <c r="H551" s="28">
        <v>4</v>
      </c>
      <c r="I551" s="25">
        <f t="shared" ca="1" si="17"/>
        <v>256</v>
      </c>
      <c r="J551" s="25" t="str">
        <f>VLOOKUP(F551,地区表!$D$2:$E$18,2,FALSE)</f>
        <v>家具</v>
      </c>
      <c r="K551" s="38" t="str">
        <f>VLOOKUP(E551,地区表!$A$2:$C$255,3,FALSE)</f>
        <v>中南</v>
      </c>
    </row>
    <row r="552" spans="1:11" ht="15.6">
      <c r="A552" s="28" t="s">
        <v>535</v>
      </c>
      <c r="B552" s="29">
        <v>45031.622348136902</v>
      </c>
      <c r="C552" s="29">
        <v>45035.557568006901</v>
      </c>
      <c r="D552" s="28" t="s">
        <v>94</v>
      </c>
      <c r="E552" s="28" t="s">
        <v>536</v>
      </c>
      <c r="F552" s="28" t="s">
        <v>130</v>
      </c>
      <c r="G552" s="28">
        <f t="shared" ca="1" si="16"/>
        <v>43</v>
      </c>
      <c r="H552" s="28">
        <v>3</v>
      </c>
      <c r="I552" s="25">
        <f t="shared" ca="1" si="17"/>
        <v>129</v>
      </c>
      <c r="J552" s="25" t="str">
        <f>VLOOKUP(F552,地区表!$D$2:$E$18,2,FALSE)</f>
        <v>家具</v>
      </c>
      <c r="K552" s="38" t="str">
        <f>VLOOKUP(E552,地区表!$A$2:$C$255,3,FALSE)</f>
        <v>中南</v>
      </c>
    </row>
    <row r="553" spans="1:11" ht="15.6">
      <c r="A553" s="28" t="s">
        <v>537</v>
      </c>
      <c r="B553" s="29">
        <v>44498.516318624002</v>
      </c>
      <c r="C553" s="29">
        <v>44505.936883813003</v>
      </c>
      <c r="D553" s="28" t="s">
        <v>94</v>
      </c>
      <c r="E553" s="28" t="s">
        <v>284</v>
      </c>
      <c r="F553" s="28" t="s">
        <v>118</v>
      </c>
      <c r="G553" s="28">
        <f t="shared" ca="1" si="16"/>
        <v>65</v>
      </c>
      <c r="H553" s="28">
        <v>2</v>
      </c>
      <c r="I553" s="25">
        <f t="shared" ca="1" si="17"/>
        <v>130</v>
      </c>
      <c r="J553" s="25" t="str">
        <f>VLOOKUP(F553,地区表!$D$2:$E$18,2,FALSE)</f>
        <v>技术</v>
      </c>
      <c r="K553" s="38" t="str">
        <f>VLOOKUP(E553,地区表!$A$2:$C$255,3,FALSE)</f>
        <v>华北</v>
      </c>
    </row>
    <row r="554" spans="1:11" ht="15.6">
      <c r="A554" s="28" t="s">
        <v>538</v>
      </c>
      <c r="B554" s="29">
        <v>45041.340360793802</v>
      </c>
      <c r="C554" s="29">
        <v>45045.648415377502</v>
      </c>
      <c r="D554" s="28" t="s">
        <v>94</v>
      </c>
      <c r="E554" s="28" t="s">
        <v>117</v>
      </c>
      <c r="F554" s="28" t="s">
        <v>141</v>
      </c>
      <c r="G554" s="28">
        <f t="shared" ca="1" si="16"/>
        <v>24</v>
      </c>
      <c r="H554" s="28">
        <v>6</v>
      </c>
      <c r="I554" s="25">
        <f t="shared" ca="1" si="17"/>
        <v>144</v>
      </c>
      <c r="J554" s="25" t="str">
        <f>VLOOKUP(F554,地区表!$D$2:$E$18,2,FALSE)</f>
        <v>办公用品</v>
      </c>
      <c r="K554" s="38" t="str">
        <f>VLOOKUP(E554,地区表!$A$2:$C$255,3,FALSE)</f>
        <v>东北</v>
      </c>
    </row>
    <row r="555" spans="1:11" ht="15.6">
      <c r="A555" s="28" t="s">
        <v>539</v>
      </c>
      <c r="B555" s="29">
        <v>45097.644056159203</v>
      </c>
      <c r="C555" s="29">
        <v>45100.829804810703</v>
      </c>
      <c r="D555" s="28" t="s">
        <v>114</v>
      </c>
      <c r="E555" s="28" t="s">
        <v>540</v>
      </c>
      <c r="F555" s="28" t="s">
        <v>131</v>
      </c>
      <c r="G555" s="28">
        <f t="shared" ca="1" si="16"/>
        <v>95</v>
      </c>
      <c r="H555" s="28">
        <v>4</v>
      </c>
      <c r="I555" s="25">
        <f t="shared" ca="1" si="17"/>
        <v>380</v>
      </c>
      <c r="J555" s="25" t="str">
        <f>VLOOKUP(F555,地区表!$D$2:$E$18,2,FALSE)</f>
        <v>家具</v>
      </c>
      <c r="K555" s="38" t="str">
        <f>VLOOKUP(E555,地区表!$A$2:$C$255,3,FALSE)</f>
        <v>东北</v>
      </c>
    </row>
    <row r="556" spans="1:11" ht="15.6">
      <c r="A556" s="28" t="s">
        <v>539</v>
      </c>
      <c r="B556" s="29">
        <v>45097.803979128701</v>
      </c>
      <c r="C556" s="29">
        <v>45100.771924101602</v>
      </c>
      <c r="D556" s="28" t="s">
        <v>114</v>
      </c>
      <c r="E556" s="28" t="s">
        <v>540</v>
      </c>
      <c r="F556" s="28" t="s">
        <v>125</v>
      </c>
      <c r="G556" s="28">
        <f t="shared" ca="1" si="16"/>
        <v>84</v>
      </c>
      <c r="H556" s="28">
        <v>4</v>
      </c>
      <c r="I556" s="25">
        <f t="shared" ca="1" si="17"/>
        <v>336</v>
      </c>
      <c r="J556" s="25" t="str">
        <f>VLOOKUP(F556,地区表!$D$2:$E$18,2,FALSE)</f>
        <v>办公用品</v>
      </c>
      <c r="K556" s="38" t="str">
        <f>VLOOKUP(E556,地区表!$A$2:$C$255,3,FALSE)</f>
        <v>东北</v>
      </c>
    </row>
    <row r="557" spans="1:11" ht="15.6">
      <c r="A557" s="28" t="s">
        <v>539</v>
      </c>
      <c r="B557" s="29">
        <v>45097.900937520702</v>
      </c>
      <c r="C557" s="29">
        <v>45100.221718535802</v>
      </c>
      <c r="D557" s="28" t="s">
        <v>114</v>
      </c>
      <c r="E557" s="28" t="s">
        <v>540</v>
      </c>
      <c r="F557" s="28" t="s">
        <v>121</v>
      </c>
      <c r="G557" s="28">
        <f t="shared" ca="1" si="16"/>
        <v>82</v>
      </c>
      <c r="H557" s="28">
        <v>2</v>
      </c>
      <c r="I557" s="25">
        <f t="shared" ca="1" si="17"/>
        <v>164</v>
      </c>
      <c r="J557" s="25" t="str">
        <f>VLOOKUP(F557,地区表!$D$2:$E$18,2,FALSE)</f>
        <v>技术</v>
      </c>
      <c r="K557" s="38" t="str">
        <f>VLOOKUP(E557,地区表!$A$2:$C$255,3,FALSE)</f>
        <v>东北</v>
      </c>
    </row>
    <row r="558" spans="1:11" ht="15.6">
      <c r="A558" s="28" t="s">
        <v>541</v>
      </c>
      <c r="B558" s="29">
        <v>44645.4804716617</v>
      </c>
      <c r="C558" s="29">
        <v>44645.412268801803</v>
      </c>
      <c r="D558" s="28" t="s">
        <v>94</v>
      </c>
      <c r="E558" s="28" t="s">
        <v>374</v>
      </c>
      <c r="F558" s="28" t="s">
        <v>118</v>
      </c>
      <c r="G558" s="28">
        <f t="shared" ca="1" si="16"/>
        <v>54</v>
      </c>
      <c r="H558" s="28">
        <v>9</v>
      </c>
      <c r="I558" s="25">
        <f t="shared" ca="1" si="17"/>
        <v>486</v>
      </c>
      <c r="J558" s="25" t="str">
        <f>VLOOKUP(F558,地区表!$D$2:$E$18,2,FALSE)</f>
        <v>技术</v>
      </c>
      <c r="K558" s="38" t="str">
        <f>VLOOKUP(E558,地区表!$A$2:$C$255,3,FALSE)</f>
        <v>华北</v>
      </c>
    </row>
    <row r="559" spans="1:11" ht="15.6">
      <c r="A559" s="28" t="s">
        <v>542</v>
      </c>
      <c r="B559" s="29">
        <v>44660.6261085566</v>
      </c>
      <c r="C559" s="29">
        <v>44664.619651524903</v>
      </c>
      <c r="D559" s="28" t="s">
        <v>98</v>
      </c>
      <c r="E559" s="28" t="s">
        <v>533</v>
      </c>
      <c r="F559" s="28" t="s">
        <v>101</v>
      </c>
      <c r="G559" s="28">
        <f t="shared" ca="1" si="16"/>
        <v>84</v>
      </c>
      <c r="H559" s="28">
        <v>3</v>
      </c>
      <c r="I559" s="25">
        <f t="shared" ca="1" si="17"/>
        <v>252</v>
      </c>
      <c r="J559" s="25" t="str">
        <f>VLOOKUP(F559,地区表!$D$2:$E$18,2,FALSE)</f>
        <v>办公用品</v>
      </c>
      <c r="K559" s="38" t="str">
        <f>VLOOKUP(E559,地区表!$A$2:$C$255,3,FALSE)</f>
        <v>华东</v>
      </c>
    </row>
    <row r="560" spans="1:11" ht="15.6">
      <c r="A560" s="28" t="s">
        <v>543</v>
      </c>
      <c r="B560" s="29">
        <v>44851.6888172826</v>
      </c>
      <c r="C560" s="29">
        <v>44857.661552260499</v>
      </c>
      <c r="D560" s="28" t="s">
        <v>98</v>
      </c>
      <c r="E560" s="28" t="s">
        <v>95</v>
      </c>
      <c r="F560" s="28" t="s">
        <v>110</v>
      </c>
      <c r="G560" s="28">
        <f t="shared" ca="1" si="16"/>
        <v>57</v>
      </c>
      <c r="H560" s="28">
        <v>2</v>
      </c>
      <c r="I560" s="25">
        <f t="shared" ca="1" si="17"/>
        <v>114</v>
      </c>
      <c r="J560" s="25" t="str">
        <f>VLOOKUP(F560,地区表!$D$2:$E$18,2,FALSE)</f>
        <v>家具</v>
      </c>
      <c r="K560" s="38" t="str">
        <f>VLOOKUP(E560,地区表!$A$2:$C$255,3,FALSE)</f>
        <v>华东</v>
      </c>
    </row>
    <row r="561" spans="1:11" ht="15.6">
      <c r="A561" s="28" t="s">
        <v>543</v>
      </c>
      <c r="B561" s="29">
        <v>44851.894101401602</v>
      </c>
      <c r="C561" s="29">
        <v>44857.227308624897</v>
      </c>
      <c r="D561" s="28" t="s">
        <v>98</v>
      </c>
      <c r="E561" s="28" t="s">
        <v>95</v>
      </c>
      <c r="F561" s="28" t="s">
        <v>100</v>
      </c>
      <c r="G561" s="28">
        <f t="shared" ca="1" si="16"/>
        <v>33</v>
      </c>
      <c r="H561" s="28">
        <v>2</v>
      </c>
      <c r="I561" s="25">
        <f t="shared" ca="1" si="17"/>
        <v>66</v>
      </c>
      <c r="J561" s="25" t="str">
        <f>VLOOKUP(F561,地区表!$D$2:$E$18,2,FALSE)</f>
        <v>办公用品</v>
      </c>
      <c r="K561" s="38" t="str">
        <f>VLOOKUP(E561,地区表!$A$2:$C$255,3,FALSE)</f>
        <v>华东</v>
      </c>
    </row>
    <row r="562" spans="1:11" ht="15.6">
      <c r="A562" s="28" t="s">
        <v>544</v>
      </c>
      <c r="B562" s="29">
        <v>44778.562363177101</v>
      </c>
      <c r="C562" s="29">
        <v>44780.886299656901</v>
      </c>
      <c r="D562" s="28" t="s">
        <v>98</v>
      </c>
      <c r="E562" s="28" t="s">
        <v>140</v>
      </c>
      <c r="F562" s="28" t="s">
        <v>109</v>
      </c>
      <c r="G562" s="28">
        <f t="shared" ca="1" si="16"/>
        <v>31</v>
      </c>
      <c r="H562" s="28">
        <v>4</v>
      </c>
      <c r="I562" s="25">
        <f t="shared" ca="1" si="17"/>
        <v>124</v>
      </c>
      <c r="J562" s="25" t="str">
        <f>VLOOKUP(F562,地区表!$D$2:$E$18,2,FALSE)</f>
        <v>技术</v>
      </c>
      <c r="K562" s="38" t="str">
        <f>VLOOKUP(E562,地区表!$A$2:$C$255,3,FALSE)</f>
        <v>华东</v>
      </c>
    </row>
    <row r="563" spans="1:11" ht="15.6">
      <c r="A563" s="28" t="s">
        <v>545</v>
      </c>
      <c r="B563" s="29">
        <v>45275.722244024197</v>
      </c>
      <c r="C563" s="29">
        <v>45281.884053251903</v>
      </c>
      <c r="D563" s="28" t="s">
        <v>98</v>
      </c>
      <c r="E563" s="28" t="s">
        <v>146</v>
      </c>
      <c r="F563" s="28" t="s">
        <v>110</v>
      </c>
      <c r="G563" s="28">
        <f t="shared" ca="1" si="16"/>
        <v>28</v>
      </c>
      <c r="H563" s="28">
        <v>5</v>
      </c>
      <c r="I563" s="25">
        <f t="shared" ca="1" si="17"/>
        <v>140</v>
      </c>
      <c r="J563" s="25" t="str">
        <f>VLOOKUP(F563,地区表!$D$2:$E$18,2,FALSE)</f>
        <v>家具</v>
      </c>
      <c r="K563" s="38" t="str">
        <f>VLOOKUP(E563,地区表!$A$2:$C$255,3,FALSE)</f>
        <v>西北</v>
      </c>
    </row>
    <row r="564" spans="1:11" ht="15.6">
      <c r="A564" s="28" t="s">
        <v>546</v>
      </c>
      <c r="B564" s="29">
        <v>45290.975040691403</v>
      </c>
      <c r="C564" s="29">
        <v>44200.753218208702</v>
      </c>
      <c r="D564" s="28" t="s">
        <v>94</v>
      </c>
      <c r="E564" s="28" t="s">
        <v>547</v>
      </c>
      <c r="F564" s="28" t="s">
        <v>121</v>
      </c>
      <c r="G564" s="28">
        <f t="shared" ca="1" si="16"/>
        <v>20</v>
      </c>
      <c r="H564" s="28">
        <v>3</v>
      </c>
      <c r="I564" s="25">
        <f t="shared" ca="1" si="17"/>
        <v>60</v>
      </c>
      <c r="J564" s="25" t="str">
        <f>VLOOKUP(F564,地区表!$D$2:$E$18,2,FALSE)</f>
        <v>技术</v>
      </c>
      <c r="K564" s="38" t="str">
        <f>VLOOKUP(E564,地区表!$A$2:$C$255,3,FALSE)</f>
        <v>华东</v>
      </c>
    </row>
    <row r="565" spans="1:11" ht="15.6">
      <c r="A565" s="28" t="s">
        <v>546</v>
      </c>
      <c r="B565" s="29">
        <v>45290.686887846299</v>
      </c>
      <c r="C565" s="29">
        <v>44200.847176162002</v>
      </c>
      <c r="D565" s="28" t="s">
        <v>94</v>
      </c>
      <c r="E565" s="28" t="s">
        <v>547</v>
      </c>
      <c r="F565" s="28" t="s">
        <v>106</v>
      </c>
      <c r="G565" s="28">
        <f t="shared" ca="1" si="16"/>
        <v>16</v>
      </c>
      <c r="H565" s="28">
        <v>5</v>
      </c>
      <c r="I565" s="25">
        <f t="shared" ca="1" si="17"/>
        <v>80</v>
      </c>
      <c r="J565" s="25" t="str">
        <f>VLOOKUP(F565,地区表!$D$2:$E$18,2,FALSE)</f>
        <v>办公用品</v>
      </c>
      <c r="K565" s="38" t="str">
        <f>VLOOKUP(E565,地区表!$A$2:$C$255,3,FALSE)</f>
        <v>华东</v>
      </c>
    </row>
    <row r="566" spans="1:11" ht="15.6">
      <c r="A566" s="28" t="s">
        <v>548</v>
      </c>
      <c r="B566" s="29">
        <v>44558.475358912998</v>
      </c>
      <c r="C566" s="29">
        <v>44560.041436601401</v>
      </c>
      <c r="D566" s="28" t="s">
        <v>98</v>
      </c>
      <c r="E566" s="28" t="s">
        <v>380</v>
      </c>
      <c r="F566" s="28" t="s">
        <v>125</v>
      </c>
      <c r="G566" s="28">
        <f t="shared" ca="1" si="16"/>
        <v>31</v>
      </c>
      <c r="H566" s="28">
        <v>2</v>
      </c>
      <c r="I566" s="25">
        <f t="shared" ca="1" si="17"/>
        <v>62</v>
      </c>
      <c r="J566" s="25" t="str">
        <f>VLOOKUP(F566,地区表!$D$2:$E$18,2,FALSE)</f>
        <v>办公用品</v>
      </c>
      <c r="K566" s="38" t="str">
        <f>VLOOKUP(E566,地区表!$A$2:$C$255,3,FALSE)</f>
        <v>中南</v>
      </c>
    </row>
    <row r="567" spans="1:11" ht="15.6">
      <c r="A567" s="28" t="s">
        <v>548</v>
      </c>
      <c r="B567" s="29">
        <v>44558.521098635501</v>
      </c>
      <c r="C567" s="29">
        <v>44560.100037777302</v>
      </c>
      <c r="D567" s="28" t="s">
        <v>98</v>
      </c>
      <c r="E567" s="28" t="s">
        <v>380</v>
      </c>
      <c r="F567" s="28" t="s">
        <v>118</v>
      </c>
      <c r="G567" s="28">
        <f t="shared" ca="1" si="16"/>
        <v>92</v>
      </c>
      <c r="H567" s="28">
        <v>6</v>
      </c>
      <c r="I567" s="25">
        <f t="shared" ca="1" si="17"/>
        <v>552</v>
      </c>
      <c r="J567" s="25" t="str">
        <f>VLOOKUP(F567,地区表!$D$2:$E$18,2,FALSE)</f>
        <v>技术</v>
      </c>
      <c r="K567" s="38" t="str">
        <f>VLOOKUP(E567,地区表!$A$2:$C$255,3,FALSE)</f>
        <v>中南</v>
      </c>
    </row>
    <row r="568" spans="1:11" ht="15.6">
      <c r="A568" s="28" t="s">
        <v>548</v>
      </c>
      <c r="B568" s="29">
        <v>44558.403588674402</v>
      </c>
      <c r="C568" s="29">
        <v>44560.666007353699</v>
      </c>
      <c r="D568" s="28" t="s">
        <v>98</v>
      </c>
      <c r="E568" s="28" t="s">
        <v>380</v>
      </c>
      <c r="F568" s="28" t="s">
        <v>118</v>
      </c>
      <c r="G568" s="28">
        <f t="shared" ca="1" si="16"/>
        <v>39</v>
      </c>
      <c r="H568" s="28">
        <v>3</v>
      </c>
      <c r="I568" s="25">
        <f t="shared" ca="1" si="17"/>
        <v>117</v>
      </c>
      <c r="J568" s="25" t="str">
        <f>VLOOKUP(F568,地区表!$D$2:$E$18,2,FALSE)</f>
        <v>技术</v>
      </c>
      <c r="K568" s="38" t="str">
        <f>VLOOKUP(E568,地区表!$A$2:$C$255,3,FALSE)</f>
        <v>中南</v>
      </c>
    </row>
    <row r="569" spans="1:11" ht="15.6">
      <c r="A569" s="28" t="s">
        <v>548</v>
      </c>
      <c r="B569" s="29">
        <v>44558.916561673301</v>
      </c>
      <c r="C569" s="29">
        <v>44560.230371658101</v>
      </c>
      <c r="D569" s="28" t="s">
        <v>98</v>
      </c>
      <c r="E569" s="28" t="s">
        <v>380</v>
      </c>
      <c r="F569" s="28" t="s">
        <v>110</v>
      </c>
      <c r="G569" s="28">
        <f t="shared" ca="1" si="16"/>
        <v>53</v>
      </c>
      <c r="H569" s="28">
        <v>3</v>
      </c>
      <c r="I569" s="25">
        <f t="shared" ca="1" si="17"/>
        <v>159</v>
      </c>
      <c r="J569" s="25" t="str">
        <f>VLOOKUP(F569,地区表!$D$2:$E$18,2,FALSE)</f>
        <v>家具</v>
      </c>
      <c r="K569" s="38" t="str">
        <f>VLOOKUP(E569,地区表!$A$2:$C$255,3,FALSE)</f>
        <v>中南</v>
      </c>
    </row>
    <row r="570" spans="1:11" ht="15.6">
      <c r="A570" s="28" t="s">
        <v>549</v>
      </c>
      <c r="B570" s="29">
        <v>44355.278141690702</v>
      </c>
      <c r="C570" s="29">
        <v>44359.7710035563</v>
      </c>
      <c r="D570" s="28" t="s">
        <v>98</v>
      </c>
      <c r="E570" s="28" t="s">
        <v>550</v>
      </c>
      <c r="F570" s="28" t="s">
        <v>109</v>
      </c>
      <c r="G570" s="28">
        <f t="shared" ca="1" si="16"/>
        <v>85</v>
      </c>
      <c r="H570" s="28">
        <v>2</v>
      </c>
      <c r="I570" s="25">
        <f t="shared" ca="1" si="17"/>
        <v>170</v>
      </c>
      <c r="J570" s="25" t="str">
        <f>VLOOKUP(F570,地区表!$D$2:$E$18,2,FALSE)</f>
        <v>技术</v>
      </c>
      <c r="K570" s="38" t="str">
        <f>VLOOKUP(E570,地区表!$A$2:$C$255,3,FALSE)</f>
        <v>中南</v>
      </c>
    </row>
    <row r="571" spans="1:11" ht="15.6">
      <c r="A571" s="28" t="s">
        <v>549</v>
      </c>
      <c r="B571" s="29">
        <v>44355.796876321903</v>
      </c>
      <c r="C571" s="29">
        <v>44359.427861905897</v>
      </c>
      <c r="D571" s="28" t="s">
        <v>98</v>
      </c>
      <c r="E571" s="28" t="s">
        <v>550</v>
      </c>
      <c r="F571" s="28" t="s">
        <v>122</v>
      </c>
      <c r="G571" s="28">
        <f t="shared" ca="1" si="16"/>
        <v>58</v>
      </c>
      <c r="H571" s="28">
        <v>3</v>
      </c>
      <c r="I571" s="25">
        <f t="shared" ca="1" si="17"/>
        <v>174</v>
      </c>
      <c r="J571" s="25" t="str">
        <f>VLOOKUP(F571,地区表!$D$2:$E$18,2,FALSE)</f>
        <v>技术</v>
      </c>
      <c r="K571" s="38" t="str">
        <f>VLOOKUP(E571,地区表!$A$2:$C$255,3,FALSE)</f>
        <v>中南</v>
      </c>
    </row>
    <row r="572" spans="1:11" ht="15.6">
      <c r="A572" s="28" t="s">
        <v>549</v>
      </c>
      <c r="B572" s="29">
        <v>44355.651442459799</v>
      </c>
      <c r="C572" s="29">
        <v>44359.245855403897</v>
      </c>
      <c r="D572" s="28" t="s">
        <v>98</v>
      </c>
      <c r="E572" s="28" t="s">
        <v>550</v>
      </c>
      <c r="F572" s="28" t="s">
        <v>135</v>
      </c>
      <c r="G572" s="28">
        <f t="shared" ca="1" si="16"/>
        <v>13</v>
      </c>
      <c r="H572" s="28">
        <v>3</v>
      </c>
      <c r="I572" s="25">
        <f t="shared" ca="1" si="17"/>
        <v>39</v>
      </c>
      <c r="J572" s="25" t="str">
        <f>VLOOKUP(F572,地区表!$D$2:$E$18,2,FALSE)</f>
        <v>办公用品</v>
      </c>
      <c r="K572" s="38" t="str">
        <f>VLOOKUP(E572,地区表!$A$2:$C$255,3,FALSE)</f>
        <v>中南</v>
      </c>
    </row>
    <row r="573" spans="1:11" ht="15.6">
      <c r="A573" s="28" t="s">
        <v>551</v>
      </c>
      <c r="B573" s="29">
        <v>44645.251807079097</v>
      </c>
      <c r="C573" s="29">
        <v>44651.9176074926</v>
      </c>
      <c r="D573" s="28" t="s">
        <v>94</v>
      </c>
      <c r="E573" s="28" t="s">
        <v>201</v>
      </c>
      <c r="F573" s="28" t="s">
        <v>100</v>
      </c>
      <c r="G573" s="28">
        <f t="shared" ca="1" si="16"/>
        <v>93</v>
      </c>
      <c r="H573" s="28">
        <v>2</v>
      </c>
      <c r="I573" s="25">
        <f t="shared" ca="1" si="17"/>
        <v>186</v>
      </c>
      <c r="J573" s="25" t="str">
        <f>VLOOKUP(F573,地区表!$D$2:$E$18,2,FALSE)</f>
        <v>办公用品</v>
      </c>
      <c r="K573" s="38" t="str">
        <f>VLOOKUP(E573,地区表!$A$2:$C$255,3,FALSE)</f>
        <v>华东</v>
      </c>
    </row>
    <row r="574" spans="1:11" ht="15.6">
      <c r="A574" s="28" t="s">
        <v>552</v>
      </c>
      <c r="B574" s="29">
        <v>44631.379606996001</v>
      </c>
      <c r="C574" s="29">
        <v>44633.839510505197</v>
      </c>
      <c r="D574" s="28" t="s">
        <v>98</v>
      </c>
      <c r="E574" s="28" t="s">
        <v>553</v>
      </c>
      <c r="F574" s="28" t="s">
        <v>96</v>
      </c>
      <c r="G574" s="28">
        <f t="shared" ca="1" si="16"/>
        <v>69</v>
      </c>
      <c r="H574" s="28">
        <v>4</v>
      </c>
      <c r="I574" s="25">
        <f t="shared" ca="1" si="17"/>
        <v>276</v>
      </c>
      <c r="J574" s="25" t="str">
        <f>VLOOKUP(F574,地区表!$D$2:$E$18,2,FALSE)</f>
        <v>办公用品</v>
      </c>
      <c r="K574" s="38" t="str">
        <f>VLOOKUP(E574,地区表!$A$2:$C$255,3,FALSE)</f>
        <v>西北</v>
      </c>
    </row>
    <row r="575" spans="1:11" ht="15.6">
      <c r="A575" s="28" t="s">
        <v>552</v>
      </c>
      <c r="B575" s="29">
        <v>44631.581618541102</v>
      </c>
      <c r="C575" s="29">
        <v>44633.597924561698</v>
      </c>
      <c r="D575" s="28" t="s">
        <v>98</v>
      </c>
      <c r="E575" s="28" t="s">
        <v>553</v>
      </c>
      <c r="F575" s="28" t="s">
        <v>121</v>
      </c>
      <c r="G575" s="28">
        <f t="shared" ca="1" si="16"/>
        <v>98</v>
      </c>
      <c r="H575" s="28">
        <v>7</v>
      </c>
      <c r="I575" s="25">
        <f t="shared" ca="1" si="17"/>
        <v>686</v>
      </c>
      <c r="J575" s="25" t="str">
        <f>VLOOKUP(F575,地区表!$D$2:$E$18,2,FALSE)</f>
        <v>技术</v>
      </c>
      <c r="K575" s="38" t="str">
        <f>VLOOKUP(E575,地区表!$A$2:$C$255,3,FALSE)</f>
        <v>西北</v>
      </c>
    </row>
    <row r="576" spans="1:11" ht="15.6">
      <c r="A576" s="28" t="s">
        <v>552</v>
      </c>
      <c r="B576" s="29">
        <v>44631.900476038798</v>
      </c>
      <c r="C576" s="29">
        <v>44633.060596569499</v>
      </c>
      <c r="D576" s="28" t="s">
        <v>98</v>
      </c>
      <c r="E576" s="28" t="s">
        <v>553</v>
      </c>
      <c r="F576" s="28" t="s">
        <v>144</v>
      </c>
      <c r="G576" s="28">
        <f t="shared" ca="1" si="16"/>
        <v>41</v>
      </c>
      <c r="H576" s="28">
        <v>7</v>
      </c>
      <c r="I576" s="25">
        <f t="shared" ca="1" si="17"/>
        <v>287</v>
      </c>
      <c r="J576" s="25" t="str">
        <f>VLOOKUP(F576,地区表!$D$2:$E$18,2,FALSE)</f>
        <v>家具</v>
      </c>
      <c r="K576" s="38" t="str">
        <f>VLOOKUP(E576,地区表!$A$2:$C$255,3,FALSE)</f>
        <v>西北</v>
      </c>
    </row>
    <row r="577" spans="1:11" ht="15.6">
      <c r="A577" s="28" t="s">
        <v>552</v>
      </c>
      <c r="B577" s="29">
        <v>44631.821092630496</v>
      </c>
      <c r="C577" s="29">
        <v>44633.618282854797</v>
      </c>
      <c r="D577" s="28" t="s">
        <v>98</v>
      </c>
      <c r="E577" s="28" t="s">
        <v>553</v>
      </c>
      <c r="F577" s="28" t="s">
        <v>110</v>
      </c>
      <c r="G577" s="28">
        <f t="shared" ca="1" si="16"/>
        <v>42</v>
      </c>
      <c r="H577" s="28">
        <v>7</v>
      </c>
      <c r="I577" s="25">
        <f t="shared" ca="1" si="17"/>
        <v>294</v>
      </c>
      <c r="J577" s="25" t="str">
        <f>VLOOKUP(F577,地区表!$D$2:$E$18,2,FALSE)</f>
        <v>家具</v>
      </c>
      <c r="K577" s="38" t="str">
        <f>VLOOKUP(E577,地区表!$A$2:$C$255,3,FALSE)</f>
        <v>西北</v>
      </c>
    </row>
    <row r="578" spans="1:11" ht="15.6">
      <c r="A578" s="28" t="s">
        <v>554</v>
      </c>
      <c r="B578" s="29">
        <v>44636.560562851002</v>
      </c>
      <c r="C578" s="29">
        <v>44638.100234623002</v>
      </c>
      <c r="D578" s="28" t="s">
        <v>94</v>
      </c>
      <c r="E578" s="28" t="s">
        <v>292</v>
      </c>
      <c r="F578" s="28" t="s">
        <v>111</v>
      </c>
      <c r="G578" s="28">
        <f t="shared" ref="G578:G641" ca="1" si="18">RANDBETWEEN(10,100)</f>
        <v>55</v>
      </c>
      <c r="H578" s="28">
        <v>5</v>
      </c>
      <c r="I578" s="25">
        <f t="shared" ref="I578:I641" ca="1" si="19">G578*H578</f>
        <v>275</v>
      </c>
      <c r="J578" s="25" t="str">
        <f>VLOOKUP(F578,地区表!$D$2:$E$18,2,FALSE)</f>
        <v>办公用品</v>
      </c>
      <c r="K578" s="38" t="str">
        <f>VLOOKUP(E578,地区表!$A$2:$C$255,3,FALSE)</f>
        <v>西南</v>
      </c>
    </row>
    <row r="579" spans="1:11" ht="15.6">
      <c r="A579" s="28" t="s">
        <v>555</v>
      </c>
      <c r="B579" s="29">
        <v>44862.941044690997</v>
      </c>
      <c r="C579" s="29">
        <v>44864.0466294035</v>
      </c>
      <c r="D579" s="28" t="s">
        <v>94</v>
      </c>
      <c r="E579" s="28" t="s">
        <v>556</v>
      </c>
      <c r="F579" s="28" t="s">
        <v>106</v>
      </c>
      <c r="G579" s="28">
        <f t="shared" ca="1" si="18"/>
        <v>20</v>
      </c>
      <c r="H579" s="28">
        <v>2</v>
      </c>
      <c r="I579" s="25">
        <f t="shared" ca="1" si="19"/>
        <v>40</v>
      </c>
      <c r="J579" s="25" t="str">
        <f>VLOOKUP(F579,地区表!$D$2:$E$18,2,FALSE)</f>
        <v>办公用品</v>
      </c>
      <c r="K579" s="38" t="str">
        <f>VLOOKUP(E579,地区表!$A$2:$C$255,3,FALSE)</f>
        <v>华东</v>
      </c>
    </row>
    <row r="580" spans="1:11" ht="15.6">
      <c r="A580" s="28" t="s">
        <v>555</v>
      </c>
      <c r="B580" s="29">
        <v>44862.9091876522</v>
      </c>
      <c r="C580" s="29">
        <v>44864.839496847002</v>
      </c>
      <c r="D580" s="28" t="s">
        <v>94</v>
      </c>
      <c r="E580" s="28" t="s">
        <v>556</v>
      </c>
      <c r="F580" s="28" t="s">
        <v>141</v>
      </c>
      <c r="G580" s="28">
        <f t="shared" ca="1" si="18"/>
        <v>38</v>
      </c>
      <c r="H580" s="28">
        <v>2</v>
      </c>
      <c r="I580" s="25">
        <f t="shared" ca="1" si="19"/>
        <v>76</v>
      </c>
      <c r="J580" s="25" t="str">
        <f>VLOOKUP(F580,地区表!$D$2:$E$18,2,FALSE)</f>
        <v>办公用品</v>
      </c>
      <c r="K580" s="38" t="str">
        <f>VLOOKUP(E580,地区表!$A$2:$C$255,3,FALSE)</f>
        <v>华东</v>
      </c>
    </row>
    <row r="581" spans="1:11" ht="15.6">
      <c r="A581" s="28" t="s">
        <v>555</v>
      </c>
      <c r="B581" s="29">
        <v>44862.5151094127</v>
      </c>
      <c r="C581" s="29">
        <v>44864.597071719698</v>
      </c>
      <c r="D581" s="28" t="s">
        <v>94</v>
      </c>
      <c r="E581" s="28" t="s">
        <v>556</v>
      </c>
      <c r="F581" s="28" t="s">
        <v>131</v>
      </c>
      <c r="G581" s="28">
        <f t="shared" ca="1" si="18"/>
        <v>34</v>
      </c>
      <c r="H581" s="28">
        <v>3</v>
      </c>
      <c r="I581" s="25">
        <f t="shared" ca="1" si="19"/>
        <v>102</v>
      </c>
      <c r="J581" s="25" t="str">
        <f>VLOOKUP(F581,地区表!$D$2:$E$18,2,FALSE)</f>
        <v>家具</v>
      </c>
      <c r="K581" s="38" t="str">
        <f>VLOOKUP(E581,地区表!$A$2:$C$255,3,FALSE)</f>
        <v>华东</v>
      </c>
    </row>
    <row r="582" spans="1:11" ht="15.6">
      <c r="A582" s="28" t="s">
        <v>555</v>
      </c>
      <c r="B582" s="29">
        <v>44862.982234347299</v>
      </c>
      <c r="C582" s="29">
        <v>44864.493965705798</v>
      </c>
      <c r="D582" s="28" t="s">
        <v>94</v>
      </c>
      <c r="E582" s="28" t="s">
        <v>556</v>
      </c>
      <c r="F582" s="28" t="s">
        <v>130</v>
      </c>
      <c r="G582" s="28">
        <f t="shared" ca="1" si="18"/>
        <v>23</v>
      </c>
      <c r="H582" s="28">
        <v>13</v>
      </c>
      <c r="I582" s="25">
        <f t="shared" ca="1" si="19"/>
        <v>299</v>
      </c>
      <c r="J582" s="25" t="str">
        <f>VLOOKUP(F582,地区表!$D$2:$E$18,2,FALSE)</f>
        <v>家具</v>
      </c>
      <c r="K582" s="38" t="str">
        <f>VLOOKUP(E582,地区表!$A$2:$C$255,3,FALSE)</f>
        <v>华东</v>
      </c>
    </row>
    <row r="583" spans="1:11" ht="15.6">
      <c r="A583" s="28" t="s">
        <v>555</v>
      </c>
      <c r="B583" s="29">
        <v>44862.169383782602</v>
      </c>
      <c r="C583" s="29">
        <v>44864.911313286197</v>
      </c>
      <c r="D583" s="28" t="s">
        <v>94</v>
      </c>
      <c r="E583" s="28" t="s">
        <v>556</v>
      </c>
      <c r="F583" s="28" t="s">
        <v>100</v>
      </c>
      <c r="G583" s="28">
        <f t="shared" ca="1" si="18"/>
        <v>57</v>
      </c>
      <c r="H583" s="28">
        <v>3</v>
      </c>
      <c r="I583" s="25">
        <f t="shared" ca="1" si="19"/>
        <v>171</v>
      </c>
      <c r="J583" s="25" t="str">
        <f>VLOOKUP(F583,地区表!$D$2:$E$18,2,FALSE)</f>
        <v>办公用品</v>
      </c>
      <c r="K583" s="38" t="str">
        <f>VLOOKUP(E583,地区表!$A$2:$C$255,3,FALSE)</f>
        <v>华东</v>
      </c>
    </row>
    <row r="584" spans="1:11" ht="15.6">
      <c r="A584" s="28" t="s">
        <v>555</v>
      </c>
      <c r="B584" s="29">
        <v>44862.307505352503</v>
      </c>
      <c r="C584" s="29">
        <v>44864.666423893301</v>
      </c>
      <c r="D584" s="28" t="s">
        <v>94</v>
      </c>
      <c r="E584" s="28" t="s">
        <v>556</v>
      </c>
      <c r="F584" s="28" t="s">
        <v>111</v>
      </c>
      <c r="G584" s="28">
        <f t="shared" ca="1" si="18"/>
        <v>26</v>
      </c>
      <c r="H584" s="28">
        <v>3</v>
      </c>
      <c r="I584" s="25">
        <f t="shared" ca="1" si="19"/>
        <v>78</v>
      </c>
      <c r="J584" s="25" t="str">
        <f>VLOOKUP(F584,地区表!$D$2:$E$18,2,FALSE)</f>
        <v>办公用品</v>
      </c>
      <c r="K584" s="38" t="str">
        <f>VLOOKUP(E584,地区表!$A$2:$C$255,3,FALSE)</f>
        <v>华东</v>
      </c>
    </row>
    <row r="585" spans="1:11" ht="15.6">
      <c r="A585" s="28" t="s">
        <v>555</v>
      </c>
      <c r="B585" s="29">
        <v>44862.718294075399</v>
      </c>
      <c r="C585" s="29">
        <v>44864.214207787598</v>
      </c>
      <c r="D585" s="28" t="s">
        <v>94</v>
      </c>
      <c r="E585" s="28" t="s">
        <v>556</v>
      </c>
      <c r="F585" s="28" t="s">
        <v>118</v>
      </c>
      <c r="G585" s="28">
        <f t="shared" ca="1" si="18"/>
        <v>67</v>
      </c>
      <c r="H585" s="28">
        <v>2</v>
      </c>
      <c r="I585" s="25">
        <f t="shared" ca="1" si="19"/>
        <v>134</v>
      </c>
      <c r="J585" s="25" t="str">
        <f>VLOOKUP(F585,地区表!$D$2:$E$18,2,FALSE)</f>
        <v>技术</v>
      </c>
      <c r="K585" s="38" t="str">
        <f>VLOOKUP(E585,地区表!$A$2:$C$255,3,FALSE)</f>
        <v>华东</v>
      </c>
    </row>
    <row r="586" spans="1:11" ht="15.6">
      <c r="A586" s="28" t="s">
        <v>557</v>
      </c>
      <c r="B586" s="29">
        <v>44252.1298232669</v>
      </c>
      <c r="C586" s="29">
        <v>44257.616419134501</v>
      </c>
      <c r="D586" s="28" t="s">
        <v>94</v>
      </c>
      <c r="E586" s="28" t="s">
        <v>427</v>
      </c>
      <c r="F586" s="28" t="s">
        <v>130</v>
      </c>
      <c r="G586" s="28">
        <f t="shared" ca="1" si="18"/>
        <v>13</v>
      </c>
      <c r="H586" s="28">
        <v>3</v>
      </c>
      <c r="I586" s="25">
        <f t="shared" ca="1" si="19"/>
        <v>39</v>
      </c>
      <c r="J586" s="25" t="str">
        <f>VLOOKUP(F586,地区表!$D$2:$E$18,2,FALSE)</f>
        <v>家具</v>
      </c>
      <c r="K586" s="38" t="str">
        <f>VLOOKUP(E586,地区表!$A$2:$C$255,3,FALSE)</f>
        <v>中南</v>
      </c>
    </row>
    <row r="587" spans="1:11" ht="15.6">
      <c r="A587" s="28" t="s">
        <v>557</v>
      </c>
      <c r="B587" s="29">
        <v>44252.5512774409</v>
      </c>
      <c r="C587" s="29">
        <v>44257.194459159</v>
      </c>
      <c r="D587" s="28" t="s">
        <v>94</v>
      </c>
      <c r="E587" s="28" t="s">
        <v>427</v>
      </c>
      <c r="F587" s="28" t="s">
        <v>96</v>
      </c>
      <c r="G587" s="28">
        <f t="shared" ca="1" si="18"/>
        <v>28</v>
      </c>
      <c r="H587" s="28">
        <v>2</v>
      </c>
      <c r="I587" s="25">
        <f t="shared" ca="1" si="19"/>
        <v>56</v>
      </c>
      <c r="J587" s="25" t="str">
        <f>VLOOKUP(F587,地区表!$D$2:$E$18,2,FALSE)</f>
        <v>办公用品</v>
      </c>
      <c r="K587" s="38" t="str">
        <f>VLOOKUP(E587,地区表!$A$2:$C$255,3,FALSE)</f>
        <v>中南</v>
      </c>
    </row>
    <row r="588" spans="1:11" ht="15.6">
      <c r="A588" s="28" t="s">
        <v>558</v>
      </c>
      <c r="B588" s="29">
        <v>44203.932701329402</v>
      </c>
      <c r="C588" s="29">
        <v>44207.908423435903</v>
      </c>
      <c r="D588" s="28" t="s">
        <v>114</v>
      </c>
      <c r="E588" s="28" t="s">
        <v>559</v>
      </c>
      <c r="F588" s="28" t="s">
        <v>100</v>
      </c>
      <c r="G588" s="28">
        <f t="shared" ca="1" si="18"/>
        <v>31</v>
      </c>
      <c r="H588" s="28">
        <v>5</v>
      </c>
      <c r="I588" s="25">
        <f t="shared" ca="1" si="19"/>
        <v>155</v>
      </c>
      <c r="J588" s="25" t="str">
        <f>VLOOKUP(F588,地区表!$D$2:$E$18,2,FALSE)</f>
        <v>办公用品</v>
      </c>
      <c r="K588" s="38" t="str">
        <f>VLOOKUP(E588,地区表!$A$2:$C$255,3,FALSE)</f>
        <v>西南</v>
      </c>
    </row>
    <row r="589" spans="1:11" ht="15.6">
      <c r="A589" s="28" t="s">
        <v>560</v>
      </c>
      <c r="B589" s="29">
        <v>44422.231612431999</v>
      </c>
      <c r="C589" s="29">
        <v>44427.204192334299</v>
      </c>
      <c r="D589" s="28" t="s">
        <v>98</v>
      </c>
      <c r="E589" s="28" t="s">
        <v>146</v>
      </c>
      <c r="F589" s="28" t="s">
        <v>122</v>
      </c>
      <c r="G589" s="28">
        <f t="shared" ca="1" si="18"/>
        <v>88</v>
      </c>
      <c r="H589" s="28">
        <v>2</v>
      </c>
      <c r="I589" s="25">
        <f t="shared" ca="1" si="19"/>
        <v>176</v>
      </c>
      <c r="J589" s="25" t="str">
        <f>VLOOKUP(F589,地区表!$D$2:$E$18,2,FALSE)</f>
        <v>技术</v>
      </c>
      <c r="K589" s="38" t="str">
        <f>VLOOKUP(E589,地区表!$A$2:$C$255,3,FALSE)</f>
        <v>西北</v>
      </c>
    </row>
    <row r="590" spans="1:11" ht="15.6">
      <c r="A590" s="28" t="s">
        <v>561</v>
      </c>
      <c r="B590" s="29">
        <v>44219.210012409298</v>
      </c>
      <c r="C590" s="29">
        <v>44224.736508654903</v>
      </c>
      <c r="D590" s="28" t="s">
        <v>98</v>
      </c>
      <c r="E590" s="28" t="s">
        <v>562</v>
      </c>
      <c r="F590" s="28" t="s">
        <v>96</v>
      </c>
      <c r="G590" s="28">
        <f t="shared" ca="1" si="18"/>
        <v>100</v>
      </c>
      <c r="H590" s="28">
        <v>4</v>
      </c>
      <c r="I590" s="25">
        <f t="shared" ca="1" si="19"/>
        <v>400</v>
      </c>
      <c r="J590" s="25" t="str">
        <f>VLOOKUP(F590,地区表!$D$2:$E$18,2,FALSE)</f>
        <v>办公用品</v>
      </c>
      <c r="K590" s="38" t="str">
        <f>VLOOKUP(E590,地区表!$A$2:$C$255,3,FALSE)</f>
        <v>西南</v>
      </c>
    </row>
    <row r="591" spans="1:11" ht="15.6">
      <c r="A591" s="28" t="s">
        <v>561</v>
      </c>
      <c r="B591" s="29">
        <v>44219.726380426902</v>
      </c>
      <c r="C591" s="29">
        <v>44224.5217270832</v>
      </c>
      <c r="D591" s="28" t="s">
        <v>98</v>
      </c>
      <c r="E591" s="28" t="s">
        <v>562</v>
      </c>
      <c r="F591" s="28" t="s">
        <v>96</v>
      </c>
      <c r="G591" s="28">
        <f t="shared" ca="1" si="18"/>
        <v>47</v>
      </c>
      <c r="H591" s="28">
        <v>2</v>
      </c>
      <c r="I591" s="25">
        <f t="shared" ca="1" si="19"/>
        <v>94</v>
      </c>
      <c r="J591" s="25" t="str">
        <f>VLOOKUP(F591,地区表!$D$2:$E$18,2,FALSE)</f>
        <v>办公用品</v>
      </c>
      <c r="K591" s="38" t="str">
        <f>VLOOKUP(E591,地区表!$A$2:$C$255,3,FALSE)</f>
        <v>西南</v>
      </c>
    </row>
    <row r="592" spans="1:11" ht="15.6">
      <c r="A592" s="28" t="s">
        <v>561</v>
      </c>
      <c r="B592" s="29">
        <v>44219.166764171001</v>
      </c>
      <c r="C592" s="29">
        <v>44224.054225516003</v>
      </c>
      <c r="D592" s="28" t="s">
        <v>98</v>
      </c>
      <c r="E592" s="28" t="s">
        <v>562</v>
      </c>
      <c r="F592" s="28" t="s">
        <v>109</v>
      </c>
      <c r="G592" s="28">
        <f t="shared" ca="1" si="18"/>
        <v>93</v>
      </c>
      <c r="H592" s="28">
        <v>4</v>
      </c>
      <c r="I592" s="25">
        <f t="shared" ca="1" si="19"/>
        <v>372</v>
      </c>
      <c r="J592" s="25" t="str">
        <f>VLOOKUP(F592,地区表!$D$2:$E$18,2,FALSE)</f>
        <v>技术</v>
      </c>
      <c r="K592" s="38" t="str">
        <f>VLOOKUP(E592,地区表!$A$2:$C$255,3,FALSE)</f>
        <v>西南</v>
      </c>
    </row>
    <row r="593" spans="1:11" ht="15.6">
      <c r="A593" s="28" t="s">
        <v>561</v>
      </c>
      <c r="B593" s="29">
        <v>44219.187481504399</v>
      </c>
      <c r="C593" s="29">
        <v>44224.435794508099</v>
      </c>
      <c r="D593" s="28" t="s">
        <v>98</v>
      </c>
      <c r="E593" s="28" t="s">
        <v>562</v>
      </c>
      <c r="F593" s="28" t="s">
        <v>110</v>
      </c>
      <c r="G593" s="28">
        <f t="shared" ca="1" si="18"/>
        <v>45</v>
      </c>
      <c r="H593" s="28">
        <v>1</v>
      </c>
      <c r="I593" s="25">
        <f t="shared" ca="1" si="19"/>
        <v>45</v>
      </c>
      <c r="J593" s="25" t="str">
        <f>VLOOKUP(F593,地区表!$D$2:$E$18,2,FALSE)</f>
        <v>家具</v>
      </c>
      <c r="K593" s="38" t="str">
        <f>VLOOKUP(E593,地区表!$A$2:$C$255,3,FALSE)</f>
        <v>西南</v>
      </c>
    </row>
    <row r="594" spans="1:11" ht="15.6">
      <c r="A594" s="28" t="s">
        <v>561</v>
      </c>
      <c r="B594" s="29">
        <v>44219.1295160031</v>
      </c>
      <c r="C594" s="29">
        <v>44224.585302784297</v>
      </c>
      <c r="D594" s="28" t="s">
        <v>98</v>
      </c>
      <c r="E594" s="28" t="s">
        <v>562</v>
      </c>
      <c r="F594" s="28" t="s">
        <v>101</v>
      </c>
      <c r="G594" s="28">
        <f t="shared" ca="1" si="18"/>
        <v>76</v>
      </c>
      <c r="H594" s="28">
        <v>3</v>
      </c>
      <c r="I594" s="25">
        <f t="shared" ca="1" si="19"/>
        <v>228</v>
      </c>
      <c r="J594" s="25" t="str">
        <f>VLOOKUP(F594,地区表!$D$2:$E$18,2,FALSE)</f>
        <v>办公用品</v>
      </c>
      <c r="K594" s="38" t="str">
        <f>VLOOKUP(E594,地区表!$A$2:$C$255,3,FALSE)</f>
        <v>西南</v>
      </c>
    </row>
    <row r="595" spans="1:11" ht="15.6">
      <c r="A595" s="28" t="s">
        <v>561</v>
      </c>
      <c r="B595" s="29">
        <v>44219.119840663399</v>
      </c>
      <c r="C595" s="29">
        <v>44224.073154282501</v>
      </c>
      <c r="D595" s="28" t="s">
        <v>98</v>
      </c>
      <c r="E595" s="28" t="s">
        <v>562</v>
      </c>
      <c r="F595" s="28" t="s">
        <v>122</v>
      </c>
      <c r="G595" s="28">
        <f t="shared" ca="1" si="18"/>
        <v>13</v>
      </c>
      <c r="H595" s="28">
        <v>3</v>
      </c>
      <c r="I595" s="25">
        <f t="shared" ca="1" si="19"/>
        <v>39</v>
      </c>
      <c r="J595" s="25" t="str">
        <f>VLOOKUP(F595,地区表!$D$2:$E$18,2,FALSE)</f>
        <v>技术</v>
      </c>
      <c r="K595" s="38" t="str">
        <f>VLOOKUP(E595,地区表!$A$2:$C$255,3,FALSE)</f>
        <v>西南</v>
      </c>
    </row>
    <row r="596" spans="1:11" ht="15.6">
      <c r="A596" s="28" t="s">
        <v>563</v>
      </c>
      <c r="B596" s="29">
        <v>44493.379289550903</v>
      </c>
      <c r="C596" s="29">
        <v>44494.149711549697</v>
      </c>
      <c r="D596" s="28" t="s">
        <v>98</v>
      </c>
      <c r="E596" s="28" t="s">
        <v>564</v>
      </c>
      <c r="F596" s="28" t="s">
        <v>100</v>
      </c>
      <c r="G596" s="28">
        <f t="shared" ca="1" si="18"/>
        <v>80</v>
      </c>
      <c r="H596" s="28">
        <v>3</v>
      </c>
      <c r="I596" s="25">
        <f t="shared" ca="1" si="19"/>
        <v>240</v>
      </c>
      <c r="J596" s="25" t="str">
        <f>VLOOKUP(F596,地区表!$D$2:$E$18,2,FALSE)</f>
        <v>办公用品</v>
      </c>
      <c r="K596" s="38" t="str">
        <f>VLOOKUP(E596,地区表!$A$2:$C$255,3,FALSE)</f>
        <v>西南</v>
      </c>
    </row>
    <row r="597" spans="1:11" ht="15.6">
      <c r="A597" s="28" t="s">
        <v>563</v>
      </c>
      <c r="B597" s="29">
        <v>44493.111099000802</v>
      </c>
      <c r="C597" s="29">
        <v>44494.5433169354</v>
      </c>
      <c r="D597" s="28" t="s">
        <v>98</v>
      </c>
      <c r="E597" s="28" t="s">
        <v>564</v>
      </c>
      <c r="F597" s="28" t="s">
        <v>121</v>
      </c>
      <c r="G597" s="28">
        <f t="shared" ca="1" si="18"/>
        <v>93</v>
      </c>
      <c r="H597" s="28">
        <v>2</v>
      </c>
      <c r="I597" s="25">
        <f t="shared" ca="1" si="19"/>
        <v>186</v>
      </c>
      <c r="J597" s="25" t="str">
        <f>VLOOKUP(F597,地区表!$D$2:$E$18,2,FALSE)</f>
        <v>技术</v>
      </c>
      <c r="K597" s="38" t="str">
        <f>VLOOKUP(E597,地区表!$A$2:$C$255,3,FALSE)</f>
        <v>西南</v>
      </c>
    </row>
    <row r="598" spans="1:11" ht="15.6">
      <c r="A598" s="28" t="s">
        <v>563</v>
      </c>
      <c r="B598" s="29">
        <v>44493.312434255298</v>
      </c>
      <c r="C598" s="29">
        <v>44494.496068532302</v>
      </c>
      <c r="D598" s="28" t="s">
        <v>98</v>
      </c>
      <c r="E598" s="28" t="s">
        <v>564</v>
      </c>
      <c r="F598" s="28" t="s">
        <v>125</v>
      </c>
      <c r="G598" s="28">
        <f t="shared" ca="1" si="18"/>
        <v>13</v>
      </c>
      <c r="H598" s="28">
        <v>2</v>
      </c>
      <c r="I598" s="25">
        <f t="shared" ca="1" si="19"/>
        <v>26</v>
      </c>
      <c r="J598" s="25" t="str">
        <f>VLOOKUP(F598,地区表!$D$2:$E$18,2,FALSE)</f>
        <v>办公用品</v>
      </c>
      <c r="K598" s="38" t="str">
        <f>VLOOKUP(E598,地区表!$A$2:$C$255,3,FALSE)</f>
        <v>西南</v>
      </c>
    </row>
    <row r="599" spans="1:11" ht="15.6">
      <c r="A599" s="28" t="s">
        <v>563</v>
      </c>
      <c r="B599" s="29">
        <v>44493.1773570679</v>
      </c>
      <c r="C599" s="29">
        <v>44494.854962945501</v>
      </c>
      <c r="D599" s="28" t="s">
        <v>98</v>
      </c>
      <c r="E599" s="28" t="s">
        <v>564</v>
      </c>
      <c r="F599" s="28" t="s">
        <v>122</v>
      </c>
      <c r="G599" s="28">
        <f t="shared" ca="1" si="18"/>
        <v>52</v>
      </c>
      <c r="H599" s="28">
        <v>3</v>
      </c>
      <c r="I599" s="25">
        <f t="shared" ca="1" si="19"/>
        <v>156</v>
      </c>
      <c r="J599" s="25" t="str">
        <f>VLOOKUP(F599,地区表!$D$2:$E$18,2,FALSE)</f>
        <v>技术</v>
      </c>
      <c r="K599" s="38" t="str">
        <f>VLOOKUP(E599,地区表!$A$2:$C$255,3,FALSE)</f>
        <v>西南</v>
      </c>
    </row>
    <row r="600" spans="1:11" ht="15.6">
      <c r="A600" s="28" t="s">
        <v>565</v>
      </c>
      <c r="B600" s="29">
        <v>44653.607911897998</v>
      </c>
      <c r="C600" s="29">
        <v>44657.872130992</v>
      </c>
      <c r="D600" s="28" t="s">
        <v>94</v>
      </c>
      <c r="E600" s="28" t="s">
        <v>181</v>
      </c>
      <c r="F600" s="28" t="s">
        <v>112</v>
      </c>
      <c r="G600" s="28">
        <f t="shared" ca="1" si="18"/>
        <v>56</v>
      </c>
      <c r="H600" s="28">
        <v>6</v>
      </c>
      <c r="I600" s="25">
        <f t="shared" ca="1" si="19"/>
        <v>336</v>
      </c>
      <c r="J600" s="25" t="str">
        <f>VLOOKUP(F600,地区表!$D$2:$E$18,2,FALSE)</f>
        <v>办公用品</v>
      </c>
      <c r="K600" s="38" t="str">
        <f>VLOOKUP(E600,地区表!$A$2:$C$255,3,FALSE)</f>
        <v>华北</v>
      </c>
    </row>
    <row r="601" spans="1:11" ht="15.6">
      <c r="A601" s="28" t="s">
        <v>565</v>
      </c>
      <c r="B601" s="29">
        <v>44653.046505159698</v>
      </c>
      <c r="C601" s="29">
        <v>44657.833644255101</v>
      </c>
      <c r="D601" s="28" t="s">
        <v>94</v>
      </c>
      <c r="E601" s="28" t="s">
        <v>181</v>
      </c>
      <c r="F601" s="28" t="s">
        <v>101</v>
      </c>
      <c r="G601" s="28">
        <f t="shared" ca="1" si="18"/>
        <v>69</v>
      </c>
      <c r="H601" s="28">
        <v>2</v>
      </c>
      <c r="I601" s="25">
        <f t="shared" ca="1" si="19"/>
        <v>138</v>
      </c>
      <c r="J601" s="25" t="str">
        <f>VLOOKUP(F601,地区表!$D$2:$E$18,2,FALSE)</f>
        <v>办公用品</v>
      </c>
      <c r="K601" s="38" t="str">
        <f>VLOOKUP(E601,地区表!$A$2:$C$255,3,FALSE)</f>
        <v>华北</v>
      </c>
    </row>
    <row r="602" spans="1:11" ht="15.6">
      <c r="A602" s="28" t="s">
        <v>566</v>
      </c>
      <c r="B602" s="29">
        <v>44497.519401533602</v>
      </c>
      <c r="C602" s="29">
        <v>44502.225152864397</v>
      </c>
      <c r="D602" s="28" t="s">
        <v>98</v>
      </c>
      <c r="E602" s="28" t="s">
        <v>277</v>
      </c>
      <c r="F602" s="28" t="s">
        <v>106</v>
      </c>
      <c r="G602" s="28">
        <f t="shared" ca="1" si="18"/>
        <v>27</v>
      </c>
      <c r="H602" s="28">
        <v>3</v>
      </c>
      <c r="I602" s="25">
        <f t="shared" ca="1" si="19"/>
        <v>81</v>
      </c>
      <c r="J602" s="25" t="str">
        <f>VLOOKUP(F602,地区表!$D$2:$E$18,2,FALSE)</f>
        <v>办公用品</v>
      </c>
      <c r="K602" s="38" t="str">
        <f>VLOOKUP(E602,地区表!$A$2:$C$255,3,FALSE)</f>
        <v>东北</v>
      </c>
    </row>
    <row r="603" spans="1:11" ht="15.6">
      <c r="A603" s="28" t="s">
        <v>566</v>
      </c>
      <c r="B603" s="29">
        <v>44497.217875410402</v>
      </c>
      <c r="C603" s="29">
        <v>44502.809797552698</v>
      </c>
      <c r="D603" s="28" t="s">
        <v>98</v>
      </c>
      <c r="E603" s="28" t="s">
        <v>277</v>
      </c>
      <c r="F603" s="28" t="s">
        <v>110</v>
      </c>
      <c r="G603" s="28">
        <f t="shared" ca="1" si="18"/>
        <v>42</v>
      </c>
      <c r="H603" s="28">
        <v>6</v>
      </c>
      <c r="I603" s="25">
        <f t="shared" ca="1" si="19"/>
        <v>252</v>
      </c>
      <c r="J603" s="25" t="str">
        <f>VLOOKUP(F603,地区表!$D$2:$E$18,2,FALSE)</f>
        <v>家具</v>
      </c>
      <c r="K603" s="38" t="str">
        <f>VLOOKUP(E603,地区表!$A$2:$C$255,3,FALSE)</f>
        <v>东北</v>
      </c>
    </row>
    <row r="604" spans="1:11" ht="15.6">
      <c r="A604" s="28" t="s">
        <v>567</v>
      </c>
      <c r="B604" s="29">
        <v>45067.258004383497</v>
      </c>
      <c r="C604" s="29">
        <v>45070.168559049504</v>
      </c>
      <c r="D604" s="28" t="s">
        <v>98</v>
      </c>
      <c r="E604" s="28" t="s">
        <v>568</v>
      </c>
      <c r="F604" s="28" t="s">
        <v>121</v>
      </c>
      <c r="G604" s="28">
        <f t="shared" ca="1" si="18"/>
        <v>28</v>
      </c>
      <c r="H604" s="28">
        <v>5</v>
      </c>
      <c r="I604" s="25">
        <f t="shared" ca="1" si="19"/>
        <v>140</v>
      </c>
      <c r="J604" s="25" t="str">
        <f>VLOOKUP(F604,地区表!$D$2:$E$18,2,FALSE)</f>
        <v>技术</v>
      </c>
      <c r="K604" s="38" t="str">
        <f>VLOOKUP(E604,地区表!$A$2:$C$255,3,FALSE)</f>
        <v>华东</v>
      </c>
    </row>
    <row r="605" spans="1:11" ht="15.6">
      <c r="A605" s="28" t="s">
        <v>567</v>
      </c>
      <c r="B605" s="29">
        <v>45067.193517932203</v>
      </c>
      <c r="C605" s="29">
        <v>45070.314994515997</v>
      </c>
      <c r="D605" s="28" t="s">
        <v>98</v>
      </c>
      <c r="E605" s="28" t="s">
        <v>568</v>
      </c>
      <c r="F605" s="28" t="s">
        <v>131</v>
      </c>
      <c r="G605" s="28">
        <f t="shared" ca="1" si="18"/>
        <v>35</v>
      </c>
      <c r="H605" s="28">
        <v>3</v>
      </c>
      <c r="I605" s="25">
        <f t="shared" ca="1" si="19"/>
        <v>105</v>
      </c>
      <c r="J605" s="25" t="str">
        <f>VLOOKUP(F605,地区表!$D$2:$E$18,2,FALSE)</f>
        <v>家具</v>
      </c>
      <c r="K605" s="38" t="str">
        <f>VLOOKUP(E605,地区表!$A$2:$C$255,3,FALSE)</f>
        <v>华东</v>
      </c>
    </row>
    <row r="606" spans="1:11" ht="15.6">
      <c r="A606" s="28" t="s">
        <v>569</v>
      </c>
      <c r="B606" s="29">
        <v>44469.229904455598</v>
      </c>
      <c r="C606" s="29">
        <v>44471.499125928698</v>
      </c>
      <c r="D606" s="28" t="s">
        <v>98</v>
      </c>
      <c r="E606" s="28" t="s">
        <v>302</v>
      </c>
      <c r="F606" s="28" t="s">
        <v>135</v>
      </c>
      <c r="G606" s="28">
        <f t="shared" ca="1" si="18"/>
        <v>51</v>
      </c>
      <c r="H606" s="28">
        <v>1</v>
      </c>
      <c r="I606" s="25">
        <f t="shared" ca="1" si="19"/>
        <v>51</v>
      </c>
      <c r="J606" s="25" t="str">
        <f>VLOOKUP(F606,地区表!$D$2:$E$18,2,FALSE)</f>
        <v>办公用品</v>
      </c>
      <c r="K606" s="38" t="str">
        <f>VLOOKUP(E606,地区表!$A$2:$C$255,3,FALSE)</f>
        <v>华东</v>
      </c>
    </row>
    <row r="607" spans="1:11" ht="15.6">
      <c r="A607" s="28" t="s">
        <v>569</v>
      </c>
      <c r="B607" s="29">
        <v>44469.341508637597</v>
      </c>
      <c r="C607" s="29">
        <v>44471.907168580401</v>
      </c>
      <c r="D607" s="28" t="s">
        <v>98</v>
      </c>
      <c r="E607" s="28" t="s">
        <v>302</v>
      </c>
      <c r="F607" s="28" t="s">
        <v>96</v>
      </c>
      <c r="G607" s="28">
        <f t="shared" ca="1" si="18"/>
        <v>89</v>
      </c>
      <c r="H607" s="28">
        <v>5</v>
      </c>
      <c r="I607" s="25">
        <f t="shared" ca="1" si="19"/>
        <v>445</v>
      </c>
      <c r="J607" s="25" t="str">
        <f>VLOOKUP(F607,地区表!$D$2:$E$18,2,FALSE)</f>
        <v>办公用品</v>
      </c>
      <c r="K607" s="38" t="str">
        <f>VLOOKUP(E607,地区表!$A$2:$C$255,3,FALSE)</f>
        <v>华东</v>
      </c>
    </row>
    <row r="608" spans="1:11" ht="15.6">
      <c r="A608" s="28" t="s">
        <v>570</v>
      </c>
      <c r="B608" s="29">
        <v>44495.8539558259</v>
      </c>
      <c r="C608" s="29">
        <v>44499.2712655016</v>
      </c>
      <c r="D608" s="28" t="s">
        <v>98</v>
      </c>
      <c r="E608" s="28" t="s">
        <v>571</v>
      </c>
      <c r="F608" s="28" t="s">
        <v>110</v>
      </c>
      <c r="G608" s="28">
        <f t="shared" ca="1" si="18"/>
        <v>57</v>
      </c>
      <c r="H608" s="28">
        <v>8</v>
      </c>
      <c r="I608" s="25">
        <f t="shared" ca="1" si="19"/>
        <v>456</v>
      </c>
      <c r="J608" s="25" t="str">
        <f>VLOOKUP(F608,地区表!$D$2:$E$18,2,FALSE)</f>
        <v>家具</v>
      </c>
      <c r="K608" s="38" t="str">
        <f>VLOOKUP(E608,地区表!$A$2:$C$255,3,FALSE)</f>
        <v>华东</v>
      </c>
    </row>
    <row r="609" spans="1:11" ht="15.6">
      <c r="A609" s="28" t="s">
        <v>570</v>
      </c>
      <c r="B609" s="29">
        <v>44495.766597716298</v>
      </c>
      <c r="C609" s="29">
        <v>44499.2256790233</v>
      </c>
      <c r="D609" s="28" t="s">
        <v>98</v>
      </c>
      <c r="E609" s="28" t="s">
        <v>571</v>
      </c>
      <c r="F609" s="28" t="s">
        <v>101</v>
      </c>
      <c r="G609" s="28">
        <f t="shared" ca="1" si="18"/>
        <v>81</v>
      </c>
      <c r="H609" s="28">
        <v>5</v>
      </c>
      <c r="I609" s="25">
        <f t="shared" ca="1" si="19"/>
        <v>405</v>
      </c>
      <c r="J609" s="25" t="str">
        <f>VLOOKUP(F609,地区表!$D$2:$E$18,2,FALSE)</f>
        <v>办公用品</v>
      </c>
      <c r="K609" s="38" t="str">
        <f>VLOOKUP(E609,地区表!$A$2:$C$255,3,FALSE)</f>
        <v>华东</v>
      </c>
    </row>
    <row r="610" spans="1:11" ht="15.6">
      <c r="A610" s="28" t="s">
        <v>570</v>
      </c>
      <c r="B610" s="29">
        <v>44495.561988229201</v>
      </c>
      <c r="C610" s="29">
        <v>44499.743944703499</v>
      </c>
      <c r="D610" s="28" t="s">
        <v>98</v>
      </c>
      <c r="E610" s="28" t="s">
        <v>571</v>
      </c>
      <c r="F610" s="28" t="s">
        <v>121</v>
      </c>
      <c r="G610" s="28">
        <f t="shared" ca="1" si="18"/>
        <v>53</v>
      </c>
      <c r="H610" s="28">
        <v>4</v>
      </c>
      <c r="I610" s="25">
        <f t="shared" ca="1" si="19"/>
        <v>212</v>
      </c>
      <c r="J610" s="25" t="str">
        <f>VLOOKUP(F610,地区表!$D$2:$E$18,2,FALSE)</f>
        <v>技术</v>
      </c>
      <c r="K610" s="38" t="str">
        <f>VLOOKUP(E610,地区表!$A$2:$C$255,3,FALSE)</f>
        <v>华东</v>
      </c>
    </row>
    <row r="611" spans="1:11" ht="15.6">
      <c r="A611" s="28" t="s">
        <v>570</v>
      </c>
      <c r="B611" s="29">
        <v>44495.108023578803</v>
      </c>
      <c r="C611" s="29">
        <v>44499.1707253766</v>
      </c>
      <c r="D611" s="28" t="s">
        <v>98</v>
      </c>
      <c r="E611" s="28" t="s">
        <v>571</v>
      </c>
      <c r="F611" s="28" t="s">
        <v>111</v>
      </c>
      <c r="G611" s="28">
        <f t="shared" ca="1" si="18"/>
        <v>89</v>
      </c>
      <c r="H611" s="28">
        <v>3</v>
      </c>
      <c r="I611" s="25">
        <f t="shared" ca="1" si="19"/>
        <v>267</v>
      </c>
      <c r="J611" s="25" t="str">
        <f>VLOOKUP(F611,地区表!$D$2:$E$18,2,FALSE)</f>
        <v>办公用品</v>
      </c>
      <c r="K611" s="38" t="str">
        <f>VLOOKUP(E611,地区表!$A$2:$C$255,3,FALSE)</f>
        <v>华东</v>
      </c>
    </row>
    <row r="612" spans="1:11" ht="15.6">
      <c r="A612" s="28" t="s">
        <v>572</v>
      </c>
      <c r="B612" s="29">
        <v>44571.8271667382</v>
      </c>
      <c r="C612" s="29">
        <v>44571.289729561599</v>
      </c>
      <c r="D612" s="28" t="s">
        <v>98</v>
      </c>
      <c r="E612" s="28" t="s">
        <v>573</v>
      </c>
      <c r="F612" s="28" t="s">
        <v>101</v>
      </c>
      <c r="G612" s="28">
        <f t="shared" ca="1" si="18"/>
        <v>60</v>
      </c>
      <c r="H612" s="28">
        <v>2</v>
      </c>
      <c r="I612" s="25">
        <f t="shared" ca="1" si="19"/>
        <v>120</v>
      </c>
      <c r="J612" s="25" t="str">
        <f>VLOOKUP(F612,地区表!$D$2:$E$18,2,FALSE)</f>
        <v>办公用品</v>
      </c>
      <c r="K612" s="38" t="str">
        <f>VLOOKUP(E612,地区表!$A$2:$C$255,3,FALSE)</f>
        <v>中南</v>
      </c>
    </row>
    <row r="613" spans="1:11" ht="15.6">
      <c r="A613" s="28" t="s">
        <v>572</v>
      </c>
      <c r="B613" s="29">
        <v>44571.7942332975</v>
      </c>
      <c r="C613" s="29">
        <v>44571.931941874398</v>
      </c>
      <c r="D613" s="28" t="s">
        <v>98</v>
      </c>
      <c r="E613" s="28" t="s">
        <v>573</v>
      </c>
      <c r="F613" s="28" t="s">
        <v>101</v>
      </c>
      <c r="G613" s="28">
        <f t="shared" ca="1" si="18"/>
        <v>40</v>
      </c>
      <c r="H613" s="28">
        <v>4</v>
      </c>
      <c r="I613" s="25">
        <f t="shared" ca="1" si="19"/>
        <v>160</v>
      </c>
      <c r="J613" s="25" t="str">
        <f>VLOOKUP(F613,地区表!$D$2:$E$18,2,FALSE)</f>
        <v>办公用品</v>
      </c>
      <c r="K613" s="38" t="str">
        <f>VLOOKUP(E613,地区表!$A$2:$C$255,3,FALSE)</f>
        <v>中南</v>
      </c>
    </row>
    <row r="614" spans="1:11" ht="15.6">
      <c r="A614" s="28" t="s">
        <v>572</v>
      </c>
      <c r="B614" s="29">
        <v>44571.160587863298</v>
      </c>
      <c r="C614" s="29">
        <v>44571.951786160003</v>
      </c>
      <c r="D614" s="28" t="s">
        <v>98</v>
      </c>
      <c r="E614" s="28" t="s">
        <v>573</v>
      </c>
      <c r="F614" s="28" t="s">
        <v>112</v>
      </c>
      <c r="G614" s="28">
        <f t="shared" ca="1" si="18"/>
        <v>100</v>
      </c>
      <c r="H614" s="28">
        <v>4</v>
      </c>
      <c r="I614" s="25">
        <f t="shared" ca="1" si="19"/>
        <v>400</v>
      </c>
      <c r="J614" s="25" t="str">
        <f>VLOOKUP(F614,地区表!$D$2:$E$18,2,FALSE)</f>
        <v>办公用品</v>
      </c>
      <c r="K614" s="38" t="str">
        <f>VLOOKUP(E614,地区表!$A$2:$C$255,3,FALSE)</f>
        <v>中南</v>
      </c>
    </row>
    <row r="615" spans="1:11" ht="15.6">
      <c r="A615" s="28" t="s">
        <v>572</v>
      </c>
      <c r="B615" s="29">
        <v>44571.1524391727</v>
      </c>
      <c r="C615" s="29">
        <v>44571.849772119102</v>
      </c>
      <c r="D615" s="28" t="s">
        <v>98</v>
      </c>
      <c r="E615" s="28" t="s">
        <v>573</v>
      </c>
      <c r="F615" s="28" t="s">
        <v>106</v>
      </c>
      <c r="G615" s="28">
        <f t="shared" ca="1" si="18"/>
        <v>24</v>
      </c>
      <c r="H615" s="28">
        <v>4</v>
      </c>
      <c r="I615" s="25">
        <f t="shared" ca="1" si="19"/>
        <v>96</v>
      </c>
      <c r="J615" s="25" t="str">
        <f>VLOOKUP(F615,地区表!$D$2:$E$18,2,FALSE)</f>
        <v>办公用品</v>
      </c>
      <c r="K615" s="38" t="str">
        <f>VLOOKUP(E615,地区表!$A$2:$C$255,3,FALSE)</f>
        <v>中南</v>
      </c>
    </row>
    <row r="616" spans="1:11" ht="15.6">
      <c r="A616" s="28" t="s">
        <v>574</v>
      </c>
      <c r="B616" s="29">
        <v>45225.640809950601</v>
      </c>
      <c r="C616" s="29">
        <v>45231.086037086803</v>
      </c>
      <c r="D616" s="28" t="s">
        <v>98</v>
      </c>
      <c r="E616" s="28" t="s">
        <v>575</v>
      </c>
      <c r="F616" s="28" t="s">
        <v>101</v>
      </c>
      <c r="G616" s="28">
        <f t="shared" ca="1" si="18"/>
        <v>12</v>
      </c>
      <c r="H616" s="28">
        <v>9</v>
      </c>
      <c r="I616" s="25">
        <f t="shared" ca="1" si="19"/>
        <v>108</v>
      </c>
      <c r="J616" s="25" t="str">
        <f>VLOOKUP(F616,地区表!$D$2:$E$18,2,FALSE)</f>
        <v>办公用品</v>
      </c>
      <c r="K616" s="38" t="str">
        <f>VLOOKUP(E616,地区表!$A$2:$C$255,3,FALSE)</f>
        <v>中南</v>
      </c>
    </row>
    <row r="617" spans="1:11" ht="15.6">
      <c r="A617" s="28" t="s">
        <v>576</v>
      </c>
      <c r="B617" s="29">
        <v>45004.325532192102</v>
      </c>
      <c r="C617" s="29">
        <v>45011.868470100701</v>
      </c>
      <c r="D617" s="28" t="s">
        <v>98</v>
      </c>
      <c r="E617" s="28" t="s">
        <v>533</v>
      </c>
      <c r="F617" s="28" t="s">
        <v>144</v>
      </c>
      <c r="G617" s="28">
        <f t="shared" ca="1" si="18"/>
        <v>44</v>
      </c>
      <c r="H617" s="28">
        <v>3</v>
      </c>
      <c r="I617" s="25">
        <f t="shared" ca="1" si="19"/>
        <v>132</v>
      </c>
      <c r="J617" s="25" t="str">
        <f>VLOOKUP(F617,地区表!$D$2:$E$18,2,FALSE)</f>
        <v>家具</v>
      </c>
      <c r="K617" s="38" t="str">
        <f>VLOOKUP(E617,地区表!$A$2:$C$255,3,FALSE)</f>
        <v>华东</v>
      </c>
    </row>
    <row r="618" spans="1:11" ht="15.6">
      <c r="A618" s="28" t="s">
        <v>577</v>
      </c>
      <c r="B618" s="29">
        <v>44587.106582423599</v>
      </c>
      <c r="C618" s="29">
        <v>44589.535191348303</v>
      </c>
      <c r="D618" s="28" t="s">
        <v>94</v>
      </c>
      <c r="E618" s="28" t="s">
        <v>134</v>
      </c>
      <c r="F618" s="28" t="s">
        <v>96</v>
      </c>
      <c r="G618" s="28">
        <f t="shared" ca="1" si="18"/>
        <v>16</v>
      </c>
      <c r="H618" s="28">
        <v>6</v>
      </c>
      <c r="I618" s="25">
        <f t="shared" ca="1" si="19"/>
        <v>96</v>
      </c>
      <c r="J618" s="25" t="str">
        <f>VLOOKUP(F618,地区表!$D$2:$E$18,2,FALSE)</f>
        <v>办公用品</v>
      </c>
      <c r="K618" s="38" t="str">
        <f>VLOOKUP(E618,地区表!$A$2:$C$255,3,FALSE)</f>
        <v>华北</v>
      </c>
    </row>
    <row r="619" spans="1:11" ht="15.6">
      <c r="A619" s="28" t="s">
        <v>577</v>
      </c>
      <c r="B619" s="29">
        <v>44587.175232887501</v>
      </c>
      <c r="C619" s="29">
        <v>44589.213986242197</v>
      </c>
      <c r="D619" s="28" t="s">
        <v>94</v>
      </c>
      <c r="E619" s="28" t="s">
        <v>134</v>
      </c>
      <c r="F619" s="28" t="s">
        <v>111</v>
      </c>
      <c r="G619" s="28">
        <f t="shared" ca="1" si="18"/>
        <v>74</v>
      </c>
      <c r="H619" s="28">
        <v>2</v>
      </c>
      <c r="I619" s="25">
        <f t="shared" ca="1" si="19"/>
        <v>148</v>
      </c>
      <c r="J619" s="25" t="str">
        <f>VLOOKUP(F619,地区表!$D$2:$E$18,2,FALSE)</f>
        <v>办公用品</v>
      </c>
      <c r="K619" s="38" t="str">
        <f>VLOOKUP(E619,地区表!$A$2:$C$255,3,FALSE)</f>
        <v>华北</v>
      </c>
    </row>
    <row r="620" spans="1:11" ht="15.6">
      <c r="A620" s="28" t="s">
        <v>577</v>
      </c>
      <c r="B620" s="29">
        <v>44587.027422207299</v>
      </c>
      <c r="C620" s="29">
        <v>44589.287563349797</v>
      </c>
      <c r="D620" s="28" t="s">
        <v>94</v>
      </c>
      <c r="E620" s="28" t="s">
        <v>134</v>
      </c>
      <c r="F620" s="28" t="s">
        <v>130</v>
      </c>
      <c r="G620" s="28">
        <f t="shared" ca="1" si="18"/>
        <v>96</v>
      </c>
      <c r="H620" s="28">
        <v>2</v>
      </c>
      <c r="I620" s="25">
        <f t="shared" ca="1" si="19"/>
        <v>192</v>
      </c>
      <c r="J620" s="25" t="str">
        <f>VLOOKUP(F620,地区表!$D$2:$E$18,2,FALSE)</f>
        <v>家具</v>
      </c>
      <c r="K620" s="38" t="str">
        <f>VLOOKUP(E620,地区表!$A$2:$C$255,3,FALSE)</f>
        <v>华北</v>
      </c>
    </row>
    <row r="621" spans="1:11" ht="15.6">
      <c r="A621" s="28" t="s">
        <v>577</v>
      </c>
      <c r="B621" s="29">
        <v>44587.623992503803</v>
      </c>
      <c r="C621" s="29">
        <v>44589.3122106421</v>
      </c>
      <c r="D621" s="28" t="s">
        <v>94</v>
      </c>
      <c r="E621" s="28" t="s">
        <v>134</v>
      </c>
      <c r="F621" s="28" t="s">
        <v>111</v>
      </c>
      <c r="G621" s="28">
        <f t="shared" ca="1" si="18"/>
        <v>27</v>
      </c>
      <c r="H621" s="28">
        <v>3</v>
      </c>
      <c r="I621" s="25">
        <f t="shared" ca="1" si="19"/>
        <v>81</v>
      </c>
      <c r="J621" s="25" t="str">
        <f>VLOOKUP(F621,地区表!$D$2:$E$18,2,FALSE)</f>
        <v>办公用品</v>
      </c>
      <c r="K621" s="38" t="str">
        <f>VLOOKUP(E621,地区表!$A$2:$C$255,3,FALSE)</f>
        <v>华北</v>
      </c>
    </row>
    <row r="622" spans="1:11" ht="15.6">
      <c r="A622" s="28" t="s">
        <v>578</v>
      </c>
      <c r="B622" s="29">
        <v>45265.286151333297</v>
      </c>
      <c r="C622" s="29">
        <v>45271.158656523803</v>
      </c>
      <c r="D622" s="28" t="s">
        <v>94</v>
      </c>
      <c r="E622" s="28" t="s">
        <v>286</v>
      </c>
      <c r="F622" s="28" t="s">
        <v>135</v>
      </c>
      <c r="G622" s="28">
        <f t="shared" ca="1" si="18"/>
        <v>90</v>
      </c>
      <c r="H622" s="28">
        <v>3</v>
      </c>
      <c r="I622" s="25">
        <f t="shared" ca="1" si="19"/>
        <v>270</v>
      </c>
      <c r="J622" s="25" t="str">
        <f>VLOOKUP(F622,地区表!$D$2:$E$18,2,FALSE)</f>
        <v>办公用品</v>
      </c>
      <c r="K622" s="38" t="str">
        <f>VLOOKUP(E622,地区表!$A$2:$C$255,3,FALSE)</f>
        <v>华北</v>
      </c>
    </row>
    <row r="623" spans="1:11" ht="15.6">
      <c r="A623" s="28" t="s">
        <v>578</v>
      </c>
      <c r="B623" s="29">
        <v>45265.062101301002</v>
      </c>
      <c r="C623" s="29">
        <v>45271.986714178704</v>
      </c>
      <c r="D623" s="28" t="s">
        <v>94</v>
      </c>
      <c r="E623" s="28" t="s">
        <v>286</v>
      </c>
      <c r="F623" s="28" t="s">
        <v>109</v>
      </c>
      <c r="G623" s="28">
        <f t="shared" ca="1" si="18"/>
        <v>69</v>
      </c>
      <c r="H623" s="28">
        <v>2</v>
      </c>
      <c r="I623" s="25">
        <f t="shared" ca="1" si="19"/>
        <v>138</v>
      </c>
      <c r="J623" s="25" t="str">
        <f>VLOOKUP(F623,地区表!$D$2:$E$18,2,FALSE)</f>
        <v>技术</v>
      </c>
      <c r="K623" s="38" t="str">
        <f>VLOOKUP(E623,地区表!$A$2:$C$255,3,FALSE)</f>
        <v>华北</v>
      </c>
    </row>
    <row r="624" spans="1:11" ht="15.6">
      <c r="A624" s="28" t="s">
        <v>578</v>
      </c>
      <c r="B624" s="29">
        <v>45265.574612767297</v>
      </c>
      <c r="C624" s="29">
        <v>45271.206519282197</v>
      </c>
      <c r="D624" s="28" t="s">
        <v>94</v>
      </c>
      <c r="E624" s="28" t="s">
        <v>286</v>
      </c>
      <c r="F624" s="28" t="s">
        <v>110</v>
      </c>
      <c r="G624" s="28">
        <f t="shared" ca="1" si="18"/>
        <v>78</v>
      </c>
      <c r="H624" s="28">
        <v>2</v>
      </c>
      <c r="I624" s="25">
        <f t="shared" ca="1" si="19"/>
        <v>156</v>
      </c>
      <c r="J624" s="25" t="str">
        <f>VLOOKUP(F624,地区表!$D$2:$E$18,2,FALSE)</f>
        <v>家具</v>
      </c>
      <c r="K624" s="38" t="str">
        <f>VLOOKUP(E624,地区表!$A$2:$C$255,3,FALSE)</f>
        <v>华北</v>
      </c>
    </row>
    <row r="625" spans="1:11" ht="15.6">
      <c r="A625" s="28" t="s">
        <v>579</v>
      </c>
      <c r="B625" s="29">
        <v>44210.154384226997</v>
      </c>
      <c r="C625" s="29">
        <v>44212.397117761</v>
      </c>
      <c r="D625" s="28" t="s">
        <v>98</v>
      </c>
      <c r="E625" s="28" t="s">
        <v>580</v>
      </c>
      <c r="F625" s="28" t="s">
        <v>121</v>
      </c>
      <c r="G625" s="28">
        <f t="shared" ca="1" si="18"/>
        <v>39</v>
      </c>
      <c r="H625" s="28">
        <v>4</v>
      </c>
      <c r="I625" s="25">
        <f t="shared" ca="1" si="19"/>
        <v>156</v>
      </c>
      <c r="J625" s="25" t="str">
        <f>VLOOKUP(F625,地区表!$D$2:$E$18,2,FALSE)</f>
        <v>技术</v>
      </c>
      <c r="K625" s="38" t="str">
        <f>VLOOKUP(E625,地区表!$A$2:$C$255,3,FALSE)</f>
        <v>华东</v>
      </c>
    </row>
    <row r="626" spans="1:11" ht="15.6">
      <c r="A626" s="28" t="s">
        <v>579</v>
      </c>
      <c r="B626" s="29">
        <v>44210.618432049501</v>
      </c>
      <c r="C626" s="29">
        <v>44212.968669755202</v>
      </c>
      <c r="D626" s="28" t="s">
        <v>98</v>
      </c>
      <c r="E626" s="28" t="s">
        <v>580</v>
      </c>
      <c r="F626" s="28" t="s">
        <v>100</v>
      </c>
      <c r="G626" s="28">
        <f t="shared" ca="1" si="18"/>
        <v>95</v>
      </c>
      <c r="H626" s="28">
        <v>3</v>
      </c>
      <c r="I626" s="25">
        <f t="shared" ca="1" si="19"/>
        <v>285</v>
      </c>
      <c r="J626" s="25" t="str">
        <f>VLOOKUP(F626,地区表!$D$2:$E$18,2,FALSE)</f>
        <v>办公用品</v>
      </c>
      <c r="K626" s="38" t="str">
        <f>VLOOKUP(E626,地区表!$A$2:$C$255,3,FALSE)</f>
        <v>华东</v>
      </c>
    </row>
    <row r="627" spans="1:11" ht="15.6">
      <c r="A627" s="28" t="s">
        <v>579</v>
      </c>
      <c r="B627" s="29">
        <v>44210.383485284503</v>
      </c>
      <c r="C627" s="29">
        <v>44212.373600300802</v>
      </c>
      <c r="D627" s="28" t="s">
        <v>98</v>
      </c>
      <c r="E627" s="28" t="s">
        <v>580</v>
      </c>
      <c r="F627" s="28" t="s">
        <v>141</v>
      </c>
      <c r="G627" s="28">
        <f t="shared" ca="1" si="18"/>
        <v>87</v>
      </c>
      <c r="H627" s="28">
        <v>8</v>
      </c>
      <c r="I627" s="25">
        <f t="shared" ca="1" si="19"/>
        <v>696</v>
      </c>
      <c r="J627" s="25" t="str">
        <f>VLOOKUP(F627,地区表!$D$2:$E$18,2,FALSE)</f>
        <v>办公用品</v>
      </c>
      <c r="K627" s="38" t="str">
        <f>VLOOKUP(E627,地区表!$A$2:$C$255,3,FALSE)</f>
        <v>华东</v>
      </c>
    </row>
    <row r="628" spans="1:11" ht="15.6">
      <c r="A628" s="28" t="s">
        <v>579</v>
      </c>
      <c r="B628" s="29">
        <v>44210.098152448903</v>
      </c>
      <c r="C628" s="29">
        <v>44212.354095773699</v>
      </c>
      <c r="D628" s="28" t="s">
        <v>98</v>
      </c>
      <c r="E628" s="28" t="s">
        <v>580</v>
      </c>
      <c r="F628" s="28" t="s">
        <v>111</v>
      </c>
      <c r="G628" s="28">
        <f t="shared" ca="1" si="18"/>
        <v>66</v>
      </c>
      <c r="H628" s="28">
        <v>5</v>
      </c>
      <c r="I628" s="25">
        <f t="shared" ca="1" si="19"/>
        <v>330</v>
      </c>
      <c r="J628" s="25" t="str">
        <f>VLOOKUP(F628,地区表!$D$2:$E$18,2,FALSE)</f>
        <v>办公用品</v>
      </c>
      <c r="K628" s="38" t="str">
        <f>VLOOKUP(E628,地区表!$A$2:$C$255,3,FALSE)</f>
        <v>华东</v>
      </c>
    </row>
    <row r="629" spans="1:11" ht="15.6">
      <c r="A629" s="28" t="s">
        <v>579</v>
      </c>
      <c r="B629" s="29">
        <v>44210.464296422397</v>
      </c>
      <c r="C629" s="29">
        <v>44212.404574139699</v>
      </c>
      <c r="D629" s="28" t="s">
        <v>98</v>
      </c>
      <c r="E629" s="28" t="s">
        <v>580</v>
      </c>
      <c r="F629" s="28" t="s">
        <v>109</v>
      </c>
      <c r="G629" s="28">
        <f t="shared" ca="1" si="18"/>
        <v>58</v>
      </c>
      <c r="H629" s="28">
        <v>2</v>
      </c>
      <c r="I629" s="25">
        <f t="shared" ca="1" si="19"/>
        <v>116</v>
      </c>
      <c r="J629" s="25" t="str">
        <f>VLOOKUP(F629,地区表!$D$2:$E$18,2,FALSE)</f>
        <v>技术</v>
      </c>
      <c r="K629" s="38" t="str">
        <f>VLOOKUP(E629,地区表!$A$2:$C$255,3,FALSE)</f>
        <v>华东</v>
      </c>
    </row>
    <row r="630" spans="1:11" ht="15.6">
      <c r="A630" s="28" t="s">
        <v>581</v>
      </c>
      <c r="B630" s="29">
        <v>44767.4137528746</v>
      </c>
      <c r="C630" s="29">
        <v>44773.483690033499</v>
      </c>
      <c r="D630" s="28" t="s">
        <v>94</v>
      </c>
      <c r="E630" s="28" t="s">
        <v>582</v>
      </c>
      <c r="F630" s="28" t="s">
        <v>109</v>
      </c>
      <c r="G630" s="28">
        <f t="shared" ca="1" si="18"/>
        <v>95</v>
      </c>
      <c r="H630" s="28">
        <v>4</v>
      </c>
      <c r="I630" s="25">
        <f t="shared" ca="1" si="19"/>
        <v>380</v>
      </c>
      <c r="J630" s="25" t="str">
        <f>VLOOKUP(F630,地区表!$D$2:$E$18,2,FALSE)</f>
        <v>技术</v>
      </c>
      <c r="K630" s="38" t="str">
        <f>VLOOKUP(E630,地区表!$A$2:$C$255,3,FALSE)</f>
        <v>西北</v>
      </c>
    </row>
    <row r="631" spans="1:11" ht="15.6">
      <c r="A631" s="28" t="s">
        <v>581</v>
      </c>
      <c r="B631" s="29">
        <v>44767.391486935601</v>
      </c>
      <c r="C631" s="29">
        <v>44773.146208694001</v>
      </c>
      <c r="D631" s="28" t="s">
        <v>94</v>
      </c>
      <c r="E631" s="28" t="s">
        <v>582</v>
      </c>
      <c r="F631" s="28" t="s">
        <v>111</v>
      </c>
      <c r="G631" s="28">
        <f t="shared" ca="1" si="18"/>
        <v>12</v>
      </c>
      <c r="H631" s="28">
        <v>3</v>
      </c>
      <c r="I631" s="25">
        <f t="shared" ca="1" si="19"/>
        <v>36</v>
      </c>
      <c r="J631" s="25" t="str">
        <f>VLOOKUP(F631,地区表!$D$2:$E$18,2,FALSE)</f>
        <v>办公用品</v>
      </c>
      <c r="K631" s="38" t="str">
        <f>VLOOKUP(E631,地区表!$A$2:$C$255,3,FALSE)</f>
        <v>西北</v>
      </c>
    </row>
    <row r="632" spans="1:11" ht="15.6">
      <c r="A632" s="28" t="s">
        <v>581</v>
      </c>
      <c r="B632" s="29">
        <v>44767.672478776301</v>
      </c>
      <c r="C632" s="29">
        <v>44773.940396618302</v>
      </c>
      <c r="D632" s="28" t="s">
        <v>94</v>
      </c>
      <c r="E632" s="28" t="s">
        <v>582</v>
      </c>
      <c r="F632" s="28" t="s">
        <v>111</v>
      </c>
      <c r="G632" s="28">
        <f t="shared" ca="1" si="18"/>
        <v>86</v>
      </c>
      <c r="H632" s="28">
        <v>2</v>
      </c>
      <c r="I632" s="25">
        <f t="shared" ca="1" si="19"/>
        <v>172</v>
      </c>
      <c r="J632" s="25" t="str">
        <f>VLOOKUP(F632,地区表!$D$2:$E$18,2,FALSE)</f>
        <v>办公用品</v>
      </c>
      <c r="K632" s="38" t="str">
        <f>VLOOKUP(E632,地区表!$A$2:$C$255,3,FALSE)</f>
        <v>西北</v>
      </c>
    </row>
    <row r="633" spans="1:11" ht="15.6">
      <c r="A633" s="28" t="s">
        <v>583</v>
      </c>
      <c r="B633" s="29">
        <v>44723.546320733898</v>
      </c>
      <c r="C633" s="29">
        <v>44726.470166239698</v>
      </c>
      <c r="D633" s="28" t="s">
        <v>98</v>
      </c>
      <c r="E633" s="28" t="s">
        <v>361</v>
      </c>
      <c r="F633" s="28" t="s">
        <v>131</v>
      </c>
      <c r="G633" s="28">
        <f t="shared" ca="1" si="18"/>
        <v>58</v>
      </c>
      <c r="H633" s="28">
        <v>2</v>
      </c>
      <c r="I633" s="25">
        <f t="shared" ca="1" si="19"/>
        <v>116</v>
      </c>
      <c r="J633" s="25" t="str">
        <f>VLOOKUP(F633,地区表!$D$2:$E$18,2,FALSE)</f>
        <v>家具</v>
      </c>
      <c r="K633" s="38" t="str">
        <f>VLOOKUP(E633,地区表!$A$2:$C$255,3,FALSE)</f>
        <v>西南</v>
      </c>
    </row>
    <row r="634" spans="1:11" ht="15.6">
      <c r="A634" s="28" t="s">
        <v>584</v>
      </c>
      <c r="B634" s="29">
        <v>44600.058376416797</v>
      </c>
      <c r="C634" s="29">
        <v>44602.511321183003</v>
      </c>
      <c r="D634" s="28" t="s">
        <v>114</v>
      </c>
      <c r="E634" s="28" t="s">
        <v>585</v>
      </c>
      <c r="F634" s="28" t="s">
        <v>141</v>
      </c>
      <c r="G634" s="28">
        <f t="shared" ca="1" si="18"/>
        <v>40</v>
      </c>
      <c r="H634" s="28">
        <v>2</v>
      </c>
      <c r="I634" s="25">
        <f t="shared" ca="1" si="19"/>
        <v>80</v>
      </c>
      <c r="J634" s="25" t="str">
        <f>VLOOKUP(F634,地区表!$D$2:$E$18,2,FALSE)</f>
        <v>办公用品</v>
      </c>
      <c r="K634" s="38" t="str">
        <f>VLOOKUP(E634,地区表!$A$2:$C$255,3,FALSE)</f>
        <v>西北</v>
      </c>
    </row>
    <row r="635" spans="1:11" ht="15.6">
      <c r="A635" s="28" t="s">
        <v>586</v>
      </c>
      <c r="B635" s="29">
        <v>44223.021581943802</v>
      </c>
      <c r="C635" s="29">
        <v>44230.759341343299</v>
      </c>
      <c r="D635" s="28" t="s">
        <v>94</v>
      </c>
      <c r="E635" s="28" t="s">
        <v>95</v>
      </c>
      <c r="F635" s="28" t="s">
        <v>131</v>
      </c>
      <c r="G635" s="28">
        <f t="shared" ca="1" si="18"/>
        <v>23</v>
      </c>
      <c r="H635" s="28">
        <v>1</v>
      </c>
      <c r="I635" s="25">
        <f t="shared" ca="1" si="19"/>
        <v>23</v>
      </c>
      <c r="J635" s="25" t="str">
        <f>VLOOKUP(F635,地区表!$D$2:$E$18,2,FALSE)</f>
        <v>家具</v>
      </c>
      <c r="K635" s="38" t="str">
        <f>VLOOKUP(E635,地区表!$A$2:$C$255,3,FALSE)</f>
        <v>华东</v>
      </c>
    </row>
    <row r="636" spans="1:11" ht="15.6">
      <c r="A636" s="28" t="s">
        <v>586</v>
      </c>
      <c r="B636" s="29">
        <v>44223.812356743103</v>
      </c>
      <c r="C636" s="29">
        <v>44230.070441311</v>
      </c>
      <c r="D636" s="28" t="s">
        <v>94</v>
      </c>
      <c r="E636" s="28" t="s">
        <v>95</v>
      </c>
      <c r="F636" s="28" t="s">
        <v>109</v>
      </c>
      <c r="G636" s="28">
        <f t="shared" ca="1" si="18"/>
        <v>85</v>
      </c>
      <c r="H636" s="28">
        <v>2</v>
      </c>
      <c r="I636" s="25">
        <f t="shared" ca="1" si="19"/>
        <v>170</v>
      </c>
      <c r="J636" s="25" t="str">
        <f>VLOOKUP(F636,地区表!$D$2:$E$18,2,FALSE)</f>
        <v>技术</v>
      </c>
      <c r="K636" s="38" t="str">
        <f>VLOOKUP(E636,地区表!$A$2:$C$255,3,FALSE)</f>
        <v>华东</v>
      </c>
    </row>
    <row r="637" spans="1:11" ht="15.6">
      <c r="A637" s="28" t="s">
        <v>587</v>
      </c>
      <c r="B637" s="29">
        <v>45216.190877454203</v>
      </c>
      <c r="C637" s="29">
        <v>45219.532650138899</v>
      </c>
      <c r="D637" s="28" t="s">
        <v>98</v>
      </c>
      <c r="E637" s="28" t="s">
        <v>588</v>
      </c>
      <c r="F637" s="28" t="s">
        <v>106</v>
      </c>
      <c r="G637" s="28">
        <f t="shared" ca="1" si="18"/>
        <v>85</v>
      </c>
      <c r="H637" s="28">
        <v>2</v>
      </c>
      <c r="I637" s="25">
        <f t="shared" ca="1" si="19"/>
        <v>170</v>
      </c>
      <c r="J637" s="25" t="str">
        <f>VLOOKUP(F637,地区表!$D$2:$E$18,2,FALSE)</f>
        <v>办公用品</v>
      </c>
      <c r="K637" s="38" t="str">
        <f>VLOOKUP(E637,地区表!$A$2:$C$255,3,FALSE)</f>
        <v>华北</v>
      </c>
    </row>
    <row r="638" spans="1:11" ht="15.6">
      <c r="A638" s="28" t="s">
        <v>589</v>
      </c>
      <c r="B638" s="29">
        <v>44274.109584795202</v>
      </c>
      <c r="C638" s="29">
        <v>44274.224521930002</v>
      </c>
      <c r="D638" s="28" t="s">
        <v>114</v>
      </c>
      <c r="E638" s="28" t="s">
        <v>590</v>
      </c>
      <c r="F638" s="28" t="s">
        <v>125</v>
      </c>
      <c r="G638" s="28">
        <f t="shared" ca="1" si="18"/>
        <v>15</v>
      </c>
      <c r="H638" s="28">
        <v>2</v>
      </c>
      <c r="I638" s="25">
        <f t="shared" ca="1" si="19"/>
        <v>30</v>
      </c>
      <c r="J638" s="25" t="str">
        <f>VLOOKUP(F638,地区表!$D$2:$E$18,2,FALSE)</f>
        <v>办公用品</v>
      </c>
      <c r="K638" s="38" t="str">
        <f>VLOOKUP(E638,地区表!$A$2:$C$255,3,FALSE)</f>
        <v>华东</v>
      </c>
    </row>
    <row r="639" spans="1:11" ht="15.6">
      <c r="A639" s="28" t="s">
        <v>591</v>
      </c>
      <c r="B639" s="29">
        <v>44948.024195977101</v>
      </c>
      <c r="C639" s="29">
        <v>44950.350035289797</v>
      </c>
      <c r="D639" s="28" t="s">
        <v>94</v>
      </c>
      <c r="E639" s="28" t="s">
        <v>181</v>
      </c>
      <c r="F639" s="28" t="s">
        <v>135</v>
      </c>
      <c r="G639" s="28">
        <f t="shared" ca="1" si="18"/>
        <v>100</v>
      </c>
      <c r="H639" s="28">
        <v>5</v>
      </c>
      <c r="I639" s="25">
        <f t="shared" ca="1" si="19"/>
        <v>500</v>
      </c>
      <c r="J639" s="25" t="str">
        <f>VLOOKUP(F639,地区表!$D$2:$E$18,2,FALSE)</f>
        <v>办公用品</v>
      </c>
      <c r="K639" s="38" t="str">
        <f>VLOOKUP(E639,地区表!$A$2:$C$255,3,FALSE)</f>
        <v>华北</v>
      </c>
    </row>
    <row r="640" spans="1:11" ht="15.6">
      <c r="A640" s="28" t="s">
        <v>591</v>
      </c>
      <c r="B640" s="29">
        <v>44948.744470687903</v>
      </c>
      <c r="C640" s="29">
        <v>44950.114592657999</v>
      </c>
      <c r="D640" s="28" t="s">
        <v>94</v>
      </c>
      <c r="E640" s="28" t="s">
        <v>181</v>
      </c>
      <c r="F640" s="28" t="s">
        <v>135</v>
      </c>
      <c r="G640" s="28">
        <f t="shared" ca="1" si="18"/>
        <v>54</v>
      </c>
      <c r="H640" s="28">
        <v>2</v>
      </c>
      <c r="I640" s="25">
        <f t="shared" ca="1" si="19"/>
        <v>108</v>
      </c>
      <c r="J640" s="25" t="str">
        <f>VLOOKUP(F640,地区表!$D$2:$E$18,2,FALSE)</f>
        <v>办公用品</v>
      </c>
      <c r="K640" s="38" t="str">
        <f>VLOOKUP(E640,地区表!$A$2:$C$255,3,FALSE)</f>
        <v>华北</v>
      </c>
    </row>
    <row r="641" spans="1:11" ht="15.6">
      <c r="A641" s="28" t="s">
        <v>591</v>
      </c>
      <c r="B641" s="29">
        <v>44948.7475035077</v>
      </c>
      <c r="C641" s="29">
        <v>44950.433271235801</v>
      </c>
      <c r="D641" s="28" t="s">
        <v>94</v>
      </c>
      <c r="E641" s="28" t="s">
        <v>181</v>
      </c>
      <c r="F641" s="28" t="s">
        <v>122</v>
      </c>
      <c r="G641" s="28">
        <f t="shared" ca="1" si="18"/>
        <v>55</v>
      </c>
      <c r="H641" s="28">
        <v>2</v>
      </c>
      <c r="I641" s="25">
        <f t="shared" ca="1" si="19"/>
        <v>110</v>
      </c>
      <c r="J641" s="25" t="str">
        <f>VLOOKUP(F641,地区表!$D$2:$E$18,2,FALSE)</f>
        <v>技术</v>
      </c>
      <c r="K641" s="38" t="str">
        <f>VLOOKUP(E641,地区表!$A$2:$C$255,3,FALSE)</f>
        <v>华北</v>
      </c>
    </row>
    <row r="642" spans="1:11" ht="15.6">
      <c r="A642" s="28" t="s">
        <v>592</v>
      </c>
      <c r="B642" s="29">
        <v>44485.387879132701</v>
      </c>
      <c r="C642" s="29">
        <v>44488.687246089699</v>
      </c>
      <c r="D642" s="28" t="s">
        <v>98</v>
      </c>
      <c r="E642" s="28" t="s">
        <v>593</v>
      </c>
      <c r="F642" s="28" t="s">
        <v>122</v>
      </c>
      <c r="G642" s="28">
        <f t="shared" ref="G642:G705" ca="1" si="20">RANDBETWEEN(10,100)</f>
        <v>18</v>
      </c>
      <c r="H642" s="28">
        <v>6</v>
      </c>
      <c r="I642" s="25">
        <f t="shared" ref="I642:I705" ca="1" si="21">G642*H642</f>
        <v>108</v>
      </c>
      <c r="J642" s="25" t="str">
        <f>VLOOKUP(F642,地区表!$D$2:$E$18,2,FALSE)</f>
        <v>技术</v>
      </c>
      <c r="K642" s="38" t="str">
        <f>VLOOKUP(E642,地区表!$A$2:$C$255,3,FALSE)</f>
        <v>中南</v>
      </c>
    </row>
    <row r="643" spans="1:11" ht="15.6">
      <c r="A643" s="28" t="s">
        <v>592</v>
      </c>
      <c r="B643" s="29">
        <v>44485.4343575444</v>
      </c>
      <c r="C643" s="29">
        <v>44488.468725973398</v>
      </c>
      <c r="D643" s="28" t="s">
        <v>98</v>
      </c>
      <c r="E643" s="28" t="s">
        <v>593</v>
      </c>
      <c r="F643" s="28" t="s">
        <v>109</v>
      </c>
      <c r="G643" s="28">
        <f t="shared" ca="1" si="20"/>
        <v>86</v>
      </c>
      <c r="H643" s="28">
        <v>7</v>
      </c>
      <c r="I643" s="25">
        <f t="shared" ca="1" si="21"/>
        <v>602</v>
      </c>
      <c r="J643" s="25" t="str">
        <f>VLOOKUP(F643,地区表!$D$2:$E$18,2,FALSE)</f>
        <v>技术</v>
      </c>
      <c r="K643" s="38" t="str">
        <f>VLOOKUP(E643,地区表!$A$2:$C$255,3,FALSE)</f>
        <v>中南</v>
      </c>
    </row>
    <row r="644" spans="1:11" ht="15.6">
      <c r="A644" s="28" t="s">
        <v>594</v>
      </c>
      <c r="B644" s="29">
        <v>45022.787213393203</v>
      </c>
      <c r="C644" s="29">
        <v>45027.014902379</v>
      </c>
      <c r="D644" s="28" t="s">
        <v>94</v>
      </c>
      <c r="E644" s="28" t="s">
        <v>203</v>
      </c>
      <c r="F644" s="28" t="s">
        <v>100</v>
      </c>
      <c r="G644" s="28">
        <f t="shared" ca="1" si="20"/>
        <v>74</v>
      </c>
      <c r="H644" s="28">
        <v>3</v>
      </c>
      <c r="I644" s="25">
        <f t="shared" ca="1" si="21"/>
        <v>222</v>
      </c>
      <c r="J644" s="25" t="str">
        <f>VLOOKUP(F644,地区表!$D$2:$E$18,2,FALSE)</f>
        <v>办公用品</v>
      </c>
      <c r="K644" s="38" t="str">
        <f>VLOOKUP(E644,地区表!$A$2:$C$255,3,FALSE)</f>
        <v>中南</v>
      </c>
    </row>
    <row r="645" spans="1:11" ht="15.6">
      <c r="A645" s="28" t="s">
        <v>594</v>
      </c>
      <c r="B645" s="29">
        <v>45022.398774796296</v>
      </c>
      <c r="C645" s="29">
        <v>45027.718431597801</v>
      </c>
      <c r="D645" s="28" t="s">
        <v>94</v>
      </c>
      <c r="E645" s="28" t="s">
        <v>203</v>
      </c>
      <c r="F645" s="28" t="s">
        <v>125</v>
      </c>
      <c r="G645" s="28">
        <f t="shared" ca="1" si="20"/>
        <v>76</v>
      </c>
      <c r="H645" s="28">
        <v>7</v>
      </c>
      <c r="I645" s="25">
        <f t="shared" ca="1" si="21"/>
        <v>532</v>
      </c>
      <c r="J645" s="25" t="str">
        <f>VLOOKUP(F645,地区表!$D$2:$E$18,2,FALSE)</f>
        <v>办公用品</v>
      </c>
      <c r="K645" s="38" t="str">
        <f>VLOOKUP(E645,地区表!$A$2:$C$255,3,FALSE)</f>
        <v>中南</v>
      </c>
    </row>
    <row r="646" spans="1:11" ht="15.6">
      <c r="A646" s="28" t="s">
        <v>595</v>
      </c>
      <c r="B646" s="29">
        <v>44406.047383919598</v>
      </c>
      <c r="C646" s="29">
        <v>44406.519096404001</v>
      </c>
      <c r="D646" s="28" t="s">
        <v>94</v>
      </c>
      <c r="E646" s="28" t="s">
        <v>237</v>
      </c>
      <c r="F646" s="28" t="s">
        <v>101</v>
      </c>
      <c r="G646" s="28">
        <f t="shared" ca="1" si="20"/>
        <v>85</v>
      </c>
      <c r="H646" s="28">
        <v>9</v>
      </c>
      <c r="I646" s="25">
        <f t="shared" ca="1" si="21"/>
        <v>765</v>
      </c>
      <c r="J646" s="25" t="str">
        <f>VLOOKUP(F646,地区表!$D$2:$E$18,2,FALSE)</f>
        <v>办公用品</v>
      </c>
      <c r="K646" s="38" t="str">
        <f>VLOOKUP(E646,地区表!$A$2:$C$255,3,FALSE)</f>
        <v>华东</v>
      </c>
    </row>
    <row r="647" spans="1:11" ht="15.6">
      <c r="A647" s="28" t="s">
        <v>595</v>
      </c>
      <c r="B647" s="29">
        <v>44406.326823229399</v>
      </c>
      <c r="C647" s="29">
        <v>44406.012079411899</v>
      </c>
      <c r="D647" s="28" t="s">
        <v>94</v>
      </c>
      <c r="E647" s="28" t="s">
        <v>237</v>
      </c>
      <c r="F647" s="28" t="s">
        <v>110</v>
      </c>
      <c r="G647" s="28">
        <f t="shared" ca="1" si="20"/>
        <v>49</v>
      </c>
      <c r="H647" s="28">
        <v>5</v>
      </c>
      <c r="I647" s="25">
        <f t="shared" ca="1" si="21"/>
        <v>245</v>
      </c>
      <c r="J647" s="25" t="str">
        <f>VLOOKUP(F647,地区表!$D$2:$E$18,2,FALSE)</f>
        <v>家具</v>
      </c>
      <c r="K647" s="38" t="str">
        <f>VLOOKUP(E647,地区表!$A$2:$C$255,3,FALSE)</f>
        <v>华东</v>
      </c>
    </row>
    <row r="648" spans="1:11" ht="15.6">
      <c r="A648" s="28" t="s">
        <v>595</v>
      </c>
      <c r="B648" s="29">
        <v>44406.655064184</v>
      </c>
      <c r="C648" s="29">
        <v>44406.245819771299</v>
      </c>
      <c r="D648" s="28" t="s">
        <v>94</v>
      </c>
      <c r="E648" s="28" t="s">
        <v>237</v>
      </c>
      <c r="F648" s="28" t="s">
        <v>96</v>
      </c>
      <c r="G648" s="28">
        <f t="shared" ca="1" si="20"/>
        <v>79</v>
      </c>
      <c r="H648" s="28">
        <v>5</v>
      </c>
      <c r="I648" s="25">
        <f t="shared" ca="1" si="21"/>
        <v>395</v>
      </c>
      <c r="J648" s="25" t="str">
        <f>VLOOKUP(F648,地区表!$D$2:$E$18,2,FALSE)</f>
        <v>办公用品</v>
      </c>
      <c r="K648" s="38" t="str">
        <f>VLOOKUP(E648,地区表!$A$2:$C$255,3,FALSE)</f>
        <v>华东</v>
      </c>
    </row>
    <row r="649" spans="1:11" ht="15.6">
      <c r="A649" s="28" t="s">
        <v>596</v>
      </c>
      <c r="B649" s="29">
        <v>44607.306410101599</v>
      </c>
      <c r="C649" s="29">
        <v>44609.340400776302</v>
      </c>
      <c r="D649" s="28" t="s">
        <v>98</v>
      </c>
      <c r="E649" s="28" t="s">
        <v>597</v>
      </c>
      <c r="F649" s="28" t="s">
        <v>135</v>
      </c>
      <c r="G649" s="28">
        <f t="shared" ca="1" si="20"/>
        <v>28</v>
      </c>
      <c r="H649" s="28">
        <v>2</v>
      </c>
      <c r="I649" s="25">
        <f t="shared" ca="1" si="21"/>
        <v>56</v>
      </c>
      <c r="J649" s="25" t="str">
        <f>VLOOKUP(F649,地区表!$D$2:$E$18,2,FALSE)</f>
        <v>办公用品</v>
      </c>
      <c r="K649" s="38" t="str">
        <f>VLOOKUP(E649,地区表!$A$2:$C$255,3,FALSE)</f>
        <v>华东</v>
      </c>
    </row>
    <row r="650" spans="1:11" ht="15.6">
      <c r="A650" s="28" t="s">
        <v>596</v>
      </c>
      <c r="B650" s="29">
        <v>44607.950655807901</v>
      </c>
      <c r="C650" s="29">
        <v>44609.836208246197</v>
      </c>
      <c r="D650" s="28" t="s">
        <v>98</v>
      </c>
      <c r="E650" s="28" t="s">
        <v>597</v>
      </c>
      <c r="F650" s="28" t="s">
        <v>135</v>
      </c>
      <c r="G650" s="28">
        <f t="shared" ca="1" si="20"/>
        <v>31</v>
      </c>
      <c r="H650" s="28">
        <v>2</v>
      </c>
      <c r="I650" s="25">
        <f t="shared" ca="1" si="21"/>
        <v>62</v>
      </c>
      <c r="J650" s="25" t="str">
        <f>VLOOKUP(F650,地区表!$D$2:$E$18,2,FALSE)</f>
        <v>办公用品</v>
      </c>
      <c r="K650" s="38" t="str">
        <f>VLOOKUP(E650,地区表!$A$2:$C$255,3,FALSE)</f>
        <v>华东</v>
      </c>
    </row>
    <row r="651" spans="1:11" ht="15.6">
      <c r="A651" s="28" t="s">
        <v>598</v>
      </c>
      <c r="B651" s="29">
        <v>45200.924813432503</v>
      </c>
      <c r="C651" s="29">
        <v>45205.071058306901</v>
      </c>
      <c r="D651" s="28" t="s">
        <v>98</v>
      </c>
      <c r="E651" s="28" t="s">
        <v>207</v>
      </c>
      <c r="F651" s="28" t="s">
        <v>131</v>
      </c>
      <c r="G651" s="28">
        <f t="shared" ca="1" si="20"/>
        <v>63</v>
      </c>
      <c r="H651" s="28">
        <v>5</v>
      </c>
      <c r="I651" s="25">
        <f t="shared" ca="1" si="21"/>
        <v>315</v>
      </c>
      <c r="J651" s="25" t="str">
        <f>VLOOKUP(F651,地区表!$D$2:$E$18,2,FALSE)</f>
        <v>家具</v>
      </c>
      <c r="K651" s="38" t="str">
        <f>VLOOKUP(E651,地区表!$A$2:$C$255,3,FALSE)</f>
        <v>华北</v>
      </c>
    </row>
    <row r="652" spans="1:11" ht="15.6">
      <c r="A652" s="28" t="s">
        <v>598</v>
      </c>
      <c r="B652" s="29">
        <v>45200.299393044399</v>
      </c>
      <c r="C652" s="29">
        <v>45205.270269505803</v>
      </c>
      <c r="D652" s="28" t="s">
        <v>98</v>
      </c>
      <c r="E652" s="28" t="s">
        <v>207</v>
      </c>
      <c r="F652" s="28" t="s">
        <v>125</v>
      </c>
      <c r="G652" s="28">
        <f t="shared" ca="1" si="20"/>
        <v>77</v>
      </c>
      <c r="H652" s="28">
        <v>2</v>
      </c>
      <c r="I652" s="25">
        <f t="shared" ca="1" si="21"/>
        <v>154</v>
      </c>
      <c r="J652" s="25" t="str">
        <f>VLOOKUP(F652,地区表!$D$2:$E$18,2,FALSE)</f>
        <v>办公用品</v>
      </c>
      <c r="K652" s="38" t="str">
        <f>VLOOKUP(E652,地区表!$A$2:$C$255,3,FALSE)</f>
        <v>华北</v>
      </c>
    </row>
    <row r="653" spans="1:11" ht="15.6">
      <c r="A653" s="28" t="s">
        <v>598</v>
      </c>
      <c r="B653" s="29">
        <v>45200.452925776299</v>
      </c>
      <c r="C653" s="29">
        <v>45205.572311251002</v>
      </c>
      <c r="D653" s="28" t="s">
        <v>98</v>
      </c>
      <c r="E653" s="28" t="s">
        <v>207</v>
      </c>
      <c r="F653" s="28" t="s">
        <v>106</v>
      </c>
      <c r="G653" s="28">
        <f t="shared" ca="1" si="20"/>
        <v>36</v>
      </c>
      <c r="H653" s="28">
        <v>2</v>
      </c>
      <c r="I653" s="25">
        <f t="shared" ca="1" si="21"/>
        <v>72</v>
      </c>
      <c r="J653" s="25" t="str">
        <f>VLOOKUP(F653,地区表!$D$2:$E$18,2,FALSE)</f>
        <v>办公用品</v>
      </c>
      <c r="K653" s="38" t="str">
        <f>VLOOKUP(E653,地区表!$A$2:$C$255,3,FALSE)</f>
        <v>华北</v>
      </c>
    </row>
    <row r="654" spans="1:11" ht="15.6">
      <c r="A654" s="28" t="s">
        <v>598</v>
      </c>
      <c r="B654" s="29">
        <v>45200.772667078803</v>
      </c>
      <c r="C654" s="29">
        <v>45205.210776675201</v>
      </c>
      <c r="D654" s="28" t="s">
        <v>98</v>
      </c>
      <c r="E654" s="28" t="s">
        <v>207</v>
      </c>
      <c r="F654" s="28" t="s">
        <v>130</v>
      </c>
      <c r="G654" s="28">
        <f t="shared" ca="1" si="20"/>
        <v>18</v>
      </c>
      <c r="H654" s="28">
        <v>1</v>
      </c>
      <c r="I654" s="25">
        <f t="shared" ca="1" si="21"/>
        <v>18</v>
      </c>
      <c r="J654" s="25" t="str">
        <f>VLOOKUP(F654,地区表!$D$2:$E$18,2,FALSE)</f>
        <v>家具</v>
      </c>
      <c r="K654" s="38" t="str">
        <f>VLOOKUP(E654,地区表!$A$2:$C$255,3,FALSE)</f>
        <v>华北</v>
      </c>
    </row>
    <row r="655" spans="1:11" ht="15.6">
      <c r="A655" s="28" t="s">
        <v>599</v>
      </c>
      <c r="B655" s="29">
        <v>45204.965463755303</v>
      </c>
      <c r="C655" s="29">
        <v>45208.528535101497</v>
      </c>
      <c r="D655" s="28" t="s">
        <v>94</v>
      </c>
      <c r="E655" s="28" t="s">
        <v>600</v>
      </c>
      <c r="F655" s="28" t="s">
        <v>121</v>
      </c>
      <c r="G655" s="28">
        <f t="shared" ca="1" si="20"/>
        <v>47</v>
      </c>
      <c r="H655" s="28">
        <v>2</v>
      </c>
      <c r="I655" s="25">
        <f t="shared" ca="1" si="21"/>
        <v>94</v>
      </c>
      <c r="J655" s="25" t="str">
        <f>VLOOKUP(F655,地区表!$D$2:$E$18,2,FALSE)</f>
        <v>技术</v>
      </c>
      <c r="K655" s="38" t="str">
        <f>VLOOKUP(E655,地区表!$A$2:$C$255,3,FALSE)</f>
        <v>华东</v>
      </c>
    </row>
    <row r="656" spans="1:11" ht="15.6">
      <c r="A656" s="28" t="s">
        <v>601</v>
      </c>
      <c r="B656" s="29">
        <v>45285.782790465397</v>
      </c>
      <c r="C656" s="29">
        <v>45290.0750142119</v>
      </c>
      <c r="D656" s="28" t="s">
        <v>98</v>
      </c>
      <c r="E656" s="28" t="s">
        <v>533</v>
      </c>
      <c r="F656" s="28" t="s">
        <v>109</v>
      </c>
      <c r="G656" s="28">
        <f t="shared" ca="1" si="20"/>
        <v>75</v>
      </c>
      <c r="H656" s="28">
        <v>5</v>
      </c>
      <c r="I656" s="25">
        <f t="shared" ca="1" si="21"/>
        <v>375</v>
      </c>
      <c r="J656" s="25" t="str">
        <f>VLOOKUP(F656,地区表!$D$2:$E$18,2,FALSE)</f>
        <v>技术</v>
      </c>
      <c r="K656" s="38" t="str">
        <f>VLOOKUP(E656,地区表!$A$2:$C$255,3,FALSE)</f>
        <v>华东</v>
      </c>
    </row>
    <row r="657" spans="1:11" ht="15.6">
      <c r="A657" s="28" t="s">
        <v>601</v>
      </c>
      <c r="B657" s="29">
        <v>45285.757980902403</v>
      </c>
      <c r="C657" s="29">
        <v>45290.1952132921</v>
      </c>
      <c r="D657" s="28" t="s">
        <v>98</v>
      </c>
      <c r="E657" s="28" t="s">
        <v>533</v>
      </c>
      <c r="F657" s="28" t="s">
        <v>121</v>
      </c>
      <c r="G657" s="28">
        <f t="shared" ca="1" si="20"/>
        <v>68</v>
      </c>
      <c r="H657" s="28">
        <v>5</v>
      </c>
      <c r="I657" s="25">
        <f t="shared" ca="1" si="21"/>
        <v>340</v>
      </c>
      <c r="J657" s="25" t="str">
        <f>VLOOKUP(F657,地区表!$D$2:$E$18,2,FALSE)</f>
        <v>技术</v>
      </c>
      <c r="K657" s="38" t="str">
        <f>VLOOKUP(E657,地区表!$A$2:$C$255,3,FALSE)</f>
        <v>华东</v>
      </c>
    </row>
    <row r="658" spans="1:11" ht="15.6">
      <c r="A658" s="28" t="s">
        <v>602</v>
      </c>
      <c r="B658" s="29">
        <v>45015.466208203303</v>
      </c>
      <c r="C658" s="29">
        <v>45018.644386052802</v>
      </c>
      <c r="D658" s="28" t="s">
        <v>98</v>
      </c>
      <c r="E658" s="28" t="s">
        <v>603</v>
      </c>
      <c r="F658" s="28" t="s">
        <v>131</v>
      </c>
      <c r="G658" s="28">
        <f t="shared" ca="1" si="20"/>
        <v>94</v>
      </c>
      <c r="H658" s="28">
        <v>3</v>
      </c>
      <c r="I658" s="25">
        <f t="shared" ca="1" si="21"/>
        <v>282</v>
      </c>
      <c r="J658" s="25" t="str">
        <f>VLOOKUP(F658,地区表!$D$2:$E$18,2,FALSE)</f>
        <v>家具</v>
      </c>
      <c r="K658" s="38" t="str">
        <f>VLOOKUP(E658,地区表!$A$2:$C$255,3,FALSE)</f>
        <v>华东</v>
      </c>
    </row>
    <row r="659" spans="1:11" ht="15.6">
      <c r="A659" s="28" t="s">
        <v>602</v>
      </c>
      <c r="B659" s="29">
        <v>45015.110936955403</v>
      </c>
      <c r="C659" s="29">
        <v>45018.686943446002</v>
      </c>
      <c r="D659" s="28" t="s">
        <v>98</v>
      </c>
      <c r="E659" s="28" t="s">
        <v>603</v>
      </c>
      <c r="F659" s="28" t="s">
        <v>135</v>
      </c>
      <c r="G659" s="28">
        <f t="shared" ca="1" si="20"/>
        <v>38</v>
      </c>
      <c r="H659" s="28">
        <v>4</v>
      </c>
      <c r="I659" s="25">
        <f t="shared" ca="1" si="21"/>
        <v>152</v>
      </c>
      <c r="J659" s="25" t="str">
        <f>VLOOKUP(F659,地区表!$D$2:$E$18,2,FALSE)</f>
        <v>办公用品</v>
      </c>
      <c r="K659" s="38" t="str">
        <f>VLOOKUP(E659,地区表!$A$2:$C$255,3,FALSE)</f>
        <v>华东</v>
      </c>
    </row>
    <row r="660" spans="1:11" ht="15.6">
      <c r="A660" s="28" t="s">
        <v>602</v>
      </c>
      <c r="B660" s="29">
        <v>45015.994048192399</v>
      </c>
      <c r="C660" s="29">
        <v>45018.244176598098</v>
      </c>
      <c r="D660" s="28" t="s">
        <v>98</v>
      </c>
      <c r="E660" s="28" t="s">
        <v>603</v>
      </c>
      <c r="F660" s="28" t="s">
        <v>135</v>
      </c>
      <c r="G660" s="28">
        <f t="shared" ca="1" si="20"/>
        <v>51</v>
      </c>
      <c r="H660" s="28">
        <v>2</v>
      </c>
      <c r="I660" s="25">
        <f t="shared" ca="1" si="21"/>
        <v>102</v>
      </c>
      <c r="J660" s="25" t="str">
        <f>VLOOKUP(F660,地区表!$D$2:$E$18,2,FALSE)</f>
        <v>办公用品</v>
      </c>
      <c r="K660" s="38" t="str">
        <f>VLOOKUP(E660,地区表!$A$2:$C$255,3,FALSE)</f>
        <v>华东</v>
      </c>
    </row>
    <row r="661" spans="1:11" ht="15.6">
      <c r="A661" s="28" t="s">
        <v>602</v>
      </c>
      <c r="B661" s="29">
        <v>45015.205655821002</v>
      </c>
      <c r="C661" s="29">
        <v>45018.604606399698</v>
      </c>
      <c r="D661" s="28" t="s">
        <v>98</v>
      </c>
      <c r="E661" s="28" t="s">
        <v>603</v>
      </c>
      <c r="F661" s="28" t="s">
        <v>110</v>
      </c>
      <c r="G661" s="28">
        <f t="shared" ca="1" si="20"/>
        <v>95</v>
      </c>
      <c r="H661" s="28">
        <v>7</v>
      </c>
      <c r="I661" s="25">
        <f t="shared" ca="1" si="21"/>
        <v>665</v>
      </c>
      <c r="J661" s="25" t="str">
        <f>VLOOKUP(F661,地区表!$D$2:$E$18,2,FALSE)</f>
        <v>家具</v>
      </c>
      <c r="K661" s="38" t="str">
        <f>VLOOKUP(E661,地区表!$A$2:$C$255,3,FALSE)</f>
        <v>华东</v>
      </c>
    </row>
    <row r="662" spans="1:11" ht="15.6">
      <c r="A662" s="28" t="s">
        <v>602</v>
      </c>
      <c r="B662" s="29">
        <v>45015.559369340801</v>
      </c>
      <c r="C662" s="29">
        <v>45018.027046460302</v>
      </c>
      <c r="D662" s="28" t="s">
        <v>98</v>
      </c>
      <c r="E662" s="28" t="s">
        <v>603</v>
      </c>
      <c r="F662" s="28" t="s">
        <v>141</v>
      </c>
      <c r="G662" s="28">
        <f t="shared" ca="1" si="20"/>
        <v>39</v>
      </c>
      <c r="H662" s="28">
        <v>2</v>
      </c>
      <c r="I662" s="25">
        <f t="shared" ca="1" si="21"/>
        <v>78</v>
      </c>
      <c r="J662" s="25" t="str">
        <f>VLOOKUP(F662,地区表!$D$2:$E$18,2,FALSE)</f>
        <v>办公用品</v>
      </c>
      <c r="K662" s="38" t="str">
        <f>VLOOKUP(E662,地区表!$A$2:$C$255,3,FALSE)</f>
        <v>华东</v>
      </c>
    </row>
    <row r="663" spans="1:11" ht="15.6">
      <c r="A663" s="28" t="s">
        <v>602</v>
      </c>
      <c r="B663" s="29">
        <v>45015.308699618698</v>
      </c>
      <c r="C663" s="29">
        <v>45018.763008243397</v>
      </c>
      <c r="D663" s="28" t="s">
        <v>98</v>
      </c>
      <c r="E663" s="28" t="s">
        <v>603</v>
      </c>
      <c r="F663" s="28" t="s">
        <v>135</v>
      </c>
      <c r="G663" s="28">
        <f t="shared" ca="1" si="20"/>
        <v>90</v>
      </c>
      <c r="H663" s="28">
        <v>5</v>
      </c>
      <c r="I663" s="25">
        <f t="shared" ca="1" si="21"/>
        <v>450</v>
      </c>
      <c r="J663" s="25" t="str">
        <f>VLOOKUP(F663,地区表!$D$2:$E$18,2,FALSE)</f>
        <v>办公用品</v>
      </c>
      <c r="K663" s="38" t="str">
        <f>VLOOKUP(E663,地区表!$A$2:$C$255,3,FALSE)</f>
        <v>华东</v>
      </c>
    </row>
    <row r="664" spans="1:11" ht="15.6">
      <c r="A664" s="28" t="s">
        <v>602</v>
      </c>
      <c r="B664" s="29">
        <v>45015.398698711098</v>
      </c>
      <c r="C664" s="29">
        <v>45018.581914515402</v>
      </c>
      <c r="D664" s="28" t="s">
        <v>98</v>
      </c>
      <c r="E664" s="28" t="s">
        <v>603</v>
      </c>
      <c r="F664" s="28" t="s">
        <v>112</v>
      </c>
      <c r="G664" s="28">
        <f t="shared" ca="1" si="20"/>
        <v>54</v>
      </c>
      <c r="H664" s="28">
        <v>5</v>
      </c>
      <c r="I664" s="25">
        <f t="shared" ca="1" si="21"/>
        <v>270</v>
      </c>
      <c r="J664" s="25" t="str">
        <f>VLOOKUP(F664,地区表!$D$2:$E$18,2,FALSE)</f>
        <v>办公用品</v>
      </c>
      <c r="K664" s="38" t="str">
        <f>VLOOKUP(E664,地区表!$A$2:$C$255,3,FALSE)</f>
        <v>华东</v>
      </c>
    </row>
    <row r="665" spans="1:11" ht="15.6">
      <c r="A665" s="28" t="s">
        <v>602</v>
      </c>
      <c r="B665" s="29">
        <v>45015.1770837894</v>
      </c>
      <c r="C665" s="29">
        <v>45018.846244605898</v>
      </c>
      <c r="D665" s="28" t="s">
        <v>98</v>
      </c>
      <c r="E665" s="28" t="s">
        <v>603</v>
      </c>
      <c r="F665" s="28" t="s">
        <v>125</v>
      </c>
      <c r="G665" s="28">
        <f t="shared" ca="1" si="20"/>
        <v>28</v>
      </c>
      <c r="H665" s="28">
        <v>5</v>
      </c>
      <c r="I665" s="25">
        <f t="shared" ca="1" si="21"/>
        <v>140</v>
      </c>
      <c r="J665" s="25" t="str">
        <f>VLOOKUP(F665,地区表!$D$2:$E$18,2,FALSE)</f>
        <v>办公用品</v>
      </c>
      <c r="K665" s="38" t="str">
        <f>VLOOKUP(E665,地区表!$A$2:$C$255,3,FALSE)</f>
        <v>华东</v>
      </c>
    </row>
    <row r="666" spans="1:11" ht="15.6">
      <c r="A666" s="28" t="s">
        <v>602</v>
      </c>
      <c r="B666" s="29">
        <v>45015.537538492201</v>
      </c>
      <c r="C666" s="29">
        <v>45018.545680003102</v>
      </c>
      <c r="D666" s="28" t="s">
        <v>98</v>
      </c>
      <c r="E666" s="28" t="s">
        <v>603</v>
      </c>
      <c r="F666" s="28" t="s">
        <v>109</v>
      </c>
      <c r="G666" s="28">
        <f t="shared" ca="1" si="20"/>
        <v>67</v>
      </c>
      <c r="H666" s="28">
        <v>1</v>
      </c>
      <c r="I666" s="25">
        <f t="shared" ca="1" si="21"/>
        <v>67</v>
      </c>
      <c r="J666" s="25" t="str">
        <f>VLOOKUP(F666,地区表!$D$2:$E$18,2,FALSE)</f>
        <v>技术</v>
      </c>
      <c r="K666" s="38" t="str">
        <f>VLOOKUP(E666,地区表!$A$2:$C$255,3,FALSE)</f>
        <v>华东</v>
      </c>
    </row>
    <row r="667" spans="1:11" ht="15.6">
      <c r="A667" s="28" t="s">
        <v>604</v>
      </c>
      <c r="B667" s="29">
        <v>44492.305561954498</v>
      </c>
      <c r="C667" s="29">
        <v>44495.343026505798</v>
      </c>
      <c r="D667" s="28" t="s">
        <v>94</v>
      </c>
      <c r="E667" s="28" t="s">
        <v>605</v>
      </c>
      <c r="F667" s="28" t="s">
        <v>106</v>
      </c>
      <c r="G667" s="28">
        <f t="shared" ca="1" si="20"/>
        <v>26</v>
      </c>
      <c r="H667" s="28">
        <v>5</v>
      </c>
      <c r="I667" s="25">
        <f t="shared" ca="1" si="21"/>
        <v>130</v>
      </c>
      <c r="J667" s="25" t="str">
        <f>VLOOKUP(F667,地区表!$D$2:$E$18,2,FALSE)</f>
        <v>办公用品</v>
      </c>
      <c r="K667" s="38" t="str">
        <f>VLOOKUP(E667,地区表!$A$2:$C$255,3,FALSE)</f>
        <v>东北</v>
      </c>
    </row>
    <row r="668" spans="1:11" ht="15.6">
      <c r="A668" s="28" t="s">
        <v>604</v>
      </c>
      <c r="B668" s="29">
        <v>44492.5226292843</v>
      </c>
      <c r="C668" s="29">
        <v>44495.801223955597</v>
      </c>
      <c r="D668" s="28" t="s">
        <v>94</v>
      </c>
      <c r="E668" s="28" t="s">
        <v>605</v>
      </c>
      <c r="F668" s="28" t="s">
        <v>125</v>
      </c>
      <c r="G668" s="28">
        <f t="shared" ca="1" si="20"/>
        <v>17</v>
      </c>
      <c r="H668" s="28">
        <v>4</v>
      </c>
      <c r="I668" s="25">
        <f t="shared" ca="1" si="21"/>
        <v>68</v>
      </c>
      <c r="J668" s="25" t="str">
        <f>VLOOKUP(F668,地区表!$D$2:$E$18,2,FALSE)</f>
        <v>办公用品</v>
      </c>
      <c r="K668" s="38" t="str">
        <f>VLOOKUP(E668,地区表!$A$2:$C$255,3,FALSE)</f>
        <v>东北</v>
      </c>
    </row>
    <row r="669" spans="1:11" ht="15.6">
      <c r="A669" s="28" t="s">
        <v>606</v>
      </c>
      <c r="B669" s="29">
        <v>44989.749436102204</v>
      </c>
      <c r="C669" s="29">
        <v>44993.543275320197</v>
      </c>
      <c r="D669" s="28" t="s">
        <v>114</v>
      </c>
      <c r="E669" s="28" t="s">
        <v>183</v>
      </c>
      <c r="F669" s="28" t="s">
        <v>141</v>
      </c>
      <c r="G669" s="28">
        <f t="shared" ca="1" si="20"/>
        <v>22</v>
      </c>
      <c r="H669" s="28">
        <v>8</v>
      </c>
      <c r="I669" s="25">
        <f t="shared" ca="1" si="21"/>
        <v>176</v>
      </c>
      <c r="J669" s="25" t="str">
        <f>VLOOKUP(F669,地区表!$D$2:$E$18,2,FALSE)</f>
        <v>办公用品</v>
      </c>
      <c r="K669" s="38" t="str">
        <f>VLOOKUP(E669,地区表!$A$2:$C$255,3,FALSE)</f>
        <v>西南</v>
      </c>
    </row>
    <row r="670" spans="1:11" ht="15.6">
      <c r="A670" s="28" t="s">
        <v>607</v>
      </c>
      <c r="B670" s="29">
        <v>44582.9778146186</v>
      </c>
      <c r="C670" s="29">
        <v>44584.379531498998</v>
      </c>
      <c r="D670" s="28" t="s">
        <v>94</v>
      </c>
      <c r="E670" s="28" t="s">
        <v>505</v>
      </c>
      <c r="F670" s="28" t="s">
        <v>121</v>
      </c>
      <c r="G670" s="28">
        <f t="shared" ca="1" si="20"/>
        <v>73</v>
      </c>
      <c r="H670" s="28">
        <v>1</v>
      </c>
      <c r="I670" s="25">
        <f t="shared" ca="1" si="21"/>
        <v>73</v>
      </c>
      <c r="J670" s="25" t="str">
        <f>VLOOKUP(F670,地区表!$D$2:$E$18,2,FALSE)</f>
        <v>技术</v>
      </c>
      <c r="K670" s="38" t="str">
        <f>VLOOKUP(E670,地区表!$A$2:$C$255,3,FALSE)</f>
        <v>东北</v>
      </c>
    </row>
    <row r="671" spans="1:11" ht="15.6">
      <c r="A671" s="28" t="s">
        <v>607</v>
      </c>
      <c r="B671" s="29">
        <v>44582.116434662603</v>
      </c>
      <c r="C671" s="29">
        <v>44584.702355252099</v>
      </c>
      <c r="D671" s="28" t="s">
        <v>94</v>
      </c>
      <c r="E671" s="28" t="s">
        <v>505</v>
      </c>
      <c r="F671" s="28" t="s">
        <v>122</v>
      </c>
      <c r="G671" s="28">
        <f t="shared" ca="1" si="20"/>
        <v>68</v>
      </c>
      <c r="H671" s="28">
        <v>2</v>
      </c>
      <c r="I671" s="25">
        <f t="shared" ca="1" si="21"/>
        <v>136</v>
      </c>
      <c r="J671" s="25" t="str">
        <f>VLOOKUP(F671,地区表!$D$2:$E$18,2,FALSE)</f>
        <v>技术</v>
      </c>
      <c r="K671" s="38" t="str">
        <f>VLOOKUP(E671,地区表!$A$2:$C$255,3,FALSE)</f>
        <v>东北</v>
      </c>
    </row>
    <row r="672" spans="1:11" ht="15.6">
      <c r="A672" s="28" t="s">
        <v>608</v>
      </c>
      <c r="B672" s="29">
        <v>45239.289416593201</v>
      </c>
      <c r="C672" s="29">
        <v>45244.334189989102</v>
      </c>
      <c r="D672" s="28" t="s">
        <v>98</v>
      </c>
      <c r="E672" s="28" t="s">
        <v>160</v>
      </c>
      <c r="F672" s="28" t="s">
        <v>122</v>
      </c>
      <c r="G672" s="28">
        <f t="shared" ca="1" si="20"/>
        <v>25</v>
      </c>
      <c r="H672" s="28">
        <v>5</v>
      </c>
      <c r="I672" s="25">
        <f t="shared" ca="1" si="21"/>
        <v>125</v>
      </c>
      <c r="J672" s="25" t="str">
        <f>VLOOKUP(F672,地区表!$D$2:$E$18,2,FALSE)</f>
        <v>技术</v>
      </c>
      <c r="K672" s="38" t="str">
        <f>VLOOKUP(E672,地区表!$A$2:$C$255,3,FALSE)</f>
        <v>东北</v>
      </c>
    </row>
    <row r="673" spans="1:11" ht="15.6">
      <c r="A673" s="28" t="s">
        <v>608</v>
      </c>
      <c r="B673" s="29">
        <v>45239.103846176098</v>
      </c>
      <c r="C673" s="29">
        <v>45244.866564627802</v>
      </c>
      <c r="D673" s="28" t="s">
        <v>98</v>
      </c>
      <c r="E673" s="28" t="s">
        <v>160</v>
      </c>
      <c r="F673" s="28" t="s">
        <v>112</v>
      </c>
      <c r="G673" s="28">
        <f t="shared" ca="1" si="20"/>
        <v>97</v>
      </c>
      <c r="H673" s="28">
        <v>3</v>
      </c>
      <c r="I673" s="25">
        <f t="shared" ca="1" si="21"/>
        <v>291</v>
      </c>
      <c r="J673" s="25" t="str">
        <f>VLOOKUP(F673,地区表!$D$2:$E$18,2,FALSE)</f>
        <v>办公用品</v>
      </c>
      <c r="K673" s="38" t="str">
        <f>VLOOKUP(E673,地区表!$A$2:$C$255,3,FALSE)</f>
        <v>东北</v>
      </c>
    </row>
    <row r="674" spans="1:11" ht="15.6">
      <c r="A674" s="28" t="s">
        <v>609</v>
      </c>
      <c r="B674" s="29">
        <v>44630.682933768803</v>
      </c>
      <c r="C674" s="29">
        <v>44634.599595524502</v>
      </c>
      <c r="D674" s="28" t="s">
        <v>94</v>
      </c>
      <c r="E674" s="28" t="s">
        <v>146</v>
      </c>
      <c r="F674" s="28" t="s">
        <v>111</v>
      </c>
      <c r="G674" s="28">
        <f t="shared" ca="1" si="20"/>
        <v>39</v>
      </c>
      <c r="H674" s="28">
        <v>4</v>
      </c>
      <c r="I674" s="25">
        <f t="shared" ca="1" si="21"/>
        <v>156</v>
      </c>
      <c r="J674" s="25" t="str">
        <f>VLOOKUP(F674,地区表!$D$2:$E$18,2,FALSE)</f>
        <v>办公用品</v>
      </c>
      <c r="K674" s="38" t="str">
        <f>VLOOKUP(E674,地区表!$A$2:$C$255,3,FALSE)</f>
        <v>西北</v>
      </c>
    </row>
    <row r="675" spans="1:11" ht="15.6">
      <c r="A675" s="28" t="s">
        <v>609</v>
      </c>
      <c r="B675" s="29">
        <v>44630.500940610997</v>
      </c>
      <c r="C675" s="29">
        <v>44634.145827645298</v>
      </c>
      <c r="D675" s="28" t="s">
        <v>94</v>
      </c>
      <c r="E675" s="28" t="s">
        <v>146</v>
      </c>
      <c r="F675" s="28" t="s">
        <v>110</v>
      </c>
      <c r="G675" s="28">
        <f t="shared" ca="1" si="20"/>
        <v>28</v>
      </c>
      <c r="H675" s="28">
        <v>1</v>
      </c>
      <c r="I675" s="25">
        <f t="shared" ca="1" si="21"/>
        <v>28</v>
      </c>
      <c r="J675" s="25" t="str">
        <f>VLOOKUP(F675,地区表!$D$2:$E$18,2,FALSE)</f>
        <v>家具</v>
      </c>
      <c r="K675" s="38" t="str">
        <f>VLOOKUP(E675,地区表!$A$2:$C$255,3,FALSE)</f>
        <v>西北</v>
      </c>
    </row>
    <row r="676" spans="1:11" ht="15.6">
      <c r="A676" s="28" t="s">
        <v>610</v>
      </c>
      <c r="B676" s="29">
        <v>45137.5042181299</v>
      </c>
      <c r="C676" s="29">
        <v>45142.759284108703</v>
      </c>
      <c r="D676" s="28" t="s">
        <v>94</v>
      </c>
      <c r="E676" s="28" t="s">
        <v>297</v>
      </c>
      <c r="F676" s="28" t="s">
        <v>109</v>
      </c>
      <c r="G676" s="28">
        <f t="shared" ca="1" si="20"/>
        <v>12</v>
      </c>
      <c r="H676" s="28">
        <v>3</v>
      </c>
      <c r="I676" s="25">
        <f t="shared" ca="1" si="21"/>
        <v>36</v>
      </c>
      <c r="J676" s="25" t="str">
        <f>VLOOKUP(F676,地区表!$D$2:$E$18,2,FALSE)</f>
        <v>技术</v>
      </c>
      <c r="K676" s="38" t="str">
        <f>VLOOKUP(E676,地区表!$A$2:$C$255,3,FALSE)</f>
        <v>华北</v>
      </c>
    </row>
    <row r="677" spans="1:11" ht="15.6">
      <c r="A677" s="28" t="s">
        <v>611</v>
      </c>
      <c r="B677" s="29">
        <v>44230.448404641997</v>
      </c>
      <c r="C677" s="29">
        <v>44232.520643345299</v>
      </c>
      <c r="D677" s="28" t="s">
        <v>94</v>
      </c>
      <c r="E677" s="28" t="s">
        <v>248</v>
      </c>
      <c r="F677" s="28" t="s">
        <v>130</v>
      </c>
      <c r="G677" s="28">
        <f t="shared" ca="1" si="20"/>
        <v>27</v>
      </c>
      <c r="H677" s="28">
        <v>2</v>
      </c>
      <c r="I677" s="25">
        <f t="shared" ca="1" si="21"/>
        <v>54</v>
      </c>
      <c r="J677" s="25" t="str">
        <f>VLOOKUP(F677,地区表!$D$2:$E$18,2,FALSE)</f>
        <v>家具</v>
      </c>
      <c r="K677" s="38" t="str">
        <f>VLOOKUP(E677,地区表!$A$2:$C$255,3,FALSE)</f>
        <v>西南</v>
      </c>
    </row>
    <row r="678" spans="1:11" ht="15.6">
      <c r="A678" s="28" t="s">
        <v>611</v>
      </c>
      <c r="B678" s="29">
        <v>44230.945509848898</v>
      </c>
      <c r="C678" s="29">
        <v>44232.400420901096</v>
      </c>
      <c r="D678" s="28" t="s">
        <v>94</v>
      </c>
      <c r="E678" s="28" t="s">
        <v>248</v>
      </c>
      <c r="F678" s="28" t="s">
        <v>96</v>
      </c>
      <c r="G678" s="28">
        <f t="shared" ca="1" si="20"/>
        <v>83</v>
      </c>
      <c r="H678" s="28">
        <v>3</v>
      </c>
      <c r="I678" s="25">
        <f t="shared" ca="1" si="21"/>
        <v>249</v>
      </c>
      <c r="J678" s="25" t="str">
        <f>VLOOKUP(F678,地区表!$D$2:$E$18,2,FALSE)</f>
        <v>办公用品</v>
      </c>
      <c r="K678" s="38" t="str">
        <f>VLOOKUP(E678,地区表!$A$2:$C$255,3,FALSE)</f>
        <v>西南</v>
      </c>
    </row>
    <row r="679" spans="1:11" ht="15.6">
      <c r="A679" s="28" t="s">
        <v>611</v>
      </c>
      <c r="B679" s="29">
        <v>44230.664727567302</v>
      </c>
      <c r="C679" s="29">
        <v>44232.183794622899</v>
      </c>
      <c r="D679" s="28" t="s">
        <v>94</v>
      </c>
      <c r="E679" s="28" t="s">
        <v>248</v>
      </c>
      <c r="F679" s="28" t="s">
        <v>125</v>
      </c>
      <c r="G679" s="28">
        <f t="shared" ca="1" si="20"/>
        <v>58</v>
      </c>
      <c r="H679" s="28">
        <v>2</v>
      </c>
      <c r="I679" s="25">
        <f t="shared" ca="1" si="21"/>
        <v>116</v>
      </c>
      <c r="J679" s="25" t="str">
        <f>VLOOKUP(F679,地区表!$D$2:$E$18,2,FALSE)</f>
        <v>办公用品</v>
      </c>
      <c r="K679" s="38" t="str">
        <f>VLOOKUP(E679,地区表!$A$2:$C$255,3,FALSE)</f>
        <v>西南</v>
      </c>
    </row>
    <row r="680" spans="1:11" ht="15.6">
      <c r="A680" s="28" t="s">
        <v>612</v>
      </c>
      <c r="B680" s="29">
        <v>44635.004127625099</v>
      </c>
      <c r="C680" s="29">
        <v>44641.453782663797</v>
      </c>
      <c r="D680" s="28" t="s">
        <v>114</v>
      </c>
      <c r="E680" s="28" t="s">
        <v>376</v>
      </c>
      <c r="F680" s="28" t="s">
        <v>135</v>
      </c>
      <c r="G680" s="28">
        <f t="shared" ca="1" si="20"/>
        <v>81</v>
      </c>
      <c r="H680" s="28">
        <v>2</v>
      </c>
      <c r="I680" s="25">
        <f t="shared" ca="1" si="21"/>
        <v>162</v>
      </c>
      <c r="J680" s="25" t="str">
        <f>VLOOKUP(F680,地区表!$D$2:$E$18,2,FALSE)</f>
        <v>办公用品</v>
      </c>
      <c r="K680" s="38" t="str">
        <f>VLOOKUP(E680,地区表!$A$2:$C$255,3,FALSE)</f>
        <v>华北</v>
      </c>
    </row>
    <row r="681" spans="1:11" ht="15.6">
      <c r="A681" s="28" t="s">
        <v>612</v>
      </c>
      <c r="B681" s="29">
        <v>44635.4696560722</v>
      </c>
      <c r="C681" s="29">
        <v>44641.536544013601</v>
      </c>
      <c r="D681" s="28" t="s">
        <v>114</v>
      </c>
      <c r="E681" s="28" t="s">
        <v>376</v>
      </c>
      <c r="F681" s="28" t="s">
        <v>118</v>
      </c>
      <c r="G681" s="28">
        <f t="shared" ca="1" si="20"/>
        <v>74</v>
      </c>
      <c r="H681" s="28">
        <v>5</v>
      </c>
      <c r="I681" s="25">
        <f t="shared" ca="1" si="21"/>
        <v>370</v>
      </c>
      <c r="J681" s="25" t="str">
        <f>VLOOKUP(F681,地区表!$D$2:$E$18,2,FALSE)</f>
        <v>技术</v>
      </c>
      <c r="K681" s="38" t="str">
        <f>VLOOKUP(E681,地区表!$A$2:$C$255,3,FALSE)</f>
        <v>华北</v>
      </c>
    </row>
    <row r="682" spans="1:11" ht="15.6">
      <c r="A682" s="28" t="s">
        <v>613</v>
      </c>
      <c r="B682" s="29">
        <v>44942.1702393995</v>
      </c>
      <c r="C682" s="29">
        <v>44949.432799669798</v>
      </c>
      <c r="D682" s="28" t="s">
        <v>98</v>
      </c>
      <c r="E682" s="28" t="s">
        <v>614</v>
      </c>
      <c r="F682" s="28" t="s">
        <v>125</v>
      </c>
      <c r="G682" s="28">
        <f t="shared" ca="1" si="20"/>
        <v>48</v>
      </c>
      <c r="H682" s="28">
        <v>7</v>
      </c>
      <c r="I682" s="25">
        <f t="shared" ca="1" si="21"/>
        <v>336</v>
      </c>
      <c r="J682" s="25" t="str">
        <f>VLOOKUP(F682,地区表!$D$2:$E$18,2,FALSE)</f>
        <v>办公用品</v>
      </c>
      <c r="K682" s="38" t="str">
        <f>VLOOKUP(E682,地区表!$A$2:$C$255,3,FALSE)</f>
        <v>中南</v>
      </c>
    </row>
    <row r="683" spans="1:11" ht="15.6">
      <c r="A683" s="28" t="s">
        <v>613</v>
      </c>
      <c r="B683" s="29">
        <v>44942.808060270901</v>
      </c>
      <c r="C683" s="29">
        <v>44949.037382160503</v>
      </c>
      <c r="D683" s="28" t="s">
        <v>98</v>
      </c>
      <c r="E683" s="28" t="s">
        <v>614</v>
      </c>
      <c r="F683" s="28" t="s">
        <v>111</v>
      </c>
      <c r="G683" s="28">
        <f t="shared" ca="1" si="20"/>
        <v>48</v>
      </c>
      <c r="H683" s="28">
        <v>9</v>
      </c>
      <c r="I683" s="25">
        <f t="shared" ca="1" si="21"/>
        <v>432</v>
      </c>
      <c r="J683" s="25" t="str">
        <f>VLOOKUP(F683,地区表!$D$2:$E$18,2,FALSE)</f>
        <v>办公用品</v>
      </c>
      <c r="K683" s="38" t="str">
        <f>VLOOKUP(E683,地区表!$A$2:$C$255,3,FALSE)</f>
        <v>中南</v>
      </c>
    </row>
    <row r="684" spans="1:11" ht="15.6">
      <c r="A684" s="28" t="s">
        <v>615</v>
      </c>
      <c r="B684" s="29">
        <v>45073.195611585303</v>
      </c>
      <c r="C684" s="29">
        <v>45078.095485668702</v>
      </c>
      <c r="D684" s="28" t="s">
        <v>94</v>
      </c>
      <c r="E684" s="28" t="s">
        <v>164</v>
      </c>
      <c r="F684" s="28" t="s">
        <v>135</v>
      </c>
      <c r="G684" s="28">
        <f t="shared" ca="1" si="20"/>
        <v>15</v>
      </c>
      <c r="H684" s="28">
        <v>6</v>
      </c>
      <c r="I684" s="25">
        <f t="shared" ca="1" si="21"/>
        <v>90</v>
      </c>
      <c r="J684" s="25" t="str">
        <f>VLOOKUP(F684,地区表!$D$2:$E$18,2,FALSE)</f>
        <v>办公用品</v>
      </c>
      <c r="K684" s="38" t="str">
        <f>VLOOKUP(E684,地区表!$A$2:$C$255,3,FALSE)</f>
        <v>西北</v>
      </c>
    </row>
    <row r="685" spans="1:11" ht="15.6">
      <c r="A685" s="28" t="s">
        <v>615</v>
      </c>
      <c r="B685" s="29">
        <v>45073.124510247399</v>
      </c>
      <c r="C685" s="29">
        <v>45078.681821469101</v>
      </c>
      <c r="D685" s="28" t="s">
        <v>94</v>
      </c>
      <c r="E685" s="28" t="s">
        <v>164</v>
      </c>
      <c r="F685" s="28" t="s">
        <v>101</v>
      </c>
      <c r="G685" s="28">
        <f t="shared" ca="1" si="20"/>
        <v>77</v>
      </c>
      <c r="H685" s="28">
        <v>2</v>
      </c>
      <c r="I685" s="25">
        <f t="shared" ca="1" si="21"/>
        <v>154</v>
      </c>
      <c r="J685" s="25" t="str">
        <f>VLOOKUP(F685,地区表!$D$2:$E$18,2,FALSE)</f>
        <v>办公用品</v>
      </c>
      <c r="K685" s="38" t="str">
        <f>VLOOKUP(E685,地区表!$A$2:$C$255,3,FALSE)</f>
        <v>西北</v>
      </c>
    </row>
    <row r="686" spans="1:11" ht="15.6">
      <c r="A686" s="28" t="s">
        <v>616</v>
      </c>
      <c r="B686" s="29">
        <v>45030.430976338997</v>
      </c>
      <c r="C686" s="29">
        <v>45035.259248820301</v>
      </c>
      <c r="D686" s="28" t="s">
        <v>94</v>
      </c>
      <c r="E686" s="28" t="s">
        <v>245</v>
      </c>
      <c r="F686" s="28" t="s">
        <v>100</v>
      </c>
      <c r="G686" s="28">
        <f t="shared" ca="1" si="20"/>
        <v>68</v>
      </c>
      <c r="H686" s="28">
        <v>2</v>
      </c>
      <c r="I686" s="25">
        <f t="shared" ca="1" si="21"/>
        <v>136</v>
      </c>
      <c r="J686" s="25" t="str">
        <f>VLOOKUP(F686,地区表!$D$2:$E$18,2,FALSE)</f>
        <v>办公用品</v>
      </c>
      <c r="K686" s="38" t="str">
        <f>VLOOKUP(E686,地区表!$A$2:$C$255,3,FALSE)</f>
        <v>华东</v>
      </c>
    </row>
    <row r="687" spans="1:11" ht="15.6">
      <c r="A687" s="28" t="s">
        <v>617</v>
      </c>
      <c r="B687" s="29">
        <v>44679.023983147301</v>
      </c>
      <c r="C687" s="29">
        <v>44683.718401278398</v>
      </c>
      <c r="D687" s="28" t="s">
        <v>114</v>
      </c>
      <c r="E687" s="28" t="s">
        <v>127</v>
      </c>
      <c r="F687" s="28" t="s">
        <v>101</v>
      </c>
      <c r="G687" s="28">
        <f t="shared" ca="1" si="20"/>
        <v>73</v>
      </c>
      <c r="H687" s="28">
        <v>2</v>
      </c>
      <c r="I687" s="25">
        <f t="shared" ca="1" si="21"/>
        <v>146</v>
      </c>
      <c r="J687" s="25" t="str">
        <f>VLOOKUP(F687,地区表!$D$2:$E$18,2,FALSE)</f>
        <v>办公用品</v>
      </c>
      <c r="K687" s="38" t="str">
        <f>VLOOKUP(E687,地区表!$A$2:$C$255,3,FALSE)</f>
        <v>华东</v>
      </c>
    </row>
    <row r="688" spans="1:11" ht="15.6">
      <c r="A688" s="28" t="s">
        <v>617</v>
      </c>
      <c r="B688" s="29">
        <v>44679.178810555102</v>
      </c>
      <c r="C688" s="29">
        <v>44683.576038892599</v>
      </c>
      <c r="D688" s="28" t="s">
        <v>114</v>
      </c>
      <c r="E688" s="28" t="s">
        <v>127</v>
      </c>
      <c r="F688" s="28" t="s">
        <v>101</v>
      </c>
      <c r="G688" s="28">
        <f t="shared" ca="1" si="20"/>
        <v>45</v>
      </c>
      <c r="H688" s="28">
        <v>3</v>
      </c>
      <c r="I688" s="25">
        <f t="shared" ca="1" si="21"/>
        <v>135</v>
      </c>
      <c r="J688" s="25" t="str">
        <f>VLOOKUP(F688,地区表!$D$2:$E$18,2,FALSE)</f>
        <v>办公用品</v>
      </c>
      <c r="K688" s="38" t="str">
        <f>VLOOKUP(E688,地区表!$A$2:$C$255,3,FALSE)</f>
        <v>华东</v>
      </c>
    </row>
    <row r="689" spans="1:11" ht="15.6">
      <c r="A689" s="28" t="s">
        <v>618</v>
      </c>
      <c r="B689" s="29">
        <v>45233.4636688881</v>
      </c>
      <c r="C689" s="29">
        <v>45238.9120437073</v>
      </c>
      <c r="D689" s="28" t="s">
        <v>114</v>
      </c>
      <c r="E689" s="28" t="s">
        <v>619</v>
      </c>
      <c r="F689" s="28" t="s">
        <v>109</v>
      </c>
      <c r="G689" s="28">
        <f t="shared" ca="1" si="20"/>
        <v>52</v>
      </c>
      <c r="H689" s="28">
        <v>5</v>
      </c>
      <c r="I689" s="25">
        <f t="shared" ca="1" si="21"/>
        <v>260</v>
      </c>
      <c r="J689" s="25" t="str">
        <f>VLOOKUP(F689,地区表!$D$2:$E$18,2,FALSE)</f>
        <v>技术</v>
      </c>
      <c r="K689" s="38" t="str">
        <f>VLOOKUP(E689,地区表!$A$2:$C$255,3,FALSE)</f>
        <v>东北</v>
      </c>
    </row>
    <row r="690" spans="1:11" ht="15.6">
      <c r="A690" s="28" t="s">
        <v>620</v>
      </c>
      <c r="B690" s="29">
        <v>44239.728528775602</v>
      </c>
      <c r="C690" s="29">
        <v>44243.080682478801</v>
      </c>
      <c r="D690" s="28" t="s">
        <v>98</v>
      </c>
      <c r="E690" s="28" t="s">
        <v>258</v>
      </c>
      <c r="F690" s="28" t="s">
        <v>110</v>
      </c>
      <c r="G690" s="28">
        <f t="shared" ca="1" si="20"/>
        <v>59</v>
      </c>
      <c r="H690" s="28">
        <v>2</v>
      </c>
      <c r="I690" s="25">
        <f t="shared" ca="1" si="21"/>
        <v>118</v>
      </c>
      <c r="J690" s="25" t="str">
        <f>VLOOKUP(F690,地区表!$D$2:$E$18,2,FALSE)</f>
        <v>家具</v>
      </c>
      <c r="K690" s="38" t="str">
        <f>VLOOKUP(E690,地区表!$A$2:$C$255,3,FALSE)</f>
        <v>东北</v>
      </c>
    </row>
    <row r="691" spans="1:11" ht="15.6">
      <c r="A691" s="28" t="s">
        <v>620</v>
      </c>
      <c r="B691" s="29">
        <v>44239.6009877877</v>
      </c>
      <c r="C691" s="29">
        <v>44243.494610375601</v>
      </c>
      <c r="D691" s="28" t="s">
        <v>98</v>
      </c>
      <c r="E691" s="28" t="s">
        <v>258</v>
      </c>
      <c r="F691" s="28" t="s">
        <v>101</v>
      </c>
      <c r="G691" s="28">
        <f t="shared" ca="1" si="20"/>
        <v>77</v>
      </c>
      <c r="H691" s="28">
        <v>4</v>
      </c>
      <c r="I691" s="25">
        <f t="shared" ca="1" si="21"/>
        <v>308</v>
      </c>
      <c r="J691" s="25" t="str">
        <f>VLOOKUP(F691,地区表!$D$2:$E$18,2,FALSE)</f>
        <v>办公用品</v>
      </c>
      <c r="K691" s="38" t="str">
        <f>VLOOKUP(E691,地区表!$A$2:$C$255,3,FALSE)</f>
        <v>东北</v>
      </c>
    </row>
    <row r="692" spans="1:11" ht="15.6">
      <c r="A692" s="28" t="s">
        <v>620</v>
      </c>
      <c r="B692" s="29">
        <v>44239.1668624862</v>
      </c>
      <c r="C692" s="29">
        <v>44243.280729432699</v>
      </c>
      <c r="D692" s="28" t="s">
        <v>98</v>
      </c>
      <c r="E692" s="28" t="s">
        <v>258</v>
      </c>
      <c r="F692" s="28" t="s">
        <v>110</v>
      </c>
      <c r="G692" s="28">
        <f t="shared" ca="1" si="20"/>
        <v>75</v>
      </c>
      <c r="H692" s="28">
        <v>6</v>
      </c>
      <c r="I692" s="25">
        <f t="shared" ca="1" si="21"/>
        <v>450</v>
      </c>
      <c r="J692" s="25" t="str">
        <f>VLOOKUP(F692,地区表!$D$2:$E$18,2,FALSE)</f>
        <v>家具</v>
      </c>
      <c r="K692" s="38" t="str">
        <f>VLOOKUP(E692,地区表!$A$2:$C$255,3,FALSE)</f>
        <v>东北</v>
      </c>
    </row>
    <row r="693" spans="1:11" ht="15.6">
      <c r="A693" s="28" t="s">
        <v>621</v>
      </c>
      <c r="B693" s="29">
        <v>44286.985757229697</v>
      </c>
      <c r="C693" s="29">
        <v>44290.118913607301</v>
      </c>
      <c r="D693" s="28" t="s">
        <v>114</v>
      </c>
      <c r="E693" s="28" t="s">
        <v>622</v>
      </c>
      <c r="F693" s="28" t="s">
        <v>141</v>
      </c>
      <c r="G693" s="28">
        <f t="shared" ca="1" si="20"/>
        <v>72</v>
      </c>
      <c r="H693" s="28">
        <v>2</v>
      </c>
      <c r="I693" s="25">
        <f t="shared" ca="1" si="21"/>
        <v>144</v>
      </c>
      <c r="J693" s="25" t="str">
        <f>VLOOKUP(F693,地区表!$D$2:$E$18,2,FALSE)</f>
        <v>办公用品</v>
      </c>
      <c r="K693" s="38" t="str">
        <f>VLOOKUP(E693,地区表!$A$2:$C$255,3,FALSE)</f>
        <v>中南</v>
      </c>
    </row>
    <row r="694" spans="1:11" ht="15.6">
      <c r="A694" s="28" t="s">
        <v>623</v>
      </c>
      <c r="B694" s="29">
        <v>44585.620286700898</v>
      </c>
      <c r="C694" s="29">
        <v>44590.6131977482</v>
      </c>
      <c r="D694" s="28" t="s">
        <v>98</v>
      </c>
      <c r="E694" s="28" t="s">
        <v>624</v>
      </c>
      <c r="F694" s="28" t="s">
        <v>122</v>
      </c>
      <c r="G694" s="28">
        <f t="shared" ca="1" si="20"/>
        <v>33</v>
      </c>
      <c r="H694" s="28">
        <v>10</v>
      </c>
      <c r="I694" s="25">
        <f t="shared" ca="1" si="21"/>
        <v>330</v>
      </c>
      <c r="J694" s="25" t="str">
        <f>VLOOKUP(F694,地区表!$D$2:$E$18,2,FALSE)</f>
        <v>技术</v>
      </c>
      <c r="K694" s="38" t="str">
        <f>VLOOKUP(E694,地区表!$A$2:$C$255,3,FALSE)</f>
        <v>华东</v>
      </c>
    </row>
    <row r="695" spans="1:11" ht="15.6">
      <c r="A695" s="28" t="s">
        <v>623</v>
      </c>
      <c r="B695" s="29">
        <v>44585.841296752798</v>
      </c>
      <c r="C695" s="29">
        <v>44590.743883458803</v>
      </c>
      <c r="D695" s="28" t="s">
        <v>98</v>
      </c>
      <c r="E695" s="28" t="s">
        <v>624</v>
      </c>
      <c r="F695" s="28" t="s">
        <v>101</v>
      </c>
      <c r="G695" s="28">
        <f t="shared" ca="1" si="20"/>
        <v>58</v>
      </c>
      <c r="H695" s="28">
        <v>9</v>
      </c>
      <c r="I695" s="25">
        <f t="shared" ca="1" si="21"/>
        <v>522</v>
      </c>
      <c r="J695" s="25" t="str">
        <f>VLOOKUP(F695,地区表!$D$2:$E$18,2,FALSE)</f>
        <v>办公用品</v>
      </c>
      <c r="K695" s="38" t="str">
        <f>VLOOKUP(E695,地区表!$A$2:$C$255,3,FALSE)</f>
        <v>华东</v>
      </c>
    </row>
    <row r="696" spans="1:11" ht="15.6">
      <c r="A696" s="28" t="s">
        <v>625</v>
      </c>
      <c r="B696" s="29">
        <v>45288.668088660299</v>
      </c>
      <c r="C696" s="29">
        <v>44197.866548853497</v>
      </c>
      <c r="D696" s="28" t="s">
        <v>98</v>
      </c>
      <c r="E696" s="28" t="s">
        <v>127</v>
      </c>
      <c r="F696" s="28" t="s">
        <v>121</v>
      </c>
      <c r="G696" s="28">
        <f t="shared" ca="1" si="20"/>
        <v>68</v>
      </c>
      <c r="H696" s="28">
        <v>4</v>
      </c>
      <c r="I696" s="25">
        <f t="shared" ca="1" si="21"/>
        <v>272</v>
      </c>
      <c r="J696" s="25" t="str">
        <f>VLOOKUP(F696,地区表!$D$2:$E$18,2,FALSE)</f>
        <v>技术</v>
      </c>
      <c r="K696" s="38" t="str">
        <f>VLOOKUP(E696,地区表!$A$2:$C$255,3,FALSE)</f>
        <v>华东</v>
      </c>
    </row>
    <row r="697" spans="1:11" ht="15.6">
      <c r="A697" s="28" t="s">
        <v>626</v>
      </c>
      <c r="B697" s="29">
        <v>44859.010145411201</v>
      </c>
      <c r="C697" s="29">
        <v>44863.485862814399</v>
      </c>
      <c r="D697" s="28" t="s">
        <v>94</v>
      </c>
      <c r="E697" s="28" t="s">
        <v>627</v>
      </c>
      <c r="F697" s="28" t="s">
        <v>106</v>
      </c>
      <c r="G697" s="28">
        <f t="shared" ca="1" si="20"/>
        <v>95</v>
      </c>
      <c r="H697" s="28">
        <v>3</v>
      </c>
      <c r="I697" s="25">
        <f t="shared" ca="1" si="21"/>
        <v>285</v>
      </c>
      <c r="J697" s="25" t="str">
        <f>VLOOKUP(F697,地区表!$D$2:$E$18,2,FALSE)</f>
        <v>办公用品</v>
      </c>
      <c r="K697" s="38" t="str">
        <f>VLOOKUP(E697,地区表!$A$2:$C$255,3,FALSE)</f>
        <v>东北</v>
      </c>
    </row>
    <row r="698" spans="1:11" ht="15.6">
      <c r="A698" s="28" t="s">
        <v>626</v>
      </c>
      <c r="B698" s="29">
        <v>44859.615617598902</v>
      </c>
      <c r="C698" s="29">
        <v>44863.156038185698</v>
      </c>
      <c r="D698" s="28" t="s">
        <v>94</v>
      </c>
      <c r="E698" s="28" t="s">
        <v>627</v>
      </c>
      <c r="F698" s="28" t="s">
        <v>130</v>
      </c>
      <c r="G698" s="28">
        <f t="shared" ca="1" si="20"/>
        <v>55</v>
      </c>
      <c r="H698" s="28">
        <v>1</v>
      </c>
      <c r="I698" s="25">
        <f t="shared" ca="1" si="21"/>
        <v>55</v>
      </c>
      <c r="J698" s="25" t="str">
        <f>VLOOKUP(F698,地区表!$D$2:$E$18,2,FALSE)</f>
        <v>家具</v>
      </c>
      <c r="K698" s="38" t="str">
        <f>VLOOKUP(E698,地区表!$A$2:$C$255,3,FALSE)</f>
        <v>东北</v>
      </c>
    </row>
    <row r="699" spans="1:11" ht="15.6">
      <c r="A699" s="28" t="s">
        <v>626</v>
      </c>
      <c r="B699" s="29">
        <v>44859.897940503899</v>
      </c>
      <c r="C699" s="29">
        <v>44863.020382267801</v>
      </c>
      <c r="D699" s="28" t="s">
        <v>94</v>
      </c>
      <c r="E699" s="28" t="s">
        <v>627</v>
      </c>
      <c r="F699" s="28" t="s">
        <v>111</v>
      </c>
      <c r="G699" s="28">
        <f t="shared" ca="1" si="20"/>
        <v>60</v>
      </c>
      <c r="H699" s="28">
        <v>1</v>
      </c>
      <c r="I699" s="25">
        <f t="shared" ca="1" si="21"/>
        <v>60</v>
      </c>
      <c r="J699" s="25" t="str">
        <f>VLOOKUP(F699,地区表!$D$2:$E$18,2,FALSE)</f>
        <v>办公用品</v>
      </c>
      <c r="K699" s="38" t="str">
        <f>VLOOKUP(E699,地区表!$A$2:$C$255,3,FALSE)</f>
        <v>东北</v>
      </c>
    </row>
    <row r="700" spans="1:11" ht="15.6">
      <c r="A700" s="28" t="s">
        <v>626</v>
      </c>
      <c r="B700" s="29">
        <v>44859.292518502203</v>
      </c>
      <c r="C700" s="29">
        <v>44863.010194246301</v>
      </c>
      <c r="D700" s="28" t="s">
        <v>94</v>
      </c>
      <c r="E700" s="28" t="s">
        <v>627</v>
      </c>
      <c r="F700" s="28" t="s">
        <v>125</v>
      </c>
      <c r="G700" s="28">
        <f t="shared" ca="1" si="20"/>
        <v>43</v>
      </c>
      <c r="H700" s="28">
        <v>2</v>
      </c>
      <c r="I700" s="25">
        <f t="shared" ca="1" si="21"/>
        <v>86</v>
      </c>
      <c r="J700" s="25" t="str">
        <f>VLOOKUP(F700,地区表!$D$2:$E$18,2,FALSE)</f>
        <v>办公用品</v>
      </c>
      <c r="K700" s="38" t="str">
        <f>VLOOKUP(E700,地区表!$A$2:$C$255,3,FALSE)</f>
        <v>东北</v>
      </c>
    </row>
    <row r="701" spans="1:11" ht="15.6">
      <c r="A701" s="28" t="s">
        <v>626</v>
      </c>
      <c r="B701" s="29">
        <v>44859.648706447602</v>
      </c>
      <c r="C701" s="29">
        <v>44863.258708248402</v>
      </c>
      <c r="D701" s="28" t="s">
        <v>94</v>
      </c>
      <c r="E701" s="28" t="s">
        <v>627</v>
      </c>
      <c r="F701" s="28" t="s">
        <v>130</v>
      </c>
      <c r="G701" s="28">
        <f t="shared" ca="1" si="20"/>
        <v>68</v>
      </c>
      <c r="H701" s="28">
        <v>5</v>
      </c>
      <c r="I701" s="25">
        <f t="shared" ca="1" si="21"/>
        <v>340</v>
      </c>
      <c r="J701" s="25" t="str">
        <f>VLOOKUP(F701,地区表!$D$2:$E$18,2,FALSE)</f>
        <v>家具</v>
      </c>
      <c r="K701" s="38" t="str">
        <f>VLOOKUP(E701,地区表!$A$2:$C$255,3,FALSE)</f>
        <v>东北</v>
      </c>
    </row>
    <row r="702" spans="1:11" ht="15.6">
      <c r="A702" s="28" t="s">
        <v>628</v>
      </c>
      <c r="B702" s="29">
        <v>44460.897830405898</v>
      </c>
      <c r="C702" s="29">
        <v>44465.961245767903</v>
      </c>
      <c r="D702" s="28" t="s">
        <v>98</v>
      </c>
      <c r="E702" s="28" t="s">
        <v>120</v>
      </c>
      <c r="F702" s="28" t="s">
        <v>144</v>
      </c>
      <c r="G702" s="28">
        <f t="shared" ca="1" si="20"/>
        <v>11</v>
      </c>
      <c r="H702" s="28">
        <v>4</v>
      </c>
      <c r="I702" s="25">
        <f t="shared" ca="1" si="21"/>
        <v>44</v>
      </c>
      <c r="J702" s="25" t="str">
        <f>VLOOKUP(F702,地区表!$D$2:$E$18,2,FALSE)</f>
        <v>家具</v>
      </c>
      <c r="K702" s="38" t="str">
        <f>VLOOKUP(E702,地区表!$A$2:$C$255,3,FALSE)</f>
        <v>华东</v>
      </c>
    </row>
    <row r="703" spans="1:11" ht="15.6">
      <c r="A703" s="28" t="s">
        <v>629</v>
      </c>
      <c r="B703" s="29">
        <v>44940.224782739002</v>
      </c>
      <c r="C703" s="29">
        <v>44944.1289011544</v>
      </c>
      <c r="D703" s="28" t="s">
        <v>98</v>
      </c>
      <c r="E703" s="28" t="s">
        <v>309</v>
      </c>
      <c r="F703" s="28" t="s">
        <v>111</v>
      </c>
      <c r="G703" s="28">
        <f t="shared" ca="1" si="20"/>
        <v>46</v>
      </c>
      <c r="H703" s="28">
        <v>2</v>
      </c>
      <c r="I703" s="25">
        <f t="shared" ca="1" si="21"/>
        <v>92</v>
      </c>
      <c r="J703" s="25" t="str">
        <f>VLOOKUP(F703,地区表!$D$2:$E$18,2,FALSE)</f>
        <v>办公用品</v>
      </c>
      <c r="K703" s="38" t="str">
        <f>VLOOKUP(E703,地区表!$A$2:$C$255,3,FALSE)</f>
        <v>中南</v>
      </c>
    </row>
    <row r="704" spans="1:11" ht="15.6">
      <c r="A704" s="28" t="s">
        <v>630</v>
      </c>
      <c r="B704" s="29">
        <v>44455.546293476997</v>
      </c>
      <c r="C704" s="29">
        <v>44457.237884653601</v>
      </c>
      <c r="D704" s="28" t="s">
        <v>98</v>
      </c>
      <c r="E704" s="28" t="s">
        <v>146</v>
      </c>
      <c r="F704" s="28" t="s">
        <v>141</v>
      </c>
      <c r="G704" s="28">
        <f t="shared" ca="1" si="20"/>
        <v>34</v>
      </c>
      <c r="H704" s="28">
        <v>2</v>
      </c>
      <c r="I704" s="25">
        <f t="shared" ca="1" si="21"/>
        <v>68</v>
      </c>
      <c r="J704" s="25" t="str">
        <f>VLOOKUP(F704,地区表!$D$2:$E$18,2,FALSE)</f>
        <v>办公用品</v>
      </c>
      <c r="K704" s="38" t="str">
        <f>VLOOKUP(E704,地区表!$A$2:$C$255,3,FALSE)</f>
        <v>西北</v>
      </c>
    </row>
    <row r="705" spans="1:11" ht="15.6">
      <c r="A705" s="28" t="s">
        <v>631</v>
      </c>
      <c r="B705" s="29">
        <v>44503.928920485698</v>
      </c>
      <c r="C705" s="29">
        <v>44505.350264061199</v>
      </c>
      <c r="D705" s="28" t="s">
        <v>98</v>
      </c>
      <c r="E705" s="28" t="s">
        <v>181</v>
      </c>
      <c r="F705" s="28" t="s">
        <v>141</v>
      </c>
      <c r="G705" s="28">
        <f t="shared" ca="1" si="20"/>
        <v>13</v>
      </c>
      <c r="H705" s="28">
        <v>4</v>
      </c>
      <c r="I705" s="25">
        <f t="shared" ca="1" si="21"/>
        <v>52</v>
      </c>
      <c r="J705" s="25" t="str">
        <f>VLOOKUP(F705,地区表!$D$2:$E$18,2,FALSE)</f>
        <v>办公用品</v>
      </c>
      <c r="K705" s="38" t="str">
        <f>VLOOKUP(E705,地区表!$A$2:$C$255,3,FALSE)</f>
        <v>华北</v>
      </c>
    </row>
    <row r="706" spans="1:11" ht="15.6">
      <c r="A706" s="28" t="s">
        <v>632</v>
      </c>
      <c r="B706" s="29">
        <v>44634.212064882697</v>
      </c>
      <c r="C706" s="29">
        <v>44640.432619952</v>
      </c>
      <c r="D706" s="28" t="s">
        <v>94</v>
      </c>
      <c r="E706" s="28" t="s">
        <v>633</v>
      </c>
      <c r="F706" s="28" t="s">
        <v>112</v>
      </c>
      <c r="G706" s="28">
        <f t="shared" ref="G706:G769" ca="1" si="22">RANDBETWEEN(10,100)</f>
        <v>72</v>
      </c>
      <c r="H706" s="28">
        <v>2</v>
      </c>
      <c r="I706" s="25">
        <f t="shared" ref="I706:I769" ca="1" si="23">G706*H706</f>
        <v>144</v>
      </c>
      <c r="J706" s="25" t="str">
        <f>VLOOKUP(F706,地区表!$D$2:$E$18,2,FALSE)</f>
        <v>办公用品</v>
      </c>
      <c r="K706" s="38" t="str">
        <f>VLOOKUP(E706,地区表!$A$2:$C$255,3,FALSE)</f>
        <v>西北</v>
      </c>
    </row>
    <row r="707" spans="1:11" ht="15.6">
      <c r="A707" s="28" t="s">
        <v>634</v>
      </c>
      <c r="B707" s="29">
        <v>45082.5141986409</v>
      </c>
      <c r="C707" s="29">
        <v>45089.189794074002</v>
      </c>
      <c r="D707" s="28" t="s">
        <v>94</v>
      </c>
      <c r="E707" s="28" t="s">
        <v>635</v>
      </c>
      <c r="F707" s="28" t="s">
        <v>100</v>
      </c>
      <c r="G707" s="28">
        <f t="shared" ca="1" si="22"/>
        <v>22</v>
      </c>
      <c r="H707" s="28">
        <v>2</v>
      </c>
      <c r="I707" s="25">
        <f t="shared" ca="1" si="23"/>
        <v>44</v>
      </c>
      <c r="J707" s="25" t="str">
        <f>VLOOKUP(F707,地区表!$D$2:$E$18,2,FALSE)</f>
        <v>办公用品</v>
      </c>
      <c r="K707" s="38" t="str">
        <f>VLOOKUP(E707,地区表!$A$2:$C$255,3,FALSE)</f>
        <v>华北</v>
      </c>
    </row>
    <row r="708" spans="1:11" ht="15.6">
      <c r="A708" s="28" t="s">
        <v>636</v>
      </c>
      <c r="B708" s="29">
        <v>44670.072091301998</v>
      </c>
      <c r="C708" s="29">
        <v>44674.937461415502</v>
      </c>
      <c r="D708" s="28" t="s">
        <v>98</v>
      </c>
      <c r="E708" s="28" t="s">
        <v>637</v>
      </c>
      <c r="F708" s="28" t="s">
        <v>125</v>
      </c>
      <c r="G708" s="28">
        <f t="shared" ca="1" si="22"/>
        <v>32</v>
      </c>
      <c r="H708" s="28">
        <v>5</v>
      </c>
      <c r="I708" s="25">
        <f t="shared" ca="1" si="23"/>
        <v>160</v>
      </c>
      <c r="J708" s="25" t="str">
        <f>VLOOKUP(F708,地区表!$D$2:$E$18,2,FALSE)</f>
        <v>办公用品</v>
      </c>
      <c r="K708" s="38" t="str">
        <f>VLOOKUP(E708,地区表!$A$2:$C$255,3,FALSE)</f>
        <v>中南</v>
      </c>
    </row>
    <row r="709" spans="1:11" ht="15.6">
      <c r="A709" s="28" t="s">
        <v>638</v>
      </c>
      <c r="B709" s="29">
        <v>44482.499109419201</v>
      </c>
      <c r="C709" s="29">
        <v>44484.820484138501</v>
      </c>
      <c r="D709" s="28" t="s">
        <v>94</v>
      </c>
      <c r="E709" s="28" t="s">
        <v>639</v>
      </c>
      <c r="F709" s="28" t="s">
        <v>118</v>
      </c>
      <c r="G709" s="28">
        <f t="shared" ca="1" si="22"/>
        <v>34</v>
      </c>
      <c r="H709" s="28">
        <v>3</v>
      </c>
      <c r="I709" s="25">
        <f t="shared" ca="1" si="23"/>
        <v>102</v>
      </c>
      <c r="J709" s="25" t="str">
        <f>VLOOKUP(F709,地区表!$D$2:$E$18,2,FALSE)</f>
        <v>技术</v>
      </c>
      <c r="K709" s="38" t="str">
        <f>VLOOKUP(E709,地区表!$A$2:$C$255,3,FALSE)</f>
        <v>华北</v>
      </c>
    </row>
    <row r="710" spans="1:11" ht="15.6">
      <c r="A710" s="28" t="s">
        <v>638</v>
      </c>
      <c r="B710" s="29">
        <v>44482.8473787478</v>
      </c>
      <c r="C710" s="29">
        <v>44484.356703814403</v>
      </c>
      <c r="D710" s="28" t="s">
        <v>94</v>
      </c>
      <c r="E710" s="28" t="s">
        <v>639</v>
      </c>
      <c r="F710" s="28" t="s">
        <v>96</v>
      </c>
      <c r="G710" s="28">
        <f t="shared" ca="1" si="22"/>
        <v>79</v>
      </c>
      <c r="H710" s="28">
        <v>3</v>
      </c>
      <c r="I710" s="25">
        <f t="shared" ca="1" si="23"/>
        <v>237</v>
      </c>
      <c r="J710" s="25" t="str">
        <f>VLOOKUP(F710,地区表!$D$2:$E$18,2,FALSE)</f>
        <v>办公用品</v>
      </c>
      <c r="K710" s="38" t="str">
        <f>VLOOKUP(E710,地区表!$A$2:$C$255,3,FALSE)</f>
        <v>华北</v>
      </c>
    </row>
    <row r="711" spans="1:11" ht="15.6">
      <c r="A711" s="28" t="s">
        <v>638</v>
      </c>
      <c r="B711" s="29">
        <v>44482.6893545352</v>
      </c>
      <c r="C711" s="29">
        <v>44484.466813419102</v>
      </c>
      <c r="D711" s="28" t="s">
        <v>94</v>
      </c>
      <c r="E711" s="28" t="s">
        <v>639</v>
      </c>
      <c r="F711" s="28" t="s">
        <v>101</v>
      </c>
      <c r="G711" s="28">
        <f t="shared" ca="1" si="22"/>
        <v>12</v>
      </c>
      <c r="H711" s="28">
        <v>3</v>
      </c>
      <c r="I711" s="25">
        <f t="shared" ca="1" si="23"/>
        <v>36</v>
      </c>
      <c r="J711" s="25" t="str">
        <f>VLOOKUP(F711,地区表!$D$2:$E$18,2,FALSE)</f>
        <v>办公用品</v>
      </c>
      <c r="K711" s="38" t="str">
        <f>VLOOKUP(E711,地区表!$A$2:$C$255,3,FALSE)</f>
        <v>华北</v>
      </c>
    </row>
    <row r="712" spans="1:11" ht="15.6">
      <c r="A712" s="28" t="s">
        <v>638</v>
      </c>
      <c r="B712" s="29">
        <v>44482.324155784998</v>
      </c>
      <c r="C712" s="29">
        <v>44484.996028103902</v>
      </c>
      <c r="D712" s="28" t="s">
        <v>94</v>
      </c>
      <c r="E712" s="28" t="s">
        <v>639</v>
      </c>
      <c r="F712" s="28" t="s">
        <v>141</v>
      </c>
      <c r="G712" s="28">
        <f t="shared" ca="1" si="22"/>
        <v>25</v>
      </c>
      <c r="H712" s="28">
        <v>6</v>
      </c>
      <c r="I712" s="25">
        <f t="shared" ca="1" si="23"/>
        <v>150</v>
      </c>
      <c r="J712" s="25" t="str">
        <f>VLOOKUP(F712,地区表!$D$2:$E$18,2,FALSE)</f>
        <v>办公用品</v>
      </c>
      <c r="K712" s="38" t="str">
        <f>VLOOKUP(E712,地区表!$A$2:$C$255,3,FALSE)</f>
        <v>华北</v>
      </c>
    </row>
    <row r="713" spans="1:11" ht="15.6">
      <c r="A713" s="28" t="s">
        <v>638</v>
      </c>
      <c r="B713" s="29">
        <v>44482.800244090096</v>
      </c>
      <c r="C713" s="29">
        <v>44484.521609586896</v>
      </c>
      <c r="D713" s="28" t="s">
        <v>94</v>
      </c>
      <c r="E713" s="28" t="s">
        <v>639</v>
      </c>
      <c r="F713" s="28" t="s">
        <v>100</v>
      </c>
      <c r="G713" s="28">
        <f t="shared" ca="1" si="22"/>
        <v>72</v>
      </c>
      <c r="H713" s="28">
        <v>6</v>
      </c>
      <c r="I713" s="25">
        <f t="shared" ca="1" si="23"/>
        <v>432</v>
      </c>
      <c r="J713" s="25" t="str">
        <f>VLOOKUP(F713,地区表!$D$2:$E$18,2,FALSE)</f>
        <v>办公用品</v>
      </c>
      <c r="K713" s="38" t="str">
        <f>VLOOKUP(E713,地区表!$A$2:$C$255,3,FALSE)</f>
        <v>华北</v>
      </c>
    </row>
    <row r="714" spans="1:11" ht="15.6">
      <c r="A714" s="28" t="s">
        <v>640</v>
      </c>
      <c r="B714" s="29">
        <v>45281.738939763098</v>
      </c>
      <c r="C714" s="29">
        <v>45283.859219210797</v>
      </c>
      <c r="D714" s="28" t="s">
        <v>94</v>
      </c>
      <c r="E714" s="28" t="s">
        <v>641</v>
      </c>
      <c r="F714" s="28" t="s">
        <v>101</v>
      </c>
      <c r="G714" s="28">
        <f t="shared" ca="1" si="22"/>
        <v>49</v>
      </c>
      <c r="H714" s="28">
        <v>2</v>
      </c>
      <c r="I714" s="25">
        <f t="shared" ca="1" si="23"/>
        <v>98</v>
      </c>
      <c r="J714" s="25" t="str">
        <f>VLOOKUP(F714,地区表!$D$2:$E$18,2,FALSE)</f>
        <v>办公用品</v>
      </c>
      <c r="K714" s="38" t="str">
        <f>VLOOKUP(E714,地区表!$A$2:$C$255,3,FALSE)</f>
        <v>中南</v>
      </c>
    </row>
    <row r="715" spans="1:11" ht="15.6">
      <c r="A715" s="28" t="s">
        <v>642</v>
      </c>
      <c r="B715" s="29">
        <v>44749.5159067368</v>
      </c>
      <c r="C715" s="29">
        <v>44754.980245660699</v>
      </c>
      <c r="D715" s="28" t="s">
        <v>94</v>
      </c>
      <c r="E715" s="28" t="s">
        <v>643</v>
      </c>
      <c r="F715" s="28" t="s">
        <v>135</v>
      </c>
      <c r="G715" s="28">
        <f t="shared" ca="1" si="22"/>
        <v>40</v>
      </c>
      <c r="H715" s="28">
        <v>1</v>
      </c>
      <c r="I715" s="25">
        <f t="shared" ca="1" si="23"/>
        <v>40</v>
      </c>
      <c r="J715" s="25" t="str">
        <f>VLOOKUP(F715,地区表!$D$2:$E$18,2,FALSE)</f>
        <v>办公用品</v>
      </c>
      <c r="K715" s="38" t="str">
        <f>VLOOKUP(E715,地区表!$A$2:$C$255,3,FALSE)</f>
        <v>中南</v>
      </c>
    </row>
    <row r="716" spans="1:11" ht="15.6">
      <c r="A716" s="28" t="s">
        <v>642</v>
      </c>
      <c r="B716" s="29">
        <v>44749.202610690001</v>
      </c>
      <c r="C716" s="29">
        <v>44754.066734880202</v>
      </c>
      <c r="D716" s="28" t="s">
        <v>94</v>
      </c>
      <c r="E716" s="28" t="s">
        <v>643</v>
      </c>
      <c r="F716" s="28" t="s">
        <v>110</v>
      </c>
      <c r="G716" s="28">
        <f t="shared" ca="1" si="22"/>
        <v>13</v>
      </c>
      <c r="H716" s="28">
        <v>4</v>
      </c>
      <c r="I716" s="25">
        <f t="shared" ca="1" si="23"/>
        <v>52</v>
      </c>
      <c r="J716" s="25" t="str">
        <f>VLOOKUP(F716,地区表!$D$2:$E$18,2,FALSE)</f>
        <v>家具</v>
      </c>
      <c r="K716" s="38" t="str">
        <f>VLOOKUP(E716,地区表!$A$2:$C$255,3,FALSE)</f>
        <v>中南</v>
      </c>
    </row>
    <row r="717" spans="1:11" ht="15.6">
      <c r="A717" s="28" t="s">
        <v>642</v>
      </c>
      <c r="B717" s="29">
        <v>44749.803897087702</v>
      </c>
      <c r="C717" s="29">
        <v>44754.798122117798</v>
      </c>
      <c r="D717" s="28" t="s">
        <v>94</v>
      </c>
      <c r="E717" s="28" t="s">
        <v>643</v>
      </c>
      <c r="F717" s="28" t="s">
        <v>118</v>
      </c>
      <c r="G717" s="28">
        <f t="shared" ca="1" si="22"/>
        <v>21</v>
      </c>
      <c r="H717" s="28">
        <v>3</v>
      </c>
      <c r="I717" s="25">
        <f t="shared" ca="1" si="23"/>
        <v>63</v>
      </c>
      <c r="J717" s="25" t="str">
        <f>VLOOKUP(F717,地区表!$D$2:$E$18,2,FALSE)</f>
        <v>技术</v>
      </c>
      <c r="K717" s="38" t="str">
        <f>VLOOKUP(E717,地区表!$A$2:$C$255,3,FALSE)</f>
        <v>中南</v>
      </c>
    </row>
    <row r="718" spans="1:11" ht="15.6">
      <c r="A718" s="28" t="s">
        <v>644</v>
      </c>
      <c r="B718" s="29">
        <v>44370.491345443697</v>
      </c>
      <c r="C718" s="29">
        <v>44374.542581238398</v>
      </c>
      <c r="D718" s="28" t="s">
        <v>94</v>
      </c>
      <c r="E718" s="28" t="s">
        <v>645</v>
      </c>
      <c r="F718" s="28" t="s">
        <v>122</v>
      </c>
      <c r="G718" s="28">
        <f t="shared" ca="1" si="22"/>
        <v>70</v>
      </c>
      <c r="H718" s="28">
        <v>1</v>
      </c>
      <c r="I718" s="25">
        <f t="shared" ca="1" si="23"/>
        <v>70</v>
      </c>
      <c r="J718" s="25" t="str">
        <f>VLOOKUP(F718,地区表!$D$2:$E$18,2,FALSE)</f>
        <v>技术</v>
      </c>
      <c r="K718" s="38" t="str">
        <f>VLOOKUP(E718,地区表!$A$2:$C$255,3,FALSE)</f>
        <v>东北</v>
      </c>
    </row>
    <row r="719" spans="1:11" ht="15.6">
      <c r="A719" s="28" t="s">
        <v>644</v>
      </c>
      <c r="B719" s="29">
        <v>44370.397895370697</v>
      </c>
      <c r="C719" s="29">
        <v>44374.4456410485</v>
      </c>
      <c r="D719" s="28" t="s">
        <v>94</v>
      </c>
      <c r="E719" s="28" t="s">
        <v>645</v>
      </c>
      <c r="F719" s="28" t="s">
        <v>109</v>
      </c>
      <c r="G719" s="28">
        <f t="shared" ca="1" si="22"/>
        <v>20</v>
      </c>
      <c r="H719" s="28">
        <v>2</v>
      </c>
      <c r="I719" s="25">
        <f t="shared" ca="1" si="23"/>
        <v>40</v>
      </c>
      <c r="J719" s="25" t="str">
        <f>VLOOKUP(F719,地区表!$D$2:$E$18,2,FALSE)</f>
        <v>技术</v>
      </c>
      <c r="K719" s="38" t="str">
        <f>VLOOKUP(E719,地区表!$A$2:$C$255,3,FALSE)</f>
        <v>东北</v>
      </c>
    </row>
    <row r="720" spans="1:11" ht="15.6">
      <c r="A720" s="28" t="s">
        <v>644</v>
      </c>
      <c r="B720" s="29">
        <v>44370.571139570202</v>
      </c>
      <c r="C720" s="29">
        <v>44374.381880368201</v>
      </c>
      <c r="D720" s="28" t="s">
        <v>94</v>
      </c>
      <c r="E720" s="28" t="s">
        <v>645</v>
      </c>
      <c r="F720" s="28" t="s">
        <v>130</v>
      </c>
      <c r="G720" s="28">
        <f t="shared" ca="1" si="22"/>
        <v>26</v>
      </c>
      <c r="H720" s="28">
        <v>7</v>
      </c>
      <c r="I720" s="25">
        <f t="shared" ca="1" si="23"/>
        <v>182</v>
      </c>
      <c r="J720" s="25" t="str">
        <f>VLOOKUP(F720,地区表!$D$2:$E$18,2,FALSE)</f>
        <v>家具</v>
      </c>
      <c r="K720" s="38" t="str">
        <f>VLOOKUP(E720,地区表!$A$2:$C$255,3,FALSE)</f>
        <v>东北</v>
      </c>
    </row>
    <row r="721" spans="1:11" ht="15.6">
      <c r="A721" s="28" t="s">
        <v>646</v>
      </c>
      <c r="B721" s="29">
        <v>45285.504541242401</v>
      </c>
      <c r="C721" s="29">
        <v>45287.820065362197</v>
      </c>
      <c r="D721" s="28" t="s">
        <v>98</v>
      </c>
      <c r="E721" s="28" t="s">
        <v>647</v>
      </c>
      <c r="F721" s="28" t="s">
        <v>100</v>
      </c>
      <c r="G721" s="28">
        <f t="shared" ca="1" si="22"/>
        <v>38</v>
      </c>
      <c r="H721" s="28">
        <v>6</v>
      </c>
      <c r="I721" s="25">
        <f t="shared" ca="1" si="23"/>
        <v>228</v>
      </c>
      <c r="J721" s="25" t="str">
        <f>VLOOKUP(F721,地区表!$D$2:$E$18,2,FALSE)</f>
        <v>办公用品</v>
      </c>
      <c r="K721" s="38" t="str">
        <f>VLOOKUP(E721,地区表!$A$2:$C$255,3,FALSE)</f>
        <v>中南</v>
      </c>
    </row>
    <row r="722" spans="1:11" ht="15.6">
      <c r="A722" s="28" t="s">
        <v>648</v>
      </c>
      <c r="B722" s="29">
        <v>45211.398573480197</v>
      </c>
      <c r="C722" s="29">
        <v>45215.061770550201</v>
      </c>
      <c r="D722" s="28" t="s">
        <v>98</v>
      </c>
      <c r="E722" s="28" t="s">
        <v>376</v>
      </c>
      <c r="F722" s="28" t="s">
        <v>130</v>
      </c>
      <c r="G722" s="28">
        <f t="shared" ca="1" si="22"/>
        <v>57</v>
      </c>
      <c r="H722" s="28">
        <v>3</v>
      </c>
      <c r="I722" s="25">
        <f t="shared" ca="1" si="23"/>
        <v>171</v>
      </c>
      <c r="J722" s="25" t="str">
        <f>VLOOKUP(F722,地区表!$D$2:$E$18,2,FALSE)</f>
        <v>家具</v>
      </c>
      <c r="K722" s="38" t="str">
        <f>VLOOKUP(E722,地区表!$A$2:$C$255,3,FALSE)</f>
        <v>华北</v>
      </c>
    </row>
    <row r="723" spans="1:11" ht="15.6">
      <c r="A723" s="28" t="s">
        <v>649</v>
      </c>
      <c r="B723" s="29">
        <v>45215.898063144501</v>
      </c>
      <c r="C723" s="29">
        <v>45220.534146446698</v>
      </c>
      <c r="D723" s="28" t="s">
        <v>98</v>
      </c>
      <c r="E723" s="28" t="s">
        <v>197</v>
      </c>
      <c r="F723" s="28" t="s">
        <v>118</v>
      </c>
      <c r="G723" s="28">
        <f t="shared" ca="1" si="22"/>
        <v>19</v>
      </c>
      <c r="H723" s="28">
        <v>4</v>
      </c>
      <c r="I723" s="25">
        <f t="shared" ca="1" si="23"/>
        <v>76</v>
      </c>
      <c r="J723" s="25" t="str">
        <f>VLOOKUP(F723,地区表!$D$2:$E$18,2,FALSE)</f>
        <v>技术</v>
      </c>
      <c r="K723" s="38" t="str">
        <f>VLOOKUP(E723,地区表!$A$2:$C$255,3,FALSE)</f>
        <v>中南</v>
      </c>
    </row>
    <row r="724" spans="1:11" ht="15.6">
      <c r="A724" s="28" t="s">
        <v>650</v>
      </c>
      <c r="B724" s="29">
        <v>44215.92596986</v>
      </c>
      <c r="C724" s="29">
        <v>44216.086987408598</v>
      </c>
      <c r="D724" s="28" t="s">
        <v>98</v>
      </c>
      <c r="E724" s="28" t="s">
        <v>479</v>
      </c>
      <c r="F724" s="28" t="s">
        <v>101</v>
      </c>
      <c r="G724" s="28">
        <f t="shared" ca="1" si="22"/>
        <v>38</v>
      </c>
      <c r="H724" s="28">
        <v>2</v>
      </c>
      <c r="I724" s="25">
        <f t="shared" ca="1" si="23"/>
        <v>76</v>
      </c>
      <c r="J724" s="25" t="str">
        <f>VLOOKUP(F724,地区表!$D$2:$E$18,2,FALSE)</f>
        <v>办公用品</v>
      </c>
      <c r="K724" s="38" t="str">
        <f>VLOOKUP(E724,地区表!$A$2:$C$255,3,FALSE)</f>
        <v>西南</v>
      </c>
    </row>
    <row r="725" spans="1:11" ht="15.6">
      <c r="A725" s="28" t="s">
        <v>650</v>
      </c>
      <c r="B725" s="29">
        <v>44215.678229022204</v>
      </c>
      <c r="C725" s="29">
        <v>44216.8560986425</v>
      </c>
      <c r="D725" s="28" t="s">
        <v>98</v>
      </c>
      <c r="E725" s="28" t="s">
        <v>479</v>
      </c>
      <c r="F725" s="28" t="s">
        <v>100</v>
      </c>
      <c r="G725" s="28">
        <f t="shared" ca="1" si="22"/>
        <v>32</v>
      </c>
      <c r="H725" s="28">
        <v>5</v>
      </c>
      <c r="I725" s="25">
        <f t="shared" ca="1" si="23"/>
        <v>160</v>
      </c>
      <c r="J725" s="25" t="str">
        <f>VLOOKUP(F725,地区表!$D$2:$E$18,2,FALSE)</f>
        <v>办公用品</v>
      </c>
      <c r="K725" s="38" t="str">
        <f>VLOOKUP(E725,地区表!$A$2:$C$255,3,FALSE)</f>
        <v>西南</v>
      </c>
    </row>
    <row r="726" spans="1:11" ht="15.6">
      <c r="A726" s="28" t="s">
        <v>651</v>
      </c>
      <c r="B726" s="29">
        <v>44939.728629612597</v>
      </c>
      <c r="C726" s="29">
        <v>44943.310584550898</v>
      </c>
      <c r="D726" s="28" t="s">
        <v>94</v>
      </c>
      <c r="E726" s="28" t="s">
        <v>233</v>
      </c>
      <c r="F726" s="28" t="s">
        <v>96</v>
      </c>
      <c r="G726" s="28">
        <f t="shared" ca="1" si="22"/>
        <v>85</v>
      </c>
      <c r="H726" s="28">
        <v>3</v>
      </c>
      <c r="I726" s="25">
        <f t="shared" ca="1" si="23"/>
        <v>255</v>
      </c>
      <c r="J726" s="25" t="str">
        <f>VLOOKUP(F726,地区表!$D$2:$E$18,2,FALSE)</f>
        <v>办公用品</v>
      </c>
      <c r="K726" s="38" t="str">
        <f>VLOOKUP(E726,地区表!$A$2:$C$255,3,FALSE)</f>
        <v>西北</v>
      </c>
    </row>
    <row r="727" spans="1:11" ht="15.6">
      <c r="A727" s="28" t="s">
        <v>652</v>
      </c>
      <c r="B727" s="29">
        <v>45237.543694384702</v>
      </c>
      <c r="C727" s="29">
        <v>45241.096399663496</v>
      </c>
      <c r="D727" s="28" t="s">
        <v>98</v>
      </c>
      <c r="E727" s="28" t="s">
        <v>316</v>
      </c>
      <c r="F727" s="28" t="s">
        <v>122</v>
      </c>
      <c r="G727" s="28">
        <f t="shared" ca="1" si="22"/>
        <v>48</v>
      </c>
      <c r="H727" s="28">
        <v>3</v>
      </c>
      <c r="I727" s="25">
        <f t="shared" ca="1" si="23"/>
        <v>144</v>
      </c>
      <c r="J727" s="25" t="str">
        <f>VLOOKUP(F727,地区表!$D$2:$E$18,2,FALSE)</f>
        <v>技术</v>
      </c>
      <c r="K727" s="38" t="str">
        <f>VLOOKUP(E727,地区表!$A$2:$C$255,3,FALSE)</f>
        <v>华北</v>
      </c>
    </row>
    <row r="728" spans="1:11" ht="15.6">
      <c r="A728" s="28" t="s">
        <v>653</v>
      </c>
      <c r="B728" s="29">
        <v>44955.243819007897</v>
      </c>
      <c r="C728" s="29">
        <v>44957.308526386398</v>
      </c>
      <c r="D728" s="28" t="s">
        <v>94</v>
      </c>
      <c r="E728" s="28" t="s">
        <v>164</v>
      </c>
      <c r="F728" s="28" t="s">
        <v>101</v>
      </c>
      <c r="G728" s="28">
        <f t="shared" ca="1" si="22"/>
        <v>43</v>
      </c>
      <c r="H728" s="28">
        <v>4</v>
      </c>
      <c r="I728" s="25">
        <f t="shared" ca="1" si="23"/>
        <v>172</v>
      </c>
      <c r="J728" s="25" t="str">
        <f>VLOOKUP(F728,地区表!$D$2:$E$18,2,FALSE)</f>
        <v>办公用品</v>
      </c>
      <c r="K728" s="38" t="str">
        <f>VLOOKUP(E728,地区表!$A$2:$C$255,3,FALSE)</f>
        <v>西北</v>
      </c>
    </row>
    <row r="729" spans="1:11" ht="15.6">
      <c r="A729" s="28" t="s">
        <v>654</v>
      </c>
      <c r="B729" s="29">
        <v>44648.603573640998</v>
      </c>
      <c r="C729" s="29">
        <v>44651.880475571197</v>
      </c>
      <c r="D729" s="28" t="s">
        <v>114</v>
      </c>
      <c r="E729" s="28" t="s">
        <v>115</v>
      </c>
      <c r="F729" s="28" t="s">
        <v>110</v>
      </c>
      <c r="G729" s="28">
        <f t="shared" ca="1" si="22"/>
        <v>98</v>
      </c>
      <c r="H729" s="28">
        <v>5</v>
      </c>
      <c r="I729" s="25">
        <f t="shared" ca="1" si="23"/>
        <v>490</v>
      </c>
      <c r="J729" s="25" t="str">
        <f>VLOOKUP(F729,地区表!$D$2:$E$18,2,FALSE)</f>
        <v>家具</v>
      </c>
      <c r="K729" s="38" t="str">
        <f>VLOOKUP(E729,地区表!$A$2:$C$255,3,FALSE)</f>
        <v>西北</v>
      </c>
    </row>
    <row r="730" spans="1:11" ht="15.6">
      <c r="A730" s="28" t="s">
        <v>655</v>
      </c>
      <c r="B730" s="29">
        <v>45271.170465097501</v>
      </c>
      <c r="C730" s="29">
        <v>45275.095601942303</v>
      </c>
      <c r="D730" s="28" t="s">
        <v>98</v>
      </c>
      <c r="E730" s="28" t="s">
        <v>656</v>
      </c>
      <c r="F730" s="28" t="s">
        <v>130</v>
      </c>
      <c r="G730" s="28">
        <f t="shared" ca="1" si="22"/>
        <v>75</v>
      </c>
      <c r="H730" s="28">
        <v>3</v>
      </c>
      <c r="I730" s="25">
        <f t="shared" ca="1" si="23"/>
        <v>225</v>
      </c>
      <c r="J730" s="25" t="str">
        <f>VLOOKUP(F730,地区表!$D$2:$E$18,2,FALSE)</f>
        <v>家具</v>
      </c>
      <c r="K730" s="38" t="str">
        <f>VLOOKUP(E730,地区表!$A$2:$C$255,3,FALSE)</f>
        <v>中南</v>
      </c>
    </row>
    <row r="731" spans="1:11" ht="15.6">
      <c r="A731" s="28" t="s">
        <v>657</v>
      </c>
      <c r="B731" s="29">
        <v>44341.494516463797</v>
      </c>
      <c r="C731" s="29">
        <v>44345.666475167804</v>
      </c>
      <c r="D731" s="28" t="s">
        <v>94</v>
      </c>
      <c r="E731" s="28" t="s">
        <v>271</v>
      </c>
      <c r="F731" s="28" t="s">
        <v>135</v>
      </c>
      <c r="G731" s="28">
        <f t="shared" ca="1" si="22"/>
        <v>61</v>
      </c>
      <c r="H731" s="28">
        <v>7</v>
      </c>
      <c r="I731" s="25">
        <f t="shared" ca="1" si="23"/>
        <v>427</v>
      </c>
      <c r="J731" s="25" t="str">
        <f>VLOOKUP(F731,地区表!$D$2:$E$18,2,FALSE)</f>
        <v>办公用品</v>
      </c>
      <c r="K731" s="38" t="str">
        <f>VLOOKUP(E731,地区表!$A$2:$C$255,3,FALSE)</f>
        <v>华北</v>
      </c>
    </row>
    <row r="732" spans="1:11" ht="15.6">
      <c r="A732" s="28" t="s">
        <v>657</v>
      </c>
      <c r="B732" s="29">
        <v>44341.429209382601</v>
      </c>
      <c r="C732" s="29">
        <v>44345.315471888498</v>
      </c>
      <c r="D732" s="28" t="s">
        <v>94</v>
      </c>
      <c r="E732" s="28" t="s">
        <v>271</v>
      </c>
      <c r="F732" s="28" t="s">
        <v>110</v>
      </c>
      <c r="G732" s="28">
        <f t="shared" ca="1" si="22"/>
        <v>54</v>
      </c>
      <c r="H732" s="28">
        <v>3</v>
      </c>
      <c r="I732" s="25">
        <f t="shared" ca="1" si="23"/>
        <v>162</v>
      </c>
      <c r="J732" s="25" t="str">
        <f>VLOOKUP(F732,地区表!$D$2:$E$18,2,FALSE)</f>
        <v>家具</v>
      </c>
      <c r="K732" s="38" t="str">
        <f>VLOOKUP(E732,地区表!$A$2:$C$255,3,FALSE)</f>
        <v>华北</v>
      </c>
    </row>
    <row r="733" spans="1:11" ht="15.6">
      <c r="A733" s="28" t="s">
        <v>657</v>
      </c>
      <c r="B733" s="29">
        <v>44341.2953618838</v>
      </c>
      <c r="C733" s="29">
        <v>44345.489439256198</v>
      </c>
      <c r="D733" s="28" t="s">
        <v>94</v>
      </c>
      <c r="E733" s="28" t="s">
        <v>271</v>
      </c>
      <c r="F733" s="28" t="s">
        <v>141</v>
      </c>
      <c r="G733" s="28">
        <f t="shared" ca="1" si="22"/>
        <v>71</v>
      </c>
      <c r="H733" s="28">
        <v>5</v>
      </c>
      <c r="I733" s="25">
        <f t="shared" ca="1" si="23"/>
        <v>355</v>
      </c>
      <c r="J733" s="25" t="str">
        <f>VLOOKUP(F733,地区表!$D$2:$E$18,2,FALSE)</f>
        <v>办公用品</v>
      </c>
      <c r="K733" s="38" t="str">
        <f>VLOOKUP(E733,地区表!$A$2:$C$255,3,FALSE)</f>
        <v>华北</v>
      </c>
    </row>
    <row r="734" spans="1:11" ht="15.6">
      <c r="A734" s="28" t="s">
        <v>658</v>
      </c>
      <c r="B734" s="29">
        <v>45278.317711079799</v>
      </c>
      <c r="C734" s="29">
        <v>45282.722678271799</v>
      </c>
      <c r="D734" s="28" t="s">
        <v>94</v>
      </c>
      <c r="E734" s="28" t="s">
        <v>659</v>
      </c>
      <c r="F734" s="28" t="s">
        <v>100</v>
      </c>
      <c r="G734" s="28">
        <f t="shared" ca="1" si="22"/>
        <v>70</v>
      </c>
      <c r="H734" s="28">
        <v>2</v>
      </c>
      <c r="I734" s="25">
        <f t="shared" ca="1" si="23"/>
        <v>140</v>
      </c>
      <c r="J734" s="25" t="str">
        <f>VLOOKUP(F734,地区表!$D$2:$E$18,2,FALSE)</f>
        <v>办公用品</v>
      </c>
      <c r="K734" s="38" t="str">
        <f>VLOOKUP(E734,地区表!$A$2:$C$255,3,FALSE)</f>
        <v>西南</v>
      </c>
    </row>
    <row r="735" spans="1:11" ht="15.6">
      <c r="A735" s="28" t="s">
        <v>660</v>
      </c>
      <c r="B735" s="29">
        <v>44779.476520909899</v>
      </c>
      <c r="C735" s="29">
        <v>44782.1202497138</v>
      </c>
      <c r="D735" s="28" t="s">
        <v>114</v>
      </c>
      <c r="E735" s="28" t="s">
        <v>337</v>
      </c>
      <c r="F735" s="28" t="s">
        <v>122</v>
      </c>
      <c r="G735" s="28">
        <f t="shared" ca="1" si="22"/>
        <v>32</v>
      </c>
      <c r="H735" s="28">
        <v>1</v>
      </c>
      <c r="I735" s="25">
        <f t="shared" ca="1" si="23"/>
        <v>32</v>
      </c>
      <c r="J735" s="25" t="str">
        <f>VLOOKUP(F735,地区表!$D$2:$E$18,2,FALSE)</f>
        <v>技术</v>
      </c>
      <c r="K735" s="38" t="str">
        <f>VLOOKUP(E735,地区表!$A$2:$C$255,3,FALSE)</f>
        <v>西南</v>
      </c>
    </row>
    <row r="736" spans="1:11" ht="15.6">
      <c r="A736" s="28" t="s">
        <v>660</v>
      </c>
      <c r="B736" s="29">
        <v>44779.6048753945</v>
      </c>
      <c r="C736" s="29">
        <v>44782.243888119199</v>
      </c>
      <c r="D736" s="28" t="s">
        <v>114</v>
      </c>
      <c r="E736" s="28" t="s">
        <v>337</v>
      </c>
      <c r="F736" s="28" t="s">
        <v>100</v>
      </c>
      <c r="G736" s="28">
        <f t="shared" ca="1" si="22"/>
        <v>17</v>
      </c>
      <c r="H736" s="28">
        <v>6</v>
      </c>
      <c r="I736" s="25">
        <f t="shared" ca="1" si="23"/>
        <v>102</v>
      </c>
      <c r="J736" s="25" t="str">
        <f>VLOOKUP(F736,地区表!$D$2:$E$18,2,FALSE)</f>
        <v>办公用品</v>
      </c>
      <c r="K736" s="38" t="str">
        <f>VLOOKUP(E736,地区表!$A$2:$C$255,3,FALSE)</f>
        <v>西南</v>
      </c>
    </row>
    <row r="737" spans="1:11" ht="15.6">
      <c r="A737" s="28" t="s">
        <v>661</v>
      </c>
      <c r="B737" s="29">
        <v>44279.7966642623</v>
      </c>
      <c r="C737" s="29">
        <v>44282.970509106097</v>
      </c>
      <c r="D737" s="28" t="s">
        <v>94</v>
      </c>
      <c r="E737" s="28" t="s">
        <v>662</v>
      </c>
      <c r="F737" s="28" t="s">
        <v>131</v>
      </c>
      <c r="G737" s="28">
        <f t="shared" ca="1" si="22"/>
        <v>67</v>
      </c>
      <c r="H737" s="28">
        <v>4</v>
      </c>
      <c r="I737" s="25">
        <f t="shared" ca="1" si="23"/>
        <v>268</v>
      </c>
      <c r="J737" s="25" t="str">
        <f>VLOOKUP(F737,地区表!$D$2:$E$18,2,FALSE)</f>
        <v>家具</v>
      </c>
      <c r="K737" s="38" t="str">
        <f>VLOOKUP(E737,地区表!$A$2:$C$255,3,FALSE)</f>
        <v>中南</v>
      </c>
    </row>
    <row r="738" spans="1:11" ht="15.6">
      <c r="A738" s="28" t="s">
        <v>663</v>
      </c>
      <c r="B738" s="29">
        <v>44208.964442219403</v>
      </c>
      <c r="C738" s="29">
        <v>44213.942988091701</v>
      </c>
      <c r="D738" s="28" t="s">
        <v>94</v>
      </c>
      <c r="E738" s="28" t="s">
        <v>664</v>
      </c>
      <c r="F738" s="28" t="s">
        <v>100</v>
      </c>
      <c r="G738" s="28">
        <f t="shared" ca="1" si="22"/>
        <v>76</v>
      </c>
      <c r="H738" s="28">
        <v>3</v>
      </c>
      <c r="I738" s="25">
        <f t="shared" ca="1" si="23"/>
        <v>228</v>
      </c>
      <c r="J738" s="25" t="str">
        <f>VLOOKUP(F738,地区表!$D$2:$E$18,2,FALSE)</f>
        <v>办公用品</v>
      </c>
      <c r="K738" s="38" t="str">
        <f>VLOOKUP(E738,地区表!$A$2:$C$255,3,FALSE)</f>
        <v>西南</v>
      </c>
    </row>
    <row r="739" spans="1:11" ht="15.6">
      <c r="A739" s="28" t="s">
        <v>665</v>
      </c>
      <c r="B739" s="29">
        <v>44713.3375451877</v>
      </c>
      <c r="C739" s="29">
        <v>44714.090858221498</v>
      </c>
      <c r="D739" s="28" t="s">
        <v>114</v>
      </c>
      <c r="E739" s="28" t="s">
        <v>416</v>
      </c>
      <c r="F739" s="28" t="s">
        <v>125</v>
      </c>
      <c r="G739" s="28">
        <f t="shared" ca="1" si="22"/>
        <v>87</v>
      </c>
      <c r="H739" s="28">
        <v>14</v>
      </c>
      <c r="I739" s="25">
        <f t="shared" ca="1" si="23"/>
        <v>1218</v>
      </c>
      <c r="J739" s="25" t="str">
        <f>VLOOKUP(F739,地区表!$D$2:$E$18,2,FALSE)</f>
        <v>办公用品</v>
      </c>
      <c r="K739" s="38" t="str">
        <f>VLOOKUP(E739,地区表!$A$2:$C$255,3,FALSE)</f>
        <v>华东</v>
      </c>
    </row>
    <row r="740" spans="1:11" ht="15.6">
      <c r="A740" s="28" t="s">
        <v>666</v>
      </c>
      <c r="B740" s="29">
        <v>44356.362770851803</v>
      </c>
      <c r="C740" s="29">
        <v>44361.096229328898</v>
      </c>
      <c r="D740" s="28" t="s">
        <v>98</v>
      </c>
      <c r="E740" s="28" t="s">
        <v>667</v>
      </c>
      <c r="F740" s="28" t="s">
        <v>122</v>
      </c>
      <c r="G740" s="28">
        <f t="shared" ca="1" si="22"/>
        <v>99</v>
      </c>
      <c r="H740" s="28">
        <v>2</v>
      </c>
      <c r="I740" s="25">
        <f t="shared" ca="1" si="23"/>
        <v>198</v>
      </c>
      <c r="J740" s="25" t="str">
        <f>VLOOKUP(F740,地区表!$D$2:$E$18,2,FALSE)</f>
        <v>技术</v>
      </c>
      <c r="K740" s="38" t="str">
        <f>VLOOKUP(E740,地区表!$A$2:$C$255,3,FALSE)</f>
        <v>华东</v>
      </c>
    </row>
    <row r="741" spans="1:11" ht="15.6">
      <c r="A741" s="28" t="s">
        <v>668</v>
      </c>
      <c r="B741" s="29">
        <v>44487.094284762403</v>
      </c>
      <c r="C741" s="29">
        <v>44489.327242935004</v>
      </c>
      <c r="D741" s="28" t="s">
        <v>94</v>
      </c>
      <c r="E741" s="28" t="s">
        <v>669</v>
      </c>
      <c r="F741" s="28" t="s">
        <v>100</v>
      </c>
      <c r="G741" s="28">
        <f t="shared" ca="1" si="22"/>
        <v>21</v>
      </c>
      <c r="H741" s="28">
        <v>7</v>
      </c>
      <c r="I741" s="25">
        <f t="shared" ca="1" si="23"/>
        <v>147</v>
      </c>
      <c r="J741" s="25" t="str">
        <f>VLOOKUP(F741,地区表!$D$2:$E$18,2,FALSE)</f>
        <v>办公用品</v>
      </c>
      <c r="K741" s="38" t="str">
        <f>VLOOKUP(E741,地区表!$A$2:$C$255,3,FALSE)</f>
        <v>中南</v>
      </c>
    </row>
    <row r="742" spans="1:11" ht="15.6">
      <c r="A742" s="28" t="s">
        <v>668</v>
      </c>
      <c r="B742" s="29">
        <v>44487.025953793702</v>
      </c>
      <c r="C742" s="29">
        <v>44489.035567990497</v>
      </c>
      <c r="D742" s="28" t="s">
        <v>94</v>
      </c>
      <c r="E742" s="28" t="s">
        <v>669</v>
      </c>
      <c r="F742" s="28" t="s">
        <v>118</v>
      </c>
      <c r="G742" s="28">
        <f t="shared" ca="1" si="22"/>
        <v>90</v>
      </c>
      <c r="H742" s="28">
        <v>2</v>
      </c>
      <c r="I742" s="25">
        <f t="shared" ca="1" si="23"/>
        <v>180</v>
      </c>
      <c r="J742" s="25" t="str">
        <f>VLOOKUP(F742,地区表!$D$2:$E$18,2,FALSE)</f>
        <v>技术</v>
      </c>
      <c r="K742" s="38" t="str">
        <f>VLOOKUP(E742,地区表!$A$2:$C$255,3,FALSE)</f>
        <v>中南</v>
      </c>
    </row>
    <row r="743" spans="1:11" ht="15.6">
      <c r="A743" s="28" t="s">
        <v>668</v>
      </c>
      <c r="B743" s="29">
        <v>44487.756963137101</v>
      </c>
      <c r="C743" s="29">
        <v>44489.900792676897</v>
      </c>
      <c r="D743" s="28" t="s">
        <v>94</v>
      </c>
      <c r="E743" s="28" t="s">
        <v>669</v>
      </c>
      <c r="F743" s="28" t="s">
        <v>130</v>
      </c>
      <c r="G743" s="28">
        <f t="shared" ca="1" si="22"/>
        <v>71</v>
      </c>
      <c r="H743" s="28">
        <v>8</v>
      </c>
      <c r="I743" s="25">
        <f t="shared" ca="1" si="23"/>
        <v>568</v>
      </c>
      <c r="J743" s="25" t="str">
        <f>VLOOKUP(F743,地区表!$D$2:$E$18,2,FALSE)</f>
        <v>家具</v>
      </c>
      <c r="K743" s="38" t="str">
        <f>VLOOKUP(E743,地区表!$A$2:$C$255,3,FALSE)</f>
        <v>中南</v>
      </c>
    </row>
    <row r="744" spans="1:11" ht="15.6">
      <c r="A744" s="28" t="s">
        <v>668</v>
      </c>
      <c r="B744" s="29">
        <v>44487.1421901824</v>
      </c>
      <c r="C744" s="29">
        <v>44489.314970562402</v>
      </c>
      <c r="D744" s="28" t="s">
        <v>94</v>
      </c>
      <c r="E744" s="28" t="s">
        <v>669</v>
      </c>
      <c r="F744" s="28" t="s">
        <v>130</v>
      </c>
      <c r="G744" s="28">
        <f t="shared" ca="1" si="22"/>
        <v>11</v>
      </c>
      <c r="H744" s="28">
        <v>4</v>
      </c>
      <c r="I744" s="25">
        <f t="shared" ca="1" si="23"/>
        <v>44</v>
      </c>
      <c r="J744" s="25" t="str">
        <f>VLOOKUP(F744,地区表!$D$2:$E$18,2,FALSE)</f>
        <v>家具</v>
      </c>
      <c r="K744" s="38" t="str">
        <f>VLOOKUP(E744,地区表!$A$2:$C$255,3,FALSE)</f>
        <v>中南</v>
      </c>
    </row>
    <row r="745" spans="1:11" ht="15.6">
      <c r="A745" s="28" t="s">
        <v>668</v>
      </c>
      <c r="B745" s="29">
        <v>44487.019584080103</v>
      </c>
      <c r="C745" s="29">
        <v>44489.380117872999</v>
      </c>
      <c r="D745" s="28" t="s">
        <v>94</v>
      </c>
      <c r="E745" s="28" t="s">
        <v>669</v>
      </c>
      <c r="F745" s="28" t="s">
        <v>112</v>
      </c>
      <c r="G745" s="28">
        <f t="shared" ca="1" si="22"/>
        <v>88</v>
      </c>
      <c r="H745" s="28">
        <v>7</v>
      </c>
      <c r="I745" s="25">
        <f t="shared" ca="1" si="23"/>
        <v>616</v>
      </c>
      <c r="J745" s="25" t="str">
        <f>VLOOKUP(F745,地区表!$D$2:$E$18,2,FALSE)</f>
        <v>办公用品</v>
      </c>
      <c r="K745" s="38" t="str">
        <f>VLOOKUP(E745,地区表!$A$2:$C$255,3,FALSE)</f>
        <v>中南</v>
      </c>
    </row>
    <row r="746" spans="1:11" ht="15.6">
      <c r="A746" s="28" t="s">
        <v>668</v>
      </c>
      <c r="B746" s="29">
        <v>44487.9147789333</v>
      </c>
      <c r="C746" s="29">
        <v>44489.484757596103</v>
      </c>
      <c r="D746" s="28" t="s">
        <v>94</v>
      </c>
      <c r="E746" s="28" t="s">
        <v>669</v>
      </c>
      <c r="F746" s="28" t="s">
        <v>141</v>
      </c>
      <c r="G746" s="28">
        <f t="shared" ca="1" si="22"/>
        <v>44</v>
      </c>
      <c r="H746" s="28">
        <v>3</v>
      </c>
      <c r="I746" s="25">
        <f t="shared" ca="1" si="23"/>
        <v>132</v>
      </c>
      <c r="J746" s="25" t="str">
        <f>VLOOKUP(F746,地区表!$D$2:$E$18,2,FALSE)</f>
        <v>办公用品</v>
      </c>
      <c r="K746" s="38" t="str">
        <f>VLOOKUP(E746,地区表!$A$2:$C$255,3,FALSE)</f>
        <v>中南</v>
      </c>
    </row>
    <row r="747" spans="1:11" ht="15.6">
      <c r="A747" s="28" t="s">
        <v>668</v>
      </c>
      <c r="B747" s="29">
        <v>44487.396133722599</v>
      </c>
      <c r="C747" s="29">
        <v>44489.2191141566</v>
      </c>
      <c r="D747" s="28" t="s">
        <v>94</v>
      </c>
      <c r="E747" s="28" t="s">
        <v>669</v>
      </c>
      <c r="F747" s="28" t="s">
        <v>109</v>
      </c>
      <c r="G747" s="28">
        <f t="shared" ca="1" si="22"/>
        <v>48</v>
      </c>
      <c r="H747" s="28">
        <v>4</v>
      </c>
      <c r="I747" s="25">
        <f t="shared" ca="1" si="23"/>
        <v>192</v>
      </c>
      <c r="J747" s="25" t="str">
        <f>VLOOKUP(F747,地区表!$D$2:$E$18,2,FALSE)</f>
        <v>技术</v>
      </c>
      <c r="K747" s="38" t="str">
        <f>VLOOKUP(E747,地区表!$A$2:$C$255,3,FALSE)</f>
        <v>中南</v>
      </c>
    </row>
    <row r="748" spans="1:11" ht="15.6">
      <c r="A748" s="28" t="s">
        <v>670</v>
      </c>
      <c r="B748" s="29">
        <v>44538.536413388101</v>
      </c>
      <c r="C748" s="29">
        <v>44545.212920721802</v>
      </c>
      <c r="D748" s="28" t="s">
        <v>94</v>
      </c>
      <c r="E748" s="28" t="s">
        <v>671</v>
      </c>
      <c r="F748" s="28" t="s">
        <v>96</v>
      </c>
      <c r="G748" s="28">
        <f t="shared" ca="1" si="22"/>
        <v>63</v>
      </c>
      <c r="H748" s="28">
        <v>2</v>
      </c>
      <c r="I748" s="25">
        <f t="shared" ca="1" si="23"/>
        <v>126</v>
      </c>
      <c r="J748" s="25" t="str">
        <f>VLOOKUP(F748,地区表!$D$2:$E$18,2,FALSE)</f>
        <v>办公用品</v>
      </c>
      <c r="K748" s="38" t="str">
        <f>VLOOKUP(E748,地区表!$A$2:$C$255,3,FALSE)</f>
        <v>东北</v>
      </c>
    </row>
    <row r="749" spans="1:11" ht="15.6">
      <c r="A749" s="28" t="s">
        <v>672</v>
      </c>
      <c r="B749" s="29">
        <v>44490.152518156799</v>
      </c>
      <c r="C749" s="29">
        <v>44494.978460816601</v>
      </c>
      <c r="D749" s="28" t="s">
        <v>98</v>
      </c>
      <c r="E749" s="28" t="s">
        <v>297</v>
      </c>
      <c r="F749" s="28" t="s">
        <v>100</v>
      </c>
      <c r="G749" s="28">
        <f t="shared" ca="1" si="22"/>
        <v>33</v>
      </c>
      <c r="H749" s="28">
        <v>2</v>
      </c>
      <c r="I749" s="25">
        <f t="shared" ca="1" si="23"/>
        <v>66</v>
      </c>
      <c r="J749" s="25" t="str">
        <f>VLOOKUP(F749,地区表!$D$2:$E$18,2,FALSE)</f>
        <v>办公用品</v>
      </c>
      <c r="K749" s="38" t="str">
        <f>VLOOKUP(E749,地区表!$A$2:$C$255,3,FALSE)</f>
        <v>华北</v>
      </c>
    </row>
    <row r="750" spans="1:11" ht="15.6">
      <c r="A750" s="28" t="s">
        <v>673</v>
      </c>
      <c r="B750" s="29">
        <v>45099.944654332299</v>
      </c>
      <c r="C750" s="29">
        <v>45103.171274702298</v>
      </c>
      <c r="D750" s="28" t="s">
        <v>98</v>
      </c>
      <c r="E750" s="28" t="s">
        <v>117</v>
      </c>
      <c r="F750" s="28" t="s">
        <v>144</v>
      </c>
      <c r="G750" s="28">
        <f t="shared" ca="1" si="22"/>
        <v>75</v>
      </c>
      <c r="H750" s="28">
        <v>7</v>
      </c>
      <c r="I750" s="25">
        <f t="shared" ca="1" si="23"/>
        <v>525</v>
      </c>
      <c r="J750" s="25" t="str">
        <f>VLOOKUP(F750,地区表!$D$2:$E$18,2,FALSE)</f>
        <v>家具</v>
      </c>
      <c r="K750" s="38" t="str">
        <f>VLOOKUP(E750,地区表!$A$2:$C$255,3,FALSE)</f>
        <v>东北</v>
      </c>
    </row>
    <row r="751" spans="1:11" ht="15.6">
      <c r="A751" s="28" t="s">
        <v>673</v>
      </c>
      <c r="B751" s="29">
        <v>45099.244170954204</v>
      </c>
      <c r="C751" s="29">
        <v>45103.591434991402</v>
      </c>
      <c r="D751" s="28" t="s">
        <v>98</v>
      </c>
      <c r="E751" s="28" t="s">
        <v>117</v>
      </c>
      <c r="F751" s="28" t="s">
        <v>96</v>
      </c>
      <c r="G751" s="28">
        <f t="shared" ca="1" si="22"/>
        <v>25</v>
      </c>
      <c r="H751" s="28">
        <v>3</v>
      </c>
      <c r="I751" s="25">
        <f t="shared" ca="1" si="23"/>
        <v>75</v>
      </c>
      <c r="J751" s="25" t="str">
        <f>VLOOKUP(F751,地区表!$D$2:$E$18,2,FALSE)</f>
        <v>办公用品</v>
      </c>
      <c r="K751" s="38" t="str">
        <f>VLOOKUP(E751,地区表!$A$2:$C$255,3,FALSE)</f>
        <v>东北</v>
      </c>
    </row>
    <row r="752" spans="1:11" ht="15.6">
      <c r="A752" s="28" t="s">
        <v>673</v>
      </c>
      <c r="B752" s="29">
        <v>45099.229274572797</v>
      </c>
      <c r="C752" s="29">
        <v>45103.565893905303</v>
      </c>
      <c r="D752" s="28" t="s">
        <v>98</v>
      </c>
      <c r="E752" s="28" t="s">
        <v>117</v>
      </c>
      <c r="F752" s="28" t="s">
        <v>101</v>
      </c>
      <c r="G752" s="28">
        <f t="shared" ca="1" si="22"/>
        <v>63</v>
      </c>
      <c r="H752" s="28">
        <v>7</v>
      </c>
      <c r="I752" s="25">
        <f t="shared" ca="1" si="23"/>
        <v>441</v>
      </c>
      <c r="J752" s="25" t="str">
        <f>VLOOKUP(F752,地区表!$D$2:$E$18,2,FALSE)</f>
        <v>办公用品</v>
      </c>
      <c r="K752" s="38" t="str">
        <f>VLOOKUP(E752,地区表!$A$2:$C$255,3,FALSE)</f>
        <v>东北</v>
      </c>
    </row>
    <row r="753" spans="1:11" ht="15.6">
      <c r="A753" s="28" t="s">
        <v>673</v>
      </c>
      <c r="B753" s="29">
        <v>45099.846072689397</v>
      </c>
      <c r="C753" s="29">
        <v>45103.113657706803</v>
      </c>
      <c r="D753" s="28" t="s">
        <v>98</v>
      </c>
      <c r="E753" s="28" t="s">
        <v>117</v>
      </c>
      <c r="F753" s="28" t="s">
        <v>106</v>
      </c>
      <c r="G753" s="28">
        <f t="shared" ca="1" si="22"/>
        <v>81</v>
      </c>
      <c r="H753" s="28">
        <v>3</v>
      </c>
      <c r="I753" s="25">
        <f t="shared" ca="1" si="23"/>
        <v>243</v>
      </c>
      <c r="J753" s="25" t="str">
        <f>VLOOKUP(F753,地区表!$D$2:$E$18,2,FALSE)</f>
        <v>办公用品</v>
      </c>
      <c r="K753" s="38" t="str">
        <f>VLOOKUP(E753,地区表!$A$2:$C$255,3,FALSE)</f>
        <v>东北</v>
      </c>
    </row>
    <row r="754" spans="1:11" ht="15.6">
      <c r="A754" s="28" t="s">
        <v>674</v>
      </c>
      <c r="B754" s="29">
        <v>44681.781893929401</v>
      </c>
      <c r="C754" s="29">
        <v>44686.702478201703</v>
      </c>
      <c r="D754" s="28" t="s">
        <v>114</v>
      </c>
      <c r="E754" s="28" t="s">
        <v>397</v>
      </c>
      <c r="F754" s="28" t="s">
        <v>125</v>
      </c>
      <c r="G754" s="28">
        <f t="shared" ca="1" si="22"/>
        <v>27</v>
      </c>
      <c r="H754" s="28">
        <v>2</v>
      </c>
      <c r="I754" s="25">
        <f t="shared" ca="1" si="23"/>
        <v>54</v>
      </c>
      <c r="J754" s="25" t="str">
        <f>VLOOKUP(F754,地区表!$D$2:$E$18,2,FALSE)</f>
        <v>办公用品</v>
      </c>
      <c r="K754" s="38" t="str">
        <f>VLOOKUP(E754,地区表!$A$2:$C$255,3,FALSE)</f>
        <v>华东</v>
      </c>
    </row>
    <row r="755" spans="1:11" ht="15.6">
      <c r="A755" s="28" t="s">
        <v>674</v>
      </c>
      <c r="B755" s="29">
        <v>44681.316309826703</v>
      </c>
      <c r="C755" s="29">
        <v>44686.5373527595</v>
      </c>
      <c r="D755" s="28" t="s">
        <v>114</v>
      </c>
      <c r="E755" s="28" t="s">
        <v>397</v>
      </c>
      <c r="F755" s="28" t="s">
        <v>106</v>
      </c>
      <c r="G755" s="28">
        <f t="shared" ca="1" si="22"/>
        <v>50</v>
      </c>
      <c r="H755" s="28">
        <v>5</v>
      </c>
      <c r="I755" s="25">
        <f t="shared" ca="1" si="23"/>
        <v>250</v>
      </c>
      <c r="J755" s="25" t="str">
        <f>VLOOKUP(F755,地区表!$D$2:$E$18,2,FALSE)</f>
        <v>办公用品</v>
      </c>
      <c r="K755" s="38" t="str">
        <f>VLOOKUP(E755,地区表!$A$2:$C$255,3,FALSE)</f>
        <v>华东</v>
      </c>
    </row>
    <row r="756" spans="1:11" ht="15.6">
      <c r="A756" s="28" t="s">
        <v>674</v>
      </c>
      <c r="B756" s="29">
        <v>44681.494951016502</v>
      </c>
      <c r="C756" s="29">
        <v>44686.723835989003</v>
      </c>
      <c r="D756" s="28" t="s">
        <v>114</v>
      </c>
      <c r="E756" s="28" t="s">
        <v>397</v>
      </c>
      <c r="F756" s="28" t="s">
        <v>106</v>
      </c>
      <c r="G756" s="28">
        <f t="shared" ca="1" si="22"/>
        <v>20</v>
      </c>
      <c r="H756" s="28">
        <v>5</v>
      </c>
      <c r="I756" s="25">
        <f t="shared" ca="1" si="23"/>
        <v>100</v>
      </c>
      <c r="J756" s="25" t="str">
        <f>VLOOKUP(F756,地区表!$D$2:$E$18,2,FALSE)</f>
        <v>办公用品</v>
      </c>
      <c r="K756" s="38" t="str">
        <f>VLOOKUP(E756,地区表!$A$2:$C$255,3,FALSE)</f>
        <v>华东</v>
      </c>
    </row>
    <row r="757" spans="1:11" ht="15.6">
      <c r="A757" s="28" t="s">
        <v>674</v>
      </c>
      <c r="B757" s="29">
        <v>44681.812926777398</v>
      </c>
      <c r="C757" s="29">
        <v>44686.809803016702</v>
      </c>
      <c r="D757" s="28" t="s">
        <v>114</v>
      </c>
      <c r="E757" s="28" t="s">
        <v>397</v>
      </c>
      <c r="F757" s="28" t="s">
        <v>101</v>
      </c>
      <c r="G757" s="28">
        <f t="shared" ca="1" si="22"/>
        <v>15</v>
      </c>
      <c r="H757" s="28">
        <v>1</v>
      </c>
      <c r="I757" s="25">
        <f t="shared" ca="1" si="23"/>
        <v>15</v>
      </c>
      <c r="J757" s="25" t="str">
        <f>VLOOKUP(F757,地区表!$D$2:$E$18,2,FALSE)</f>
        <v>办公用品</v>
      </c>
      <c r="K757" s="38" t="str">
        <f>VLOOKUP(E757,地区表!$A$2:$C$255,3,FALSE)</f>
        <v>华东</v>
      </c>
    </row>
    <row r="758" spans="1:11" ht="15.6">
      <c r="A758" s="28" t="s">
        <v>675</v>
      </c>
      <c r="B758" s="29">
        <v>45192.932924787201</v>
      </c>
      <c r="C758" s="29">
        <v>45194.8570971769</v>
      </c>
      <c r="D758" s="28" t="s">
        <v>98</v>
      </c>
      <c r="E758" s="28" t="s">
        <v>137</v>
      </c>
      <c r="F758" s="28" t="s">
        <v>112</v>
      </c>
      <c r="G758" s="28">
        <f t="shared" ca="1" si="22"/>
        <v>18</v>
      </c>
      <c r="H758" s="28">
        <v>1</v>
      </c>
      <c r="I758" s="25">
        <f t="shared" ca="1" si="23"/>
        <v>18</v>
      </c>
      <c r="J758" s="25" t="str">
        <f>VLOOKUP(F758,地区表!$D$2:$E$18,2,FALSE)</f>
        <v>办公用品</v>
      </c>
      <c r="K758" s="38" t="str">
        <f>VLOOKUP(E758,地区表!$A$2:$C$255,3,FALSE)</f>
        <v>华东</v>
      </c>
    </row>
    <row r="759" spans="1:11" ht="15.6">
      <c r="A759" s="28" t="s">
        <v>675</v>
      </c>
      <c r="B759" s="29">
        <v>45192.472946963397</v>
      </c>
      <c r="C759" s="29">
        <v>45194.348031212401</v>
      </c>
      <c r="D759" s="28" t="s">
        <v>98</v>
      </c>
      <c r="E759" s="28" t="s">
        <v>137</v>
      </c>
      <c r="F759" s="28" t="s">
        <v>118</v>
      </c>
      <c r="G759" s="28">
        <f t="shared" ca="1" si="22"/>
        <v>89</v>
      </c>
      <c r="H759" s="28">
        <v>5</v>
      </c>
      <c r="I759" s="25">
        <f t="shared" ca="1" si="23"/>
        <v>445</v>
      </c>
      <c r="J759" s="25" t="str">
        <f>VLOOKUP(F759,地区表!$D$2:$E$18,2,FALSE)</f>
        <v>技术</v>
      </c>
      <c r="K759" s="38" t="str">
        <f>VLOOKUP(E759,地区表!$A$2:$C$255,3,FALSE)</f>
        <v>华东</v>
      </c>
    </row>
    <row r="760" spans="1:11" ht="15.6">
      <c r="A760" s="28" t="s">
        <v>676</v>
      </c>
      <c r="B760" s="29">
        <v>45095.368040147499</v>
      </c>
      <c r="C760" s="29">
        <v>45100.969896451301</v>
      </c>
      <c r="D760" s="28" t="s">
        <v>98</v>
      </c>
      <c r="E760" s="28" t="s">
        <v>677</v>
      </c>
      <c r="F760" s="28" t="s">
        <v>121</v>
      </c>
      <c r="G760" s="28">
        <f t="shared" ca="1" si="22"/>
        <v>89</v>
      </c>
      <c r="H760" s="28">
        <v>1</v>
      </c>
      <c r="I760" s="25">
        <f t="shared" ca="1" si="23"/>
        <v>89</v>
      </c>
      <c r="J760" s="25" t="str">
        <f>VLOOKUP(F760,地区表!$D$2:$E$18,2,FALSE)</f>
        <v>技术</v>
      </c>
      <c r="K760" s="38" t="str">
        <f>VLOOKUP(E760,地区表!$A$2:$C$255,3,FALSE)</f>
        <v>华东</v>
      </c>
    </row>
    <row r="761" spans="1:11" ht="15.6">
      <c r="A761" s="28" t="s">
        <v>676</v>
      </c>
      <c r="B761" s="29">
        <v>45095.563410623101</v>
      </c>
      <c r="C761" s="29">
        <v>45100.664718850901</v>
      </c>
      <c r="D761" s="28" t="s">
        <v>98</v>
      </c>
      <c r="E761" s="28" t="s">
        <v>677</v>
      </c>
      <c r="F761" s="28" t="s">
        <v>122</v>
      </c>
      <c r="G761" s="28">
        <f t="shared" ca="1" si="22"/>
        <v>79</v>
      </c>
      <c r="H761" s="28">
        <v>2</v>
      </c>
      <c r="I761" s="25">
        <f t="shared" ca="1" si="23"/>
        <v>158</v>
      </c>
      <c r="J761" s="25" t="str">
        <f>VLOOKUP(F761,地区表!$D$2:$E$18,2,FALSE)</f>
        <v>技术</v>
      </c>
      <c r="K761" s="38" t="str">
        <f>VLOOKUP(E761,地区表!$A$2:$C$255,3,FALSE)</f>
        <v>华东</v>
      </c>
    </row>
    <row r="762" spans="1:11" ht="15.6">
      <c r="A762" s="28" t="s">
        <v>676</v>
      </c>
      <c r="B762" s="29">
        <v>45095.230958399101</v>
      </c>
      <c r="C762" s="29">
        <v>45100.291479721302</v>
      </c>
      <c r="D762" s="28" t="s">
        <v>98</v>
      </c>
      <c r="E762" s="28" t="s">
        <v>677</v>
      </c>
      <c r="F762" s="28" t="s">
        <v>101</v>
      </c>
      <c r="G762" s="28">
        <f t="shared" ca="1" si="22"/>
        <v>60</v>
      </c>
      <c r="H762" s="28">
        <v>7</v>
      </c>
      <c r="I762" s="25">
        <f t="shared" ca="1" si="23"/>
        <v>420</v>
      </c>
      <c r="J762" s="25" t="str">
        <f>VLOOKUP(F762,地区表!$D$2:$E$18,2,FALSE)</f>
        <v>办公用品</v>
      </c>
      <c r="K762" s="38" t="str">
        <f>VLOOKUP(E762,地区表!$A$2:$C$255,3,FALSE)</f>
        <v>华东</v>
      </c>
    </row>
    <row r="763" spans="1:11" ht="15.6">
      <c r="A763" s="28" t="s">
        <v>676</v>
      </c>
      <c r="B763" s="29">
        <v>45095.641689593896</v>
      </c>
      <c r="C763" s="29">
        <v>45100.377259200701</v>
      </c>
      <c r="D763" s="28" t="s">
        <v>98</v>
      </c>
      <c r="E763" s="28" t="s">
        <v>677</v>
      </c>
      <c r="F763" s="28" t="s">
        <v>121</v>
      </c>
      <c r="G763" s="28">
        <f t="shared" ca="1" si="22"/>
        <v>98</v>
      </c>
      <c r="H763" s="28">
        <v>2</v>
      </c>
      <c r="I763" s="25">
        <f t="shared" ca="1" si="23"/>
        <v>196</v>
      </c>
      <c r="J763" s="25" t="str">
        <f>VLOOKUP(F763,地区表!$D$2:$E$18,2,FALSE)</f>
        <v>技术</v>
      </c>
      <c r="K763" s="38" t="str">
        <f>VLOOKUP(E763,地区表!$A$2:$C$255,3,FALSE)</f>
        <v>华东</v>
      </c>
    </row>
    <row r="764" spans="1:11" ht="15.6">
      <c r="A764" s="28" t="s">
        <v>678</v>
      </c>
      <c r="B764" s="29">
        <v>44452.693616853299</v>
      </c>
      <c r="C764" s="29">
        <v>44457.546317264001</v>
      </c>
      <c r="D764" s="28" t="s">
        <v>114</v>
      </c>
      <c r="E764" s="28" t="s">
        <v>635</v>
      </c>
      <c r="F764" s="28" t="s">
        <v>141</v>
      </c>
      <c r="G764" s="28">
        <f t="shared" ca="1" si="22"/>
        <v>78</v>
      </c>
      <c r="H764" s="28">
        <v>3</v>
      </c>
      <c r="I764" s="25">
        <f t="shared" ca="1" si="23"/>
        <v>234</v>
      </c>
      <c r="J764" s="25" t="str">
        <f>VLOOKUP(F764,地区表!$D$2:$E$18,2,FALSE)</f>
        <v>办公用品</v>
      </c>
      <c r="K764" s="38" t="str">
        <f>VLOOKUP(E764,地区表!$A$2:$C$255,3,FALSE)</f>
        <v>华北</v>
      </c>
    </row>
    <row r="765" spans="1:11" ht="15.6">
      <c r="A765" s="28" t="s">
        <v>678</v>
      </c>
      <c r="B765" s="29">
        <v>44452.129282784299</v>
      </c>
      <c r="C765" s="29">
        <v>44457.172181091999</v>
      </c>
      <c r="D765" s="28" t="s">
        <v>114</v>
      </c>
      <c r="E765" s="28" t="s">
        <v>635</v>
      </c>
      <c r="F765" s="28" t="s">
        <v>125</v>
      </c>
      <c r="G765" s="28">
        <f t="shared" ca="1" si="22"/>
        <v>97</v>
      </c>
      <c r="H765" s="28">
        <v>4</v>
      </c>
      <c r="I765" s="25">
        <f t="shared" ca="1" si="23"/>
        <v>388</v>
      </c>
      <c r="J765" s="25" t="str">
        <f>VLOOKUP(F765,地区表!$D$2:$E$18,2,FALSE)</f>
        <v>办公用品</v>
      </c>
      <c r="K765" s="38" t="str">
        <f>VLOOKUP(E765,地区表!$A$2:$C$255,3,FALSE)</f>
        <v>华北</v>
      </c>
    </row>
    <row r="766" spans="1:11" ht="15.6">
      <c r="A766" s="28" t="s">
        <v>679</v>
      </c>
      <c r="B766" s="29">
        <v>44582.783415304999</v>
      </c>
      <c r="C766" s="29">
        <v>44584.386770454897</v>
      </c>
      <c r="D766" s="28" t="s">
        <v>98</v>
      </c>
      <c r="E766" s="28" t="s">
        <v>585</v>
      </c>
      <c r="F766" s="28" t="s">
        <v>121</v>
      </c>
      <c r="G766" s="28">
        <f t="shared" ca="1" si="22"/>
        <v>93</v>
      </c>
      <c r="H766" s="28">
        <v>3</v>
      </c>
      <c r="I766" s="25">
        <f t="shared" ca="1" si="23"/>
        <v>279</v>
      </c>
      <c r="J766" s="25" t="str">
        <f>VLOOKUP(F766,地区表!$D$2:$E$18,2,FALSE)</f>
        <v>技术</v>
      </c>
      <c r="K766" s="38" t="str">
        <f>VLOOKUP(E766,地区表!$A$2:$C$255,3,FALSE)</f>
        <v>西北</v>
      </c>
    </row>
    <row r="767" spans="1:11" ht="15.6">
      <c r="A767" s="28" t="s">
        <v>680</v>
      </c>
      <c r="B767" s="29">
        <v>44684.304254574199</v>
      </c>
      <c r="C767" s="29">
        <v>44689.848532790696</v>
      </c>
      <c r="D767" s="28" t="s">
        <v>94</v>
      </c>
      <c r="E767" s="28" t="s">
        <v>117</v>
      </c>
      <c r="F767" s="28" t="s">
        <v>100</v>
      </c>
      <c r="G767" s="28">
        <f t="shared" ca="1" si="22"/>
        <v>95</v>
      </c>
      <c r="H767" s="28">
        <v>5</v>
      </c>
      <c r="I767" s="25">
        <f t="shared" ca="1" si="23"/>
        <v>475</v>
      </c>
      <c r="J767" s="25" t="str">
        <f>VLOOKUP(F767,地区表!$D$2:$E$18,2,FALSE)</f>
        <v>办公用品</v>
      </c>
      <c r="K767" s="38" t="str">
        <f>VLOOKUP(E767,地区表!$A$2:$C$255,3,FALSE)</f>
        <v>东北</v>
      </c>
    </row>
    <row r="768" spans="1:11" ht="15.6">
      <c r="A768" s="28" t="s">
        <v>680</v>
      </c>
      <c r="B768" s="29">
        <v>44684.275056308201</v>
      </c>
      <c r="C768" s="29">
        <v>44689.24971846</v>
      </c>
      <c r="D768" s="28" t="s">
        <v>94</v>
      </c>
      <c r="E768" s="28" t="s">
        <v>117</v>
      </c>
      <c r="F768" s="28" t="s">
        <v>125</v>
      </c>
      <c r="G768" s="28">
        <f t="shared" ca="1" si="22"/>
        <v>92</v>
      </c>
      <c r="H768" s="28">
        <v>2</v>
      </c>
      <c r="I768" s="25">
        <f t="shared" ca="1" si="23"/>
        <v>184</v>
      </c>
      <c r="J768" s="25" t="str">
        <f>VLOOKUP(F768,地区表!$D$2:$E$18,2,FALSE)</f>
        <v>办公用品</v>
      </c>
      <c r="K768" s="38" t="str">
        <f>VLOOKUP(E768,地区表!$A$2:$C$255,3,FALSE)</f>
        <v>东北</v>
      </c>
    </row>
    <row r="769" spans="1:11" ht="15.6">
      <c r="A769" s="28" t="s">
        <v>680</v>
      </c>
      <c r="B769" s="29">
        <v>44684.834704332403</v>
      </c>
      <c r="C769" s="29">
        <v>44689.703170075998</v>
      </c>
      <c r="D769" s="28" t="s">
        <v>94</v>
      </c>
      <c r="E769" s="28" t="s">
        <v>117</v>
      </c>
      <c r="F769" s="28" t="s">
        <v>110</v>
      </c>
      <c r="G769" s="28">
        <f t="shared" ca="1" si="22"/>
        <v>52</v>
      </c>
      <c r="H769" s="28">
        <v>7</v>
      </c>
      <c r="I769" s="25">
        <f t="shared" ca="1" si="23"/>
        <v>364</v>
      </c>
      <c r="J769" s="25" t="str">
        <f>VLOOKUP(F769,地区表!$D$2:$E$18,2,FALSE)</f>
        <v>家具</v>
      </c>
      <c r="K769" s="38" t="str">
        <f>VLOOKUP(E769,地区表!$A$2:$C$255,3,FALSE)</f>
        <v>东北</v>
      </c>
    </row>
    <row r="770" spans="1:11" ht="15.6">
      <c r="A770" s="28" t="s">
        <v>681</v>
      </c>
      <c r="B770" s="29">
        <v>44549.892930821399</v>
      </c>
      <c r="C770" s="29">
        <v>44555.040318361702</v>
      </c>
      <c r="D770" s="28" t="s">
        <v>98</v>
      </c>
      <c r="E770" s="28" t="s">
        <v>682</v>
      </c>
      <c r="F770" s="28" t="s">
        <v>96</v>
      </c>
      <c r="G770" s="28">
        <f t="shared" ref="G770:G833" ca="1" si="24">RANDBETWEEN(10,100)</f>
        <v>64</v>
      </c>
      <c r="H770" s="28">
        <v>2</v>
      </c>
      <c r="I770" s="25">
        <f t="shared" ref="I770:I833" ca="1" si="25">G770*H770</f>
        <v>128</v>
      </c>
      <c r="J770" s="25" t="str">
        <f>VLOOKUP(F770,地区表!$D$2:$E$18,2,FALSE)</f>
        <v>办公用品</v>
      </c>
      <c r="K770" s="38" t="str">
        <f>VLOOKUP(E770,地区表!$A$2:$C$255,3,FALSE)</f>
        <v>中南</v>
      </c>
    </row>
    <row r="771" spans="1:11" ht="15.6">
      <c r="A771" s="28" t="s">
        <v>683</v>
      </c>
      <c r="B771" s="29">
        <v>44536.688784843602</v>
      </c>
      <c r="C771" s="29">
        <v>44538.603525009501</v>
      </c>
      <c r="D771" s="28" t="s">
        <v>98</v>
      </c>
      <c r="E771" s="28" t="s">
        <v>297</v>
      </c>
      <c r="F771" s="28" t="s">
        <v>135</v>
      </c>
      <c r="G771" s="28">
        <f t="shared" ca="1" si="24"/>
        <v>64</v>
      </c>
      <c r="H771" s="28">
        <v>6</v>
      </c>
      <c r="I771" s="25">
        <f t="shared" ca="1" si="25"/>
        <v>384</v>
      </c>
      <c r="J771" s="25" t="str">
        <f>VLOOKUP(F771,地区表!$D$2:$E$18,2,FALSE)</f>
        <v>办公用品</v>
      </c>
      <c r="K771" s="38" t="str">
        <f>VLOOKUP(E771,地区表!$A$2:$C$255,3,FALSE)</f>
        <v>华北</v>
      </c>
    </row>
    <row r="772" spans="1:11" ht="15.6">
      <c r="A772" s="28" t="s">
        <v>684</v>
      </c>
      <c r="B772" s="29">
        <v>44640.779355495797</v>
      </c>
      <c r="C772" s="29">
        <v>44641.423853544999</v>
      </c>
      <c r="D772" s="28" t="s">
        <v>114</v>
      </c>
      <c r="E772" s="28" t="s">
        <v>197</v>
      </c>
      <c r="F772" s="28" t="s">
        <v>141</v>
      </c>
      <c r="G772" s="28">
        <f t="shared" ca="1" si="24"/>
        <v>72</v>
      </c>
      <c r="H772" s="28">
        <v>3</v>
      </c>
      <c r="I772" s="25">
        <f t="shared" ca="1" si="25"/>
        <v>216</v>
      </c>
      <c r="J772" s="25" t="str">
        <f>VLOOKUP(F772,地区表!$D$2:$E$18,2,FALSE)</f>
        <v>办公用品</v>
      </c>
      <c r="K772" s="38" t="str">
        <f>VLOOKUP(E772,地区表!$A$2:$C$255,3,FALSE)</f>
        <v>中南</v>
      </c>
    </row>
    <row r="773" spans="1:11" ht="15.6">
      <c r="A773" s="28" t="s">
        <v>685</v>
      </c>
      <c r="B773" s="29">
        <v>44624.424734587403</v>
      </c>
      <c r="C773" s="29">
        <v>44631.811447319902</v>
      </c>
      <c r="D773" s="28" t="s">
        <v>114</v>
      </c>
      <c r="E773" s="28" t="s">
        <v>686</v>
      </c>
      <c r="F773" s="28" t="s">
        <v>141</v>
      </c>
      <c r="G773" s="28">
        <f t="shared" ca="1" si="24"/>
        <v>76</v>
      </c>
      <c r="H773" s="28">
        <v>6</v>
      </c>
      <c r="I773" s="25">
        <f t="shared" ca="1" si="25"/>
        <v>456</v>
      </c>
      <c r="J773" s="25" t="str">
        <f>VLOOKUP(F773,地区表!$D$2:$E$18,2,FALSE)</f>
        <v>办公用品</v>
      </c>
      <c r="K773" s="38" t="str">
        <f>VLOOKUP(E773,地区表!$A$2:$C$255,3,FALSE)</f>
        <v>华东</v>
      </c>
    </row>
    <row r="774" spans="1:11" ht="15.6">
      <c r="A774" s="28" t="s">
        <v>685</v>
      </c>
      <c r="B774" s="29">
        <v>44624.519878736101</v>
      </c>
      <c r="C774" s="29">
        <v>44631.628366108802</v>
      </c>
      <c r="D774" s="28" t="s">
        <v>114</v>
      </c>
      <c r="E774" s="28" t="s">
        <v>686</v>
      </c>
      <c r="F774" s="28" t="s">
        <v>112</v>
      </c>
      <c r="G774" s="28">
        <f t="shared" ca="1" si="24"/>
        <v>62</v>
      </c>
      <c r="H774" s="28">
        <v>7</v>
      </c>
      <c r="I774" s="25">
        <f t="shared" ca="1" si="25"/>
        <v>434</v>
      </c>
      <c r="J774" s="25" t="str">
        <f>VLOOKUP(F774,地区表!$D$2:$E$18,2,FALSE)</f>
        <v>办公用品</v>
      </c>
      <c r="K774" s="38" t="str">
        <f>VLOOKUP(E774,地区表!$A$2:$C$255,3,FALSE)</f>
        <v>华东</v>
      </c>
    </row>
    <row r="775" spans="1:11" ht="15.6">
      <c r="A775" s="28" t="s">
        <v>687</v>
      </c>
      <c r="B775" s="29">
        <v>45031.223127878002</v>
      </c>
      <c r="C775" s="29">
        <v>45033.432825449301</v>
      </c>
      <c r="D775" s="28" t="s">
        <v>94</v>
      </c>
      <c r="E775" s="28" t="s">
        <v>127</v>
      </c>
      <c r="F775" s="28" t="s">
        <v>118</v>
      </c>
      <c r="G775" s="28">
        <f t="shared" ca="1" si="24"/>
        <v>97</v>
      </c>
      <c r="H775" s="28">
        <v>2</v>
      </c>
      <c r="I775" s="25">
        <f t="shared" ca="1" si="25"/>
        <v>194</v>
      </c>
      <c r="J775" s="25" t="str">
        <f>VLOOKUP(F775,地区表!$D$2:$E$18,2,FALSE)</f>
        <v>技术</v>
      </c>
      <c r="K775" s="38" t="str">
        <f>VLOOKUP(E775,地区表!$A$2:$C$255,3,FALSE)</f>
        <v>华东</v>
      </c>
    </row>
    <row r="776" spans="1:11" ht="15.6">
      <c r="A776" s="28" t="s">
        <v>687</v>
      </c>
      <c r="B776" s="29">
        <v>45031.326383522297</v>
      </c>
      <c r="C776" s="29">
        <v>45033.475546596703</v>
      </c>
      <c r="D776" s="28" t="s">
        <v>94</v>
      </c>
      <c r="E776" s="28" t="s">
        <v>127</v>
      </c>
      <c r="F776" s="28" t="s">
        <v>125</v>
      </c>
      <c r="G776" s="28">
        <f t="shared" ca="1" si="24"/>
        <v>50</v>
      </c>
      <c r="H776" s="28">
        <v>2</v>
      </c>
      <c r="I776" s="25">
        <f t="shared" ca="1" si="25"/>
        <v>100</v>
      </c>
      <c r="J776" s="25" t="str">
        <f>VLOOKUP(F776,地区表!$D$2:$E$18,2,FALSE)</f>
        <v>办公用品</v>
      </c>
      <c r="K776" s="38" t="str">
        <f>VLOOKUP(E776,地区表!$A$2:$C$255,3,FALSE)</f>
        <v>华东</v>
      </c>
    </row>
    <row r="777" spans="1:11" ht="15.6">
      <c r="A777" s="28" t="s">
        <v>687</v>
      </c>
      <c r="B777" s="29">
        <v>45031.558581297002</v>
      </c>
      <c r="C777" s="29">
        <v>45033.5564625529</v>
      </c>
      <c r="D777" s="28" t="s">
        <v>94</v>
      </c>
      <c r="E777" s="28" t="s">
        <v>127</v>
      </c>
      <c r="F777" s="28" t="s">
        <v>112</v>
      </c>
      <c r="G777" s="28">
        <f t="shared" ca="1" si="24"/>
        <v>33</v>
      </c>
      <c r="H777" s="28">
        <v>6</v>
      </c>
      <c r="I777" s="25">
        <f t="shared" ca="1" si="25"/>
        <v>198</v>
      </c>
      <c r="J777" s="25" t="str">
        <f>VLOOKUP(F777,地区表!$D$2:$E$18,2,FALSE)</f>
        <v>办公用品</v>
      </c>
      <c r="K777" s="38" t="str">
        <f>VLOOKUP(E777,地区表!$A$2:$C$255,3,FALSE)</f>
        <v>华东</v>
      </c>
    </row>
    <row r="778" spans="1:11" ht="15.6">
      <c r="A778" s="28" t="s">
        <v>687</v>
      </c>
      <c r="B778" s="29">
        <v>45031.936623390502</v>
      </c>
      <c r="C778" s="29">
        <v>45033.2287352973</v>
      </c>
      <c r="D778" s="28" t="s">
        <v>94</v>
      </c>
      <c r="E778" s="28" t="s">
        <v>127</v>
      </c>
      <c r="F778" s="28" t="s">
        <v>118</v>
      </c>
      <c r="G778" s="28">
        <f t="shared" ca="1" si="24"/>
        <v>46</v>
      </c>
      <c r="H778" s="28">
        <v>2</v>
      </c>
      <c r="I778" s="25">
        <f t="shared" ca="1" si="25"/>
        <v>92</v>
      </c>
      <c r="J778" s="25" t="str">
        <f>VLOOKUP(F778,地区表!$D$2:$E$18,2,FALSE)</f>
        <v>技术</v>
      </c>
      <c r="K778" s="38" t="str">
        <f>VLOOKUP(E778,地区表!$A$2:$C$255,3,FALSE)</f>
        <v>华东</v>
      </c>
    </row>
    <row r="779" spans="1:11" ht="15.6">
      <c r="A779" s="28" t="s">
        <v>687</v>
      </c>
      <c r="B779" s="29">
        <v>45031.744044177598</v>
      </c>
      <c r="C779" s="29">
        <v>45033.247336849097</v>
      </c>
      <c r="D779" s="28" t="s">
        <v>94</v>
      </c>
      <c r="E779" s="28" t="s">
        <v>127</v>
      </c>
      <c r="F779" s="28" t="s">
        <v>131</v>
      </c>
      <c r="G779" s="28">
        <f t="shared" ca="1" si="24"/>
        <v>78</v>
      </c>
      <c r="H779" s="28">
        <v>2</v>
      </c>
      <c r="I779" s="25">
        <f t="shared" ca="1" si="25"/>
        <v>156</v>
      </c>
      <c r="J779" s="25" t="str">
        <f>VLOOKUP(F779,地区表!$D$2:$E$18,2,FALSE)</f>
        <v>家具</v>
      </c>
      <c r="K779" s="38" t="str">
        <f>VLOOKUP(E779,地区表!$A$2:$C$255,3,FALSE)</f>
        <v>华东</v>
      </c>
    </row>
    <row r="780" spans="1:11" ht="15.6">
      <c r="A780" s="28" t="s">
        <v>687</v>
      </c>
      <c r="B780" s="29">
        <v>45031.9055642944</v>
      </c>
      <c r="C780" s="29">
        <v>45033.207649862001</v>
      </c>
      <c r="D780" s="28" t="s">
        <v>94</v>
      </c>
      <c r="E780" s="28" t="s">
        <v>127</v>
      </c>
      <c r="F780" s="28" t="s">
        <v>121</v>
      </c>
      <c r="G780" s="28">
        <f t="shared" ca="1" si="24"/>
        <v>67</v>
      </c>
      <c r="H780" s="28">
        <v>3</v>
      </c>
      <c r="I780" s="25">
        <f t="shared" ca="1" si="25"/>
        <v>201</v>
      </c>
      <c r="J780" s="25" t="str">
        <f>VLOOKUP(F780,地区表!$D$2:$E$18,2,FALSE)</f>
        <v>技术</v>
      </c>
      <c r="K780" s="38" t="str">
        <f>VLOOKUP(E780,地区表!$A$2:$C$255,3,FALSE)</f>
        <v>华东</v>
      </c>
    </row>
    <row r="781" spans="1:11" ht="15.6">
      <c r="A781" s="28" t="s">
        <v>687</v>
      </c>
      <c r="B781" s="29">
        <v>45031.903389269799</v>
      </c>
      <c r="C781" s="29">
        <v>45033.881373879703</v>
      </c>
      <c r="D781" s="28" t="s">
        <v>94</v>
      </c>
      <c r="E781" s="28" t="s">
        <v>127</v>
      </c>
      <c r="F781" s="28" t="s">
        <v>121</v>
      </c>
      <c r="G781" s="28">
        <f t="shared" ca="1" si="24"/>
        <v>27</v>
      </c>
      <c r="H781" s="28">
        <v>6</v>
      </c>
      <c r="I781" s="25">
        <f t="shared" ca="1" si="25"/>
        <v>162</v>
      </c>
      <c r="J781" s="25" t="str">
        <f>VLOOKUP(F781,地区表!$D$2:$E$18,2,FALSE)</f>
        <v>技术</v>
      </c>
      <c r="K781" s="38" t="str">
        <f>VLOOKUP(E781,地区表!$A$2:$C$255,3,FALSE)</f>
        <v>华东</v>
      </c>
    </row>
    <row r="782" spans="1:11" ht="15.6">
      <c r="A782" s="28" t="s">
        <v>688</v>
      </c>
      <c r="B782" s="29">
        <v>45117.407263663597</v>
      </c>
      <c r="C782" s="29">
        <v>45121.536723424499</v>
      </c>
      <c r="D782" s="28" t="s">
        <v>94</v>
      </c>
      <c r="E782" s="28" t="s">
        <v>689</v>
      </c>
      <c r="F782" s="28" t="s">
        <v>101</v>
      </c>
      <c r="G782" s="28">
        <f t="shared" ca="1" si="24"/>
        <v>54</v>
      </c>
      <c r="H782" s="28">
        <v>8</v>
      </c>
      <c r="I782" s="25">
        <f t="shared" ca="1" si="25"/>
        <v>432</v>
      </c>
      <c r="J782" s="25" t="str">
        <f>VLOOKUP(F782,地区表!$D$2:$E$18,2,FALSE)</f>
        <v>办公用品</v>
      </c>
      <c r="K782" s="38" t="str">
        <f>VLOOKUP(E782,地区表!$A$2:$C$255,3,FALSE)</f>
        <v>华东</v>
      </c>
    </row>
    <row r="783" spans="1:11" ht="15.6">
      <c r="A783" s="28" t="s">
        <v>688</v>
      </c>
      <c r="B783" s="29">
        <v>45117.685565272499</v>
      </c>
      <c r="C783" s="29">
        <v>45121.714022010397</v>
      </c>
      <c r="D783" s="28" t="s">
        <v>94</v>
      </c>
      <c r="E783" s="28" t="s">
        <v>689</v>
      </c>
      <c r="F783" s="28" t="s">
        <v>110</v>
      </c>
      <c r="G783" s="28">
        <f t="shared" ca="1" si="24"/>
        <v>71</v>
      </c>
      <c r="H783" s="28">
        <v>3</v>
      </c>
      <c r="I783" s="25">
        <f t="shared" ca="1" si="25"/>
        <v>213</v>
      </c>
      <c r="J783" s="25" t="str">
        <f>VLOOKUP(F783,地区表!$D$2:$E$18,2,FALSE)</f>
        <v>家具</v>
      </c>
      <c r="K783" s="38" t="str">
        <f>VLOOKUP(E783,地区表!$A$2:$C$255,3,FALSE)</f>
        <v>华东</v>
      </c>
    </row>
    <row r="784" spans="1:11" ht="15.6">
      <c r="A784" s="28" t="s">
        <v>690</v>
      </c>
      <c r="B784" s="29">
        <v>44872.847236607697</v>
      </c>
      <c r="C784" s="29">
        <v>44874.005423289302</v>
      </c>
      <c r="D784" s="28" t="s">
        <v>98</v>
      </c>
      <c r="E784" s="28" t="s">
        <v>207</v>
      </c>
      <c r="F784" s="28" t="s">
        <v>131</v>
      </c>
      <c r="G784" s="28">
        <f t="shared" ca="1" si="24"/>
        <v>77</v>
      </c>
      <c r="H784" s="28">
        <v>4</v>
      </c>
      <c r="I784" s="25">
        <f t="shared" ca="1" si="25"/>
        <v>308</v>
      </c>
      <c r="J784" s="25" t="str">
        <f>VLOOKUP(F784,地区表!$D$2:$E$18,2,FALSE)</f>
        <v>家具</v>
      </c>
      <c r="K784" s="38" t="str">
        <f>VLOOKUP(E784,地区表!$A$2:$C$255,3,FALSE)</f>
        <v>华北</v>
      </c>
    </row>
    <row r="785" spans="1:11" ht="15.6">
      <c r="A785" s="28" t="s">
        <v>691</v>
      </c>
      <c r="B785" s="29">
        <v>44390.245499281598</v>
      </c>
      <c r="C785" s="29">
        <v>44395.679980135297</v>
      </c>
      <c r="D785" s="28" t="s">
        <v>98</v>
      </c>
      <c r="E785" s="28" t="s">
        <v>474</v>
      </c>
      <c r="F785" s="28" t="s">
        <v>100</v>
      </c>
      <c r="G785" s="28">
        <f t="shared" ca="1" si="24"/>
        <v>22</v>
      </c>
      <c r="H785" s="28">
        <v>9</v>
      </c>
      <c r="I785" s="25">
        <f t="shared" ca="1" si="25"/>
        <v>198</v>
      </c>
      <c r="J785" s="25" t="str">
        <f>VLOOKUP(F785,地区表!$D$2:$E$18,2,FALSE)</f>
        <v>办公用品</v>
      </c>
      <c r="K785" s="38" t="str">
        <f>VLOOKUP(E785,地区表!$A$2:$C$255,3,FALSE)</f>
        <v>华北</v>
      </c>
    </row>
    <row r="786" spans="1:11" ht="15.6">
      <c r="A786" s="28" t="s">
        <v>692</v>
      </c>
      <c r="B786" s="29">
        <v>44960.767765099998</v>
      </c>
      <c r="C786" s="29">
        <v>44965.942964343201</v>
      </c>
      <c r="D786" s="28" t="s">
        <v>94</v>
      </c>
      <c r="E786" s="28" t="s">
        <v>693</v>
      </c>
      <c r="F786" s="28" t="s">
        <v>131</v>
      </c>
      <c r="G786" s="28">
        <f t="shared" ca="1" si="24"/>
        <v>61</v>
      </c>
      <c r="H786" s="28">
        <v>5</v>
      </c>
      <c r="I786" s="25">
        <f t="shared" ca="1" si="25"/>
        <v>305</v>
      </c>
      <c r="J786" s="25" t="str">
        <f>VLOOKUP(F786,地区表!$D$2:$E$18,2,FALSE)</f>
        <v>家具</v>
      </c>
      <c r="K786" s="38" t="str">
        <f>VLOOKUP(E786,地区表!$A$2:$C$255,3,FALSE)</f>
        <v>东北</v>
      </c>
    </row>
    <row r="787" spans="1:11" ht="15.6">
      <c r="A787" s="28" t="s">
        <v>692</v>
      </c>
      <c r="B787" s="29">
        <v>44960.9381957554</v>
      </c>
      <c r="C787" s="29">
        <v>44965.233672718001</v>
      </c>
      <c r="D787" s="28" t="s">
        <v>94</v>
      </c>
      <c r="E787" s="28" t="s">
        <v>693</v>
      </c>
      <c r="F787" s="28" t="s">
        <v>130</v>
      </c>
      <c r="G787" s="28">
        <f t="shared" ca="1" si="24"/>
        <v>10</v>
      </c>
      <c r="H787" s="28">
        <v>3</v>
      </c>
      <c r="I787" s="25">
        <f t="shared" ca="1" si="25"/>
        <v>30</v>
      </c>
      <c r="J787" s="25" t="str">
        <f>VLOOKUP(F787,地区表!$D$2:$E$18,2,FALSE)</f>
        <v>家具</v>
      </c>
      <c r="K787" s="38" t="str">
        <f>VLOOKUP(E787,地区表!$A$2:$C$255,3,FALSE)</f>
        <v>东北</v>
      </c>
    </row>
    <row r="788" spans="1:11" ht="15.6">
      <c r="A788" s="28" t="s">
        <v>694</v>
      </c>
      <c r="B788" s="29">
        <v>44365.317707059003</v>
      </c>
      <c r="C788" s="29">
        <v>44369.511412132997</v>
      </c>
      <c r="D788" s="28" t="s">
        <v>94</v>
      </c>
      <c r="E788" s="28" t="s">
        <v>695</v>
      </c>
      <c r="F788" s="28" t="s">
        <v>106</v>
      </c>
      <c r="G788" s="28">
        <f t="shared" ca="1" si="24"/>
        <v>69</v>
      </c>
      <c r="H788" s="28">
        <v>5</v>
      </c>
      <c r="I788" s="25">
        <f t="shared" ca="1" si="25"/>
        <v>345</v>
      </c>
      <c r="J788" s="25" t="str">
        <f>VLOOKUP(F788,地区表!$D$2:$E$18,2,FALSE)</f>
        <v>办公用品</v>
      </c>
      <c r="K788" s="38" t="str">
        <f>VLOOKUP(E788,地区表!$A$2:$C$255,3,FALSE)</f>
        <v>华北</v>
      </c>
    </row>
    <row r="789" spans="1:11" ht="15.6">
      <c r="A789" s="28" t="s">
        <v>696</v>
      </c>
      <c r="B789" s="29">
        <v>44676.527230699801</v>
      </c>
      <c r="C789" s="29">
        <v>44681.902099503197</v>
      </c>
      <c r="D789" s="28" t="s">
        <v>94</v>
      </c>
      <c r="E789" s="28" t="s">
        <v>697</v>
      </c>
      <c r="F789" s="28" t="s">
        <v>106</v>
      </c>
      <c r="G789" s="28">
        <f t="shared" ca="1" si="24"/>
        <v>91</v>
      </c>
      <c r="H789" s="28">
        <v>5</v>
      </c>
      <c r="I789" s="25">
        <f t="shared" ca="1" si="25"/>
        <v>455</v>
      </c>
      <c r="J789" s="25" t="str">
        <f>VLOOKUP(F789,地区表!$D$2:$E$18,2,FALSE)</f>
        <v>办公用品</v>
      </c>
      <c r="K789" s="38" t="str">
        <f>VLOOKUP(E789,地区表!$A$2:$C$255,3,FALSE)</f>
        <v>中南</v>
      </c>
    </row>
    <row r="790" spans="1:11" ht="15.6">
      <c r="A790" s="28" t="s">
        <v>698</v>
      </c>
      <c r="B790" s="29">
        <v>44648.243409042603</v>
      </c>
      <c r="C790" s="29">
        <v>44648.4173933567</v>
      </c>
      <c r="D790" s="28" t="s">
        <v>98</v>
      </c>
      <c r="E790" s="28" t="s">
        <v>328</v>
      </c>
      <c r="F790" s="28" t="s">
        <v>111</v>
      </c>
      <c r="G790" s="28">
        <f t="shared" ca="1" si="24"/>
        <v>89</v>
      </c>
      <c r="H790" s="28">
        <v>5</v>
      </c>
      <c r="I790" s="25">
        <f t="shared" ca="1" si="25"/>
        <v>445</v>
      </c>
      <c r="J790" s="25" t="str">
        <f>VLOOKUP(F790,地区表!$D$2:$E$18,2,FALSE)</f>
        <v>办公用品</v>
      </c>
      <c r="K790" s="38" t="str">
        <f>VLOOKUP(E790,地区表!$A$2:$C$255,3,FALSE)</f>
        <v>华东</v>
      </c>
    </row>
    <row r="791" spans="1:11" ht="15.6">
      <c r="A791" s="28" t="s">
        <v>699</v>
      </c>
      <c r="B791" s="29">
        <v>44662.409432869303</v>
      </c>
      <c r="C791" s="29">
        <v>44667.071453610399</v>
      </c>
      <c r="D791" s="28" t="s">
        <v>114</v>
      </c>
      <c r="E791" s="28" t="s">
        <v>635</v>
      </c>
      <c r="F791" s="28" t="s">
        <v>135</v>
      </c>
      <c r="G791" s="28">
        <f t="shared" ca="1" si="24"/>
        <v>89</v>
      </c>
      <c r="H791" s="28">
        <v>5</v>
      </c>
      <c r="I791" s="25">
        <f t="shared" ca="1" si="25"/>
        <v>445</v>
      </c>
      <c r="J791" s="25" t="str">
        <f>VLOOKUP(F791,地区表!$D$2:$E$18,2,FALSE)</f>
        <v>办公用品</v>
      </c>
      <c r="K791" s="38" t="str">
        <f>VLOOKUP(E791,地区表!$A$2:$C$255,3,FALSE)</f>
        <v>华北</v>
      </c>
    </row>
    <row r="792" spans="1:11" ht="15.6">
      <c r="A792" s="28" t="s">
        <v>700</v>
      </c>
      <c r="B792" s="29">
        <v>44667.668515334102</v>
      </c>
      <c r="C792" s="29">
        <v>44669.5088236878</v>
      </c>
      <c r="D792" s="28" t="s">
        <v>94</v>
      </c>
      <c r="E792" s="28" t="s">
        <v>429</v>
      </c>
      <c r="F792" s="28" t="s">
        <v>100</v>
      </c>
      <c r="G792" s="28">
        <f t="shared" ca="1" si="24"/>
        <v>51</v>
      </c>
      <c r="H792" s="28">
        <v>8</v>
      </c>
      <c r="I792" s="25">
        <f t="shared" ca="1" si="25"/>
        <v>408</v>
      </c>
      <c r="J792" s="25" t="str">
        <f>VLOOKUP(F792,地区表!$D$2:$E$18,2,FALSE)</f>
        <v>办公用品</v>
      </c>
      <c r="K792" s="38" t="str">
        <f>VLOOKUP(E792,地区表!$A$2:$C$255,3,FALSE)</f>
        <v>西南</v>
      </c>
    </row>
    <row r="793" spans="1:11" ht="15.6">
      <c r="A793" s="28" t="s">
        <v>700</v>
      </c>
      <c r="B793" s="29">
        <v>44667.495004208497</v>
      </c>
      <c r="C793" s="29">
        <v>44669.527215280097</v>
      </c>
      <c r="D793" s="28" t="s">
        <v>94</v>
      </c>
      <c r="E793" s="28" t="s">
        <v>429</v>
      </c>
      <c r="F793" s="28" t="s">
        <v>141</v>
      </c>
      <c r="G793" s="28">
        <f t="shared" ca="1" si="24"/>
        <v>29</v>
      </c>
      <c r="H793" s="28">
        <v>4</v>
      </c>
      <c r="I793" s="25">
        <f t="shared" ca="1" si="25"/>
        <v>116</v>
      </c>
      <c r="J793" s="25" t="str">
        <f>VLOOKUP(F793,地区表!$D$2:$E$18,2,FALSE)</f>
        <v>办公用品</v>
      </c>
      <c r="K793" s="38" t="str">
        <f>VLOOKUP(E793,地区表!$A$2:$C$255,3,FALSE)</f>
        <v>西南</v>
      </c>
    </row>
    <row r="794" spans="1:11" ht="15.6">
      <c r="A794" s="28" t="s">
        <v>700</v>
      </c>
      <c r="B794" s="29">
        <v>44667.002861021501</v>
      </c>
      <c r="C794" s="29">
        <v>44669.465265495201</v>
      </c>
      <c r="D794" s="28" t="s">
        <v>94</v>
      </c>
      <c r="E794" s="28" t="s">
        <v>429</v>
      </c>
      <c r="F794" s="28" t="s">
        <v>106</v>
      </c>
      <c r="G794" s="28">
        <f t="shared" ca="1" si="24"/>
        <v>26</v>
      </c>
      <c r="H794" s="28">
        <v>2</v>
      </c>
      <c r="I794" s="25">
        <f t="shared" ca="1" si="25"/>
        <v>52</v>
      </c>
      <c r="J794" s="25" t="str">
        <f>VLOOKUP(F794,地区表!$D$2:$E$18,2,FALSE)</f>
        <v>办公用品</v>
      </c>
      <c r="K794" s="38" t="str">
        <f>VLOOKUP(E794,地区表!$A$2:$C$255,3,FALSE)</f>
        <v>西南</v>
      </c>
    </row>
    <row r="795" spans="1:11" ht="15.6">
      <c r="A795" s="28" t="s">
        <v>701</v>
      </c>
      <c r="B795" s="29">
        <v>44959.627762889897</v>
      </c>
      <c r="C795" s="29">
        <v>44963.1314958695</v>
      </c>
      <c r="D795" s="28" t="s">
        <v>94</v>
      </c>
      <c r="E795" s="28" t="s">
        <v>702</v>
      </c>
      <c r="F795" s="28" t="s">
        <v>130</v>
      </c>
      <c r="G795" s="28">
        <f t="shared" ca="1" si="24"/>
        <v>14</v>
      </c>
      <c r="H795" s="28">
        <v>3</v>
      </c>
      <c r="I795" s="25">
        <f t="shared" ca="1" si="25"/>
        <v>42</v>
      </c>
      <c r="J795" s="25" t="str">
        <f>VLOOKUP(F795,地区表!$D$2:$E$18,2,FALSE)</f>
        <v>家具</v>
      </c>
      <c r="K795" s="38" t="str">
        <f>VLOOKUP(E795,地区表!$A$2:$C$255,3,FALSE)</f>
        <v>中南</v>
      </c>
    </row>
    <row r="796" spans="1:11" ht="15.6">
      <c r="A796" s="28" t="s">
        <v>701</v>
      </c>
      <c r="B796" s="29">
        <v>44959.972060526597</v>
      </c>
      <c r="C796" s="29">
        <v>44963.793139633402</v>
      </c>
      <c r="D796" s="28" t="s">
        <v>94</v>
      </c>
      <c r="E796" s="28" t="s">
        <v>702</v>
      </c>
      <c r="F796" s="28" t="s">
        <v>130</v>
      </c>
      <c r="G796" s="28">
        <f t="shared" ca="1" si="24"/>
        <v>63</v>
      </c>
      <c r="H796" s="28">
        <v>3</v>
      </c>
      <c r="I796" s="25">
        <f t="shared" ca="1" si="25"/>
        <v>189</v>
      </c>
      <c r="J796" s="25" t="str">
        <f>VLOOKUP(F796,地区表!$D$2:$E$18,2,FALSE)</f>
        <v>家具</v>
      </c>
      <c r="K796" s="38" t="str">
        <f>VLOOKUP(E796,地区表!$A$2:$C$255,3,FALSE)</f>
        <v>中南</v>
      </c>
    </row>
    <row r="797" spans="1:11" ht="15.6">
      <c r="A797" s="28" t="s">
        <v>703</v>
      </c>
      <c r="B797" s="29">
        <v>45185.821296108603</v>
      </c>
      <c r="C797" s="29">
        <v>45191.569276943199</v>
      </c>
      <c r="D797" s="28" t="s">
        <v>98</v>
      </c>
      <c r="E797" s="28" t="s">
        <v>704</v>
      </c>
      <c r="F797" s="28" t="s">
        <v>122</v>
      </c>
      <c r="G797" s="28">
        <f t="shared" ca="1" si="24"/>
        <v>86</v>
      </c>
      <c r="H797" s="28">
        <v>5</v>
      </c>
      <c r="I797" s="25">
        <f t="shared" ca="1" si="25"/>
        <v>430</v>
      </c>
      <c r="J797" s="25" t="str">
        <f>VLOOKUP(F797,地区表!$D$2:$E$18,2,FALSE)</f>
        <v>技术</v>
      </c>
      <c r="K797" s="38" t="str">
        <f>VLOOKUP(E797,地区表!$A$2:$C$255,3,FALSE)</f>
        <v>华东</v>
      </c>
    </row>
    <row r="798" spans="1:11" ht="15.6">
      <c r="A798" s="28" t="s">
        <v>705</v>
      </c>
      <c r="B798" s="29">
        <v>44502.836900649098</v>
      </c>
      <c r="C798" s="29">
        <v>44507.994412372602</v>
      </c>
      <c r="D798" s="28" t="s">
        <v>98</v>
      </c>
      <c r="E798" s="28" t="s">
        <v>127</v>
      </c>
      <c r="F798" s="28" t="s">
        <v>125</v>
      </c>
      <c r="G798" s="28">
        <f t="shared" ca="1" si="24"/>
        <v>28</v>
      </c>
      <c r="H798" s="28">
        <v>3</v>
      </c>
      <c r="I798" s="25">
        <f t="shared" ca="1" si="25"/>
        <v>84</v>
      </c>
      <c r="J798" s="25" t="str">
        <f>VLOOKUP(F798,地区表!$D$2:$E$18,2,FALSE)</f>
        <v>办公用品</v>
      </c>
      <c r="K798" s="38" t="str">
        <f>VLOOKUP(E798,地区表!$A$2:$C$255,3,FALSE)</f>
        <v>华东</v>
      </c>
    </row>
    <row r="799" spans="1:11" ht="15.6">
      <c r="A799" s="28" t="s">
        <v>705</v>
      </c>
      <c r="B799" s="29">
        <v>44502.154319431902</v>
      </c>
      <c r="C799" s="29">
        <v>44507.605125791</v>
      </c>
      <c r="D799" s="28" t="s">
        <v>98</v>
      </c>
      <c r="E799" s="28" t="s">
        <v>127</v>
      </c>
      <c r="F799" s="28" t="s">
        <v>125</v>
      </c>
      <c r="G799" s="28">
        <f t="shared" ca="1" si="24"/>
        <v>29</v>
      </c>
      <c r="H799" s="28">
        <v>2</v>
      </c>
      <c r="I799" s="25">
        <f t="shared" ca="1" si="25"/>
        <v>58</v>
      </c>
      <c r="J799" s="25" t="str">
        <f>VLOOKUP(F799,地区表!$D$2:$E$18,2,FALSE)</f>
        <v>办公用品</v>
      </c>
      <c r="K799" s="38" t="str">
        <f>VLOOKUP(E799,地区表!$A$2:$C$255,3,FALSE)</f>
        <v>华东</v>
      </c>
    </row>
    <row r="800" spans="1:11" ht="15.6">
      <c r="A800" s="28" t="s">
        <v>706</v>
      </c>
      <c r="B800" s="29">
        <v>45265.473052449597</v>
      </c>
      <c r="C800" s="29">
        <v>45271.662667241901</v>
      </c>
      <c r="D800" s="28" t="s">
        <v>98</v>
      </c>
      <c r="E800" s="28" t="s">
        <v>707</v>
      </c>
      <c r="F800" s="28" t="s">
        <v>111</v>
      </c>
      <c r="G800" s="28">
        <f t="shared" ca="1" si="24"/>
        <v>60</v>
      </c>
      <c r="H800" s="28">
        <v>2</v>
      </c>
      <c r="I800" s="25">
        <f t="shared" ca="1" si="25"/>
        <v>120</v>
      </c>
      <c r="J800" s="25" t="str">
        <f>VLOOKUP(F800,地区表!$D$2:$E$18,2,FALSE)</f>
        <v>办公用品</v>
      </c>
      <c r="K800" s="38" t="str">
        <f>VLOOKUP(E800,地区表!$A$2:$C$255,3,FALSE)</f>
        <v>中南</v>
      </c>
    </row>
    <row r="801" spans="1:11" ht="15.6">
      <c r="A801" s="28" t="s">
        <v>708</v>
      </c>
      <c r="B801" s="29">
        <v>44928.185836622302</v>
      </c>
      <c r="C801" s="29">
        <v>44933.6380172434</v>
      </c>
      <c r="D801" s="28" t="s">
        <v>114</v>
      </c>
      <c r="E801" s="28" t="s">
        <v>709</v>
      </c>
      <c r="F801" s="28" t="s">
        <v>100</v>
      </c>
      <c r="G801" s="28">
        <f t="shared" ca="1" si="24"/>
        <v>23</v>
      </c>
      <c r="H801" s="28">
        <v>3</v>
      </c>
      <c r="I801" s="25">
        <f t="shared" ca="1" si="25"/>
        <v>69</v>
      </c>
      <c r="J801" s="25" t="str">
        <f>VLOOKUP(F801,地区表!$D$2:$E$18,2,FALSE)</f>
        <v>办公用品</v>
      </c>
      <c r="K801" s="38" t="str">
        <f>VLOOKUP(E801,地区表!$A$2:$C$255,3,FALSE)</f>
        <v>华北</v>
      </c>
    </row>
    <row r="802" spans="1:11" ht="15.6">
      <c r="A802" s="28" t="s">
        <v>708</v>
      </c>
      <c r="B802" s="29">
        <v>44928.390265679402</v>
      </c>
      <c r="C802" s="29">
        <v>44933.959456076103</v>
      </c>
      <c r="D802" s="28" t="s">
        <v>114</v>
      </c>
      <c r="E802" s="28" t="s">
        <v>709</v>
      </c>
      <c r="F802" s="28" t="s">
        <v>109</v>
      </c>
      <c r="G802" s="28">
        <f t="shared" ca="1" si="24"/>
        <v>40</v>
      </c>
      <c r="H802" s="28">
        <v>2</v>
      </c>
      <c r="I802" s="25">
        <f t="shared" ca="1" si="25"/>
        <v>80</v>
      </c>
      <c r="J802" s="25" t="str">
        <f>VLOOKUP(F802,地区表!$D$2:$E$18,2,FALSE)</f>
        <v>技术</v>
      </c>
      <c r="K802" s="38" t="str">
        <f>VLOOKUP(E802,地区表!$A$2:$C$255,3,FALSE)</f>
        <v>华北</v>
      </c>
    </row>
    <row r="803" spans="1:11" ht="15.6">
      <c r="A803" s="28" t="s">
        <v>710</v>
      </c>
      <c r="B803" s="29">
        <v>45086.793986056997</v>
      </c>
      <c r="C803" s="29">
        <v>45089.3998696946</v>
      </c>
      <c r="D803" s="28" t="s">
        <v>94</v>
      </c>
      <c r="E803" s="28" t="s">
        <v>711</v>
      </c>
      <c r="F803" s="28" t="s">
        <v>122</v>
      </c>
      <c r="G803" s="28">
        <f t="shared" ca="1" si="24"/>
        <v>17</v>
      </c>
      <c r="H803" s="28">
        <v>2</v>
      </c>
      <c r="I803" s="25">
        <f t="shared" ca="1" si="25"/>
        <v>34</v>
      </c>
      <c r="J803" s="25" t="str">
        <f>VLOOKUP(F803,地区表!$D$2:$E$18,2,FALSE)</f>
        <v>技术</v>
      </c>
      <c r="K803" s="38" t="str">
        <f>VLOOKUP(E803,地区表!$A$2:$C$255,3,FALSE)</f>
        <v>东北</v>
      </c>
    </row>
    <row r="804" spans="1:11" ht="15.6">
      <c r="A804" s="28" t="s">
        <v>712</v>
      </c>
      <c r="B804" s="29">
        <v>44222.724844028999</v>
      </c>
      <c r="C804" s="29">
        <v>44226.610972565199</v>
      </c>
      <c r="D804" s="28" t="s">
        <v>94</v>
      </c>
      <c r="E804" s="28" t="s">
        <v>713</v>
      </c>
      <c r="F804" s="28" t="s">
        <v>141</v>
      </c>
      <c r="G804" s="28">
        <f t="shared" ca="1" si="24"/>
        <v>63</v>
      </c>
      <c r="H804" s="28">
        <v>3</v>
      </c>
      <c r="I804" s="25">
        <f t="shared" ca="1" si="25"/>
        <v>189</v>
      </c>
      <c r="J804" s="25" t="str">
        <f>VLOOKUP(F804,地区表!$D$2:$E$18,2,FALSE)</f>
        <v>办公用品</v>
      </c>
      <c r="K804" s="38" t="str">
        <f>VLOOKUP(E804,地区表!$A$2:$C$255,3,FALSE)</f>
        <v>东北</v>
      </c>
    </row>
    <row r="805" spans="1:11" ht="15.6">
      <c r="A805" s="28" t="s">
        <v>712</v>
      </c>
      <c r="B805" s="29">
        <v>44222.649790971504</v>
      </c>
      <c r="C805" s="29">
        <v>44226.170079642099</v>
      </c>
      <c r="D805" s="28" t="s">
        <v>94</v>
      </c>
      <c r="E805" s="28" t="s">
        <v>713</v>
      </c>
      <c r="F805" s="28" t="s">
        <v>100</v>
      </c>
      <c r="G805" s="28">
        <f t="shared" ca="1" si="24"/>
        <v>60</v>
      </c>
      <c r="H805" s="28">
        <v>4</v>
      </c>
      <c r="I805" s="25">
        <f t="shared" ca="1" si="25"/>
        <v>240</v>
      </c>
      <c r="J805" s="25" t="str">
        <f>VLOOKUP(F805,地区表!$D$2:$E$18,2,FALSE)</f>
        <v>办公用品</v>
      </c>
      <c r="K805" s="38" t="str">
        <f>VLOOKUP(E805,地区表!$A$2:$C$255,3,FALSE)</f>
        <v>东北</v>
      </c>
    </row>
    <row r="806" spans="1:11" ht="15.6">
      <c r="A806" s="28" t="s">
        <v>712</v>
      </c>
      <c r="B806" s="29">
        <v>44222.228647803</v>
      </c>
      <c r="C806" s="29">
        <v>44226.706124895703</v>
      </c>
      <c r="D806" s="28" t="s">
        <v>94</v>
      </c>
      <c r="E806" s="28" t="s">
        <v>713</v>
      </c>
      <c r="F806" s="28" t="s">
        <v>106</v>
      </c>
      <c r="G806" s="28">
        <f t="shared" ca="1" si="24"/>
        <v>73</v>
      </c>
      <c r="H806" s="28">
        <v>3</v>
      </c>
      <c r="I806" s="25">
        <f t="shared" ca="1" si="25"/>
        <v>219</v>
      </c>
      <c r="J806" s="25" t="str">
        <f>VLOOKUP(F806,地区表!$D$2:$E$18,2,FALSE)</f>
        <v>办公用品</v>
      </c>
      <c r="K806" s="38" t="str">
        <f>VLOOKUP(E806,地区表!$A$2:$C$255,3,FALSE)</f>
        <v>东北</v>
      </c>
    </row>
    <row r="807" spans="1:11" ht="15.6">
      <c r="A807" s="28" t="s">
        <v>714</v>
      </c>
      <c r="B807" s="29">
        <v>44781.927299107701</v>
      </c>
      <c r="C807" s="29">
        <v>44783.755373031701</v>
      </c>
      <c r="D807" s="28" t="s">
        <v>98</v>
      </c>
      <c r="E807" s="28" t="s">
        <v>392</v>
      </c>
      <c r="F807" s="28" t="s">
        <v>125</v>
      </c>
      <c r="G807" s="28">
        <f t="shared" ca="1" si="24"/>
        <v>29</v>
      </c>
      <c r="H807" s="28">
        <v>4</v>
      </c>
      <c r="I807" s="25">
        <f t="shared" ca="1" si="25"/>
        <v>116</v>
      </c>
      <c r="J807" s="25" t="str">
        <f>VLOOKUP(F807,地区表!$D$2:$E$18,2,FALSE)</f>
        <v>办公用品</v>
      </c>
      <c r="K807" s="38" t="str">
        <f>VLOOKUP(E807,地区表!$A$2:$C$255,3,FALSE)</f>
        <v>东北</v>
      </c>
    </row>
    <row r="808" spans="1:11" ht="15.6">
      <c r="A808" s="28" t="s">
        <v>715</v>
      </c>
      <c r="B808" s="29">
        <v>44963.2860308007</v>
      </c>
      <c r="C808" s="29">
        <v>44968.228598092399</v>
      </c>
      <c r="D808" s="28" t="s">
        <v>114</v>
      </c>
      <c r="E808" s="28" t="s">
        <v>716</v>
      </c>
      <c r="F808" s="28" t="s">
        <v>125</v>
      </c>
      <c r="G808" s="28">
        <f t="shared" ca="1" si="24"/>
        <v>65</v>
      </c>
      <c r="H808" s="28">
        <v>1</v>
      </c>
      <c r="I808" s="25">
        <f t="shared" ca="1" si="25"/>
        <v>65</v>
      </c>
      <c r="J808" s="25" t="str">
        <f>VLOOKUP(F808,地区表!$D$2:$E$18,2,FALSE)</f>
        <v>办公用品</v>
      </c>
      <c r="K808" s="38" t="str">
        <f>VLOOKUP(E808,地区表!$A$2:$C$255,3,FALSE)</f>
        <v>西南</v>
      </c>
    </row>
    <row r="809" spans="1:11" ht="15.6">
      <c r="A809" s="28" t="s">
        <v>717</v>
      </c>
      <c r="B809" s="29">
        <v>44911.2134617068</v>
      </c>
      <c r="C809" s="29">
        <v>44915.475145784199</v>
      </c>
      <c r="D809" s="28" t="s">
        <v>98</v>
      </c>
      <c r="E809" s="28" t="s">
        <v>105</v>
      </c>
      <c r="F809" s="28" t="s">
        <v>106</v>
      </c>
      <c r="G809" s="28">
        <f t="shared" ca="1" si="24"/>
        <v>35</v>
      </c>
      <c r="H809" s="28">
        <v>2</v>
      </c>
      <c r="I809" s="25">
        <f t="shared" ca="1" si="25"/>
        <v>70</v>
      </c>
      <c r="J809" s="25" t="str">
        <f>VLOOKUP(F809,地区表!$D$2:$E$18,2,FALSE)</f>
        <v>办公用品</v>
      </c>
      <c r="K809" s="38" t="str">
        <f>VLOOKUP(E809,地区表!$A$2:$C$255,3,FALSE)</f>
        <v>中南</v>
      </c>
    </row>
    <row r="810" spans="1:11" ht="15.6">
      <c r="A810" s="28" t="s">
        <v>718</v>
      </c>
      <c r="B810" s="29">
        <v>44806.474807103703</v>
      </c>
      <c r="C810" s="29">
        <v>44808.560599836797</v>
      </c>
      <c r="D810" s="28" t="s">
        <v>98</v>
      </c>
      <c r="E810" s="28" t="s">
        <v>120</v>
      </c>
      <c r="F810" s="28" t="s">
        <v>112</v>
      </c>
      <c r="G810" s="28">
        <f t="shared" ca="1" si="24"/>
        <v>100</v>
      </c>
      <c r="H810" s="28">
        <v>3</v>
      </c>
      <c r="I810" s="25">
        <f t="shared" ca="1" si="25"/>
        <v>300</v>
      </c>
      <c r="J810" s="25" t="str">
        <f>VLOOKUP(F810,地区表!$D$2:$E$18,2,FALSE)</f>
        <v>办公用品</v>
      </c>
      <c r="K810" s="38" t="str">
        <f>VLOOKUP(E810,地区表!$A$2:$C$255,3,FALSE)</f>
        <v>华东</v>
      </c>
    </row>
    <row r="811" spans="1:11" ht="15.6">
      <c r="A811" s="28" t="s">
        <v>718</v>
      </c>
      <c r="B811" s="29">
        <v>44806.773626162998</v>
      </c>
      <c r="C811" s="29">
        <v>44808.950186645103</v>
      </c>
      <c r="D811" s="28" t="s">
        <v>98</v>
      </c>
      <c r="E811" s="28" t="s">
        <v>120</v>
      </c>
      <c r="F811" s="28" t="s">
        <v>109</v>
      </c>
      <c r="G811" s="28">
        <f t="shared" ca="1" si="24"/>
        <v>10</v>
      </c>
      <c r="H811" s="28">
        <v>3</v>
      </c>
      <c r="I811" s="25">
        <f t="shared" ca="1" si="25"/>
        <v>30</v>
      </c>
      <c r="J811" s="25" t="str">
        <f>VLOOKUP(F811,地区表!$D$2:$E$18,2,FALSE)</f>
        <v>技术</v>
      </c>
      <c r="K811" s="38" t="str">
        <f>VLOOKUP(E811,地区表!$A$2:$C$255,3,FALSE)</f>
        <v>华东</v>
      </c>
    </row>
    <row r="812" spans="1:11" ht="15.6">
      <c r="A812" s="28" t="s">
        <v>718</v>
      </c>
      <c r="B812" s="29">
        <v>44806.0300038286</v>
      </c>
      <c r="C812" s="29">
        <v>44808.004260905604</v>
      </c>
      <c r="D812" s="28" t="s">
        <v>98</v>
      </c>
      <c r="E812" s="28" t="s">
        <v>120</v>
      </c>
      <c r="F812" s="28" t="s">
        <v>101</v>
      </c>
      <c r="G812" s="28">
        <f t="shared" ca="1" si="24"/>
        <v>24</v>
      </c>
      <c r="H812" s="28">
        <v>1</v>
      </c>
      <c r="I812" s="25">
        <f t="shared" ca="1" si="25"/>
        <v>24</v>
      </c>
      <c r="J812" s="25" t="str">
        <f>VLOOKUP(F812,地区表!$D$2:$E$18,2,FALSE)</f>
        <v>办公用品</v>
      </c>
      <c r="K812" s="38" t="str">
        <f>VLOOKUP(E812,地区表!$A$2:$C$255,3,FALSE)</f>
        <v>华东</v>
      </c>
    </row>
    <row r="813" spans="1:11" ht="15.6">
      <c r="A813" s="28" t="s">
        <v>718</v>
      </c>
      <c r="B813" s="29">
        <v>44806.761946797502</v>
      </c>
      <c r="C813" s="29">
        <v>44808.520161957902</v>
      </c>
      <c r="D813" s="28" t="s">
        <v>98</v>
      </c>
      <c r="E813" s="28" t="s">
        <v>120</v>
      </c>
      <c r="F813" s="28" t="s">
        <v>131</v>
      </c>
      <c r="G813" s="28">
        <f t="shared" ca="1" si="24"/>
        <v>66</v>
      </c>
      <c r="H813" s="28">
        <v>1</v>
      </c>
      <c r="I813" s="25">
        <f t="shared" ca="1" si="25"/>
        <v>66</v>
      </c>
      <c r="J813" s="25" t="str">
        <f>VLOOKUP(F813,地区表!$D$2:$E$18,2,FALSE)</f>
        <v>家具</v>
      </c>
      <c r="K813" s="38" t="str">
        <f>VLOOKUP(E813,地区表!$A$2:$C$255,3,FALSE)</f>
        <v>华东</v>
      </c>
    </row>
    <row r="814" spans="1:11" ht="15.6">
      <c r="A814" s="28" t="s">
        <v>718</v>
      </c>
      <c r="B814" s="29">
        <v>44806.328253591499</v>
      </c>
      <c r="C814" s="29">
        <v>44808.111575612798</v>
      </c>
      <c r="D814" s="28" t="s">
        <v>98</v>
      </c>
      <c r="E814" s="28" t="s">
        <v>120</v>
      </c>
      <c r="F814" s="28" t="s">
        <v>96</v>
      </c>
      <c r="G814" s="28">
        <f t="shared" ca="1" si="24"/>
        <v>82</v>
      </c>
      <c r="H814" s="28">
        <v>4</v>
      </c>
      <c r="I814" s="25">
        <f t="shared" ca="1" si="25"/>
        <v>328</v>
      </c>
      <c r="J814" s="25" t="str">
        <f>VLOOKUP(F814,地区表!$D$2:$E$18,2,FALSE)</f>
        <v>办公用品</v>
      </c>
      <c r="K814" s="38" t="str">
        <f>VLOOKUP(E814,地区表!$A$2:$C$255,3,FALSE)</f>
        <v>华东</v>
      </c>
    </row>
    <row r="815" spans="1:11" ht="15.6">
      <c r="A815" s="28" t="s">
        <v>719</v>
      </c>
      <c r="B815" s="29">
        <v>44564.857356996101</v>
      </c>
      <c r="C815" s="29">
        <v>44566.947814959902</v>
      </c>
      <c r="D815" s="28" t="s">
        <v>98</v>
      </c>
      <c r="E815" s="28" t="s">
        <v>720</v>
      </c>
      <c r="F815" s="28" t="s">
        <v>110</v>
      </c>
      <c r="G815" s="28">
        <f t="shared" ca="1" si="24"/>
        <v>96</v>
      </c>
      <c r="H815" s="28">
        <v>11</v>
      </c>
      <c r="I815" s="25">
        <f t="shared" ca="1" si="25"/>
        <v>1056</v>
      </c>
      <c r="J815" s="25" t="str">
        <f>VLOOKUP(F815,地区表!$D$2:$E$18,2,FALSE)</f>
        <v>家具</v>
      </c>
      <c r="K815" s="38" t="str">
        <f>VLOOKUP(E815,地区表!$A$2:$C$255,3,FALSE)</f>
        <v>华北</v>
      </c>
    </row>
    <row r="816" spans="1:11" ht="15.6">
      <c r="A816" s="28" t="s">
        <v>719</v>
      </c>
      <c r="B816" s="29">
        <v>44564.552194725104</v>
      </c>
      <c r="C816" s="29">
        <v>44566.5786215915</v>
      </c>
      <c r="D816" s="28" t="s">
        <v>98</v>
      </c>
      <c r="E816" s="28" t="s">
        <v>720</v>
      </c>
      <c r="F816" s="28" t="s">
        <v>110</v>
      </c>
      <c r="G816" s="28">
        <f t="shared" ca="1" si="24"/>
        <v>65</v>
      </c>
      <c r="H816" s="28">
        <v>6</v>
      </c>
      <c r="I816" s="25">
        <f t="shared" ca="1" si="25"/>
        <v>390</v>
      </c>
      <c r="J816" s="25" t="str">
        <f>VLOOKUP(F816,地区表!$D$2:$E$18,2,FALSE)</f>
        <v>家具</v>
      </c>
      <c r="K816" s="38" t="str">
        <f>VLOOKUP(E816,地区表!$A$2:$C$255,3,FALSE)</f>
        <v>华北</v>
      </c>
    </row>
    <row r="817" spans="1:11" ht="15.6">
      <c r="A817" s="28" t="s">
        <v>719</v>
      </c>
      <c r="B817" s="29">
        <v>44564.404879167101</v>
      </c>
      <c r="C817" s="29">
        <v>44566.812312149901</v>
      </c>
      <c r="D817" s="28" t="s">
        <v>98</v>
      </c>
      <c r="E817" s="28" t="s">
        <v>720</v>
      </c>
      <c r="F817" s="28" t="s">
        <v>130</v>
      </c>
      <c r="G817" s="28">
        <f t="shared" ca="1" si="24"/>
        <v>20</v>
      </c>
      <c r="H817" s="28">
        <v>1</v>
      </c>
      <c r="I817" s="25">
        <f t="shared" ca="1" si="25"/>
        <v>20</v>
      </c>
      <c r="J817" s="25" t="str">
        <f>VLOOKUP(F817,地区表!$D$2:$E$18,2,FALSE)</f>
        <v>家具</v>
      </c>
      <c r="K817" s="38" t="str">
        <f>VLOOKUP(E817,地区表!$A$2:$C$255,3,FALSE)</f>
        <v>华北</v>
      </c>
    </row>
    <row r="818" spans="1:11" ht="15.6">
      <c r="A818" s="28" t="s">
        <v>719</v>
      </c>
      <c r="B818" s="29">
        <v>44564.981277088496</v>
      </c>
      <c r="C818" s="29">
        <v>44566.379215907698</v>
      </c>
      <c r="D818" s="28" t="s">
        <v>98</v>
      </c>
      <c r="E818" s="28" t="s">
        <v>720</v>
      </c>
      <c r="F818" s="28" t="s">
        <v>110</v>
      </c>
      <c r="G818" s="28">
        <f t="shared" ca="1" si="24"/>
        <v>11</v>
      </c>
      <c r="H818" s="28">
        <v>3</v>
      </c>
      <c r="I818" s="25">
        <f t="shared" ca="1" si="25"/>
        <v>33</v>
      </c>
      <c r="J818" s="25" t="str">
        <f>VLOOKUP(F818,地区表!$D$2:$E$18,2,FALSE)</f>
        <v>家具</v>
      </c>
      <c r="K818" s="38" t="str">
        <f>VLOOKUP(E818,地区表!$A$2:$C$255,3,FALSE)</f>
        <v>华北</v>
      </c>
    </row>
    <row r="819" spans="1:11" ht="15.6">
      <c r="A819" s="28" t="s">
        <v>721</v>
      </c>
      <c r="B819" s="29">
        <v>44357.159302386397</v>
      </c>
      <c r="C819" s="29">
        <v>44363.658381431502</v>
      </c>
      <c r="D819" s="28" t="s">
        <v>98</v>
      </c>
      <c r="E819" s="28" t="s">
        <v>127</v>
      </c>
      <c r="F819" s="28" t="s">
        <v>101</v>
      </c>
      <c r="G819" s="28">
        <f t="shared" ca="1" si="24"/>
        <v>44</v>
      </c>
      <c r="H819" s="28">
        <v>6</v>
      </c>
      <c r="I819" s="25">
        <f t="shared" ca="1" si="25"/>
        <v>264</v>
      </c>
      <c r="J819" s="25" t="str">
        <f>VLOOKUP(F819,地区表!$D$2:$E$18,2,FALSE)</f>
        <v>办公用品</v>
      </c>
      <c r="K819" s="38" t="str">
        <f>VLOOKUP(E819,地区表!$A$2:$C$255,3,FALSE)</f>
        <v>华东</v>
      </c>
    </row>
    <row r="820" spans="1:11" ht="15.6">
      <c r="A820" s="28" t="s">
        <v>722</v>
      </c>
      <c r="B820" s="29">
        <v>45284.682920709303</v>
      </c>
      <c r="C820" s="29">
        <v>45289.552859891897</v>
      </c>
      <c r="D820" s="28" t="s">
        <v>94</v>
      </c>
      <c r="E820" s="28" t="s">
        <v>723</v>
      </c>
      <c r="F820" s="28" t="s">
        <v>100</v>
      </c>
      <c r="G820" s="28">
        <f t="shared" ca="1" si="24"/>
        <v>88</v>
      </c>
      <c r="H820" s="28">
        <v>5</v>
      </c>
      <c r="I820" s="25">
        <f t="shared" ca="1" si="25"/>
        <v>440</v>
      </c>
      <c r="J820" s="25" t="str">
        <f>VLOOKUP(F820,地区表!$D$2:$E$18,2,FALSE)</f>
        <v>办公用品</v>
      </c>
      <c r="K820" s="38" t="str">
        <f>VLOOKUP(E820,地区表!$A$2:$C$255,3,FALSE)</f>
        <v>中南</v>
      </c>
    </row>
    <row r="821" spans="1:11" ht="15.6">
      <c r="A821" s="28" t="s">
        <v>724</v>
      </c>
      <c r="B821" s="29">
        <v>44557.5656225446</v>
      </c>
      <c r="C821" s="29">
        <v>44560.299695927897</v>
      </c>
      <c r="D821" s="28" t="s">
        <v>98</v>
      </c>
      <c r="E821" s="28" t="s">
        <v>725</v>
      </c>
      <c r="F821" s="28" t="s">
        <v>106</v>
      </c>
      <c r="G821" s="28">
        <f t="shared" ca="1" si="24"/>
        <v>72</v>
      </c>
      <c r="H821" s="28">
        <v>3</v>
      </c>
      <c r="I821" s="25">
        <f t="shared" ca="1" si="25"/>
        <v>216</v>
      </c>
      <c r="J821" s="25" t="str">
        <f>VLOOKUP(F821,地区表!$D$2:$E$18,2,FALSE)</f>
        <v>办公用品</v>
      </c>
      <c r="K821" s="38" t="str">
        <f>VLOOKUP(E821,地区表!$A$2:$C$255,3,FALSE)</f>
        <v>西南</v>
      </c>
    </row>
    <row r="822" spans="1:11" ht="15.6">
      <c r="A822" s="28" t="s">
        <v>724</v>
      </c>
      <c r="B822" s="29">
        <v>44557.115452579703</v>
      </c>
      <c r="C822" s="29">
        <v>44560.973021658101</v>
      </c>
      <c r="D822" s="28" t="s">
        <v>98</v>
      </c>
      <c r="E822" s="28" t="s">
        <v>725</v>
      </c>
      <c r="F822" s="28" t="s">
        <v>110</v>
      </c>
      <c r="G822" s="28">
        <f t="shared" ca="1" si="24"/>
        <v>44</v>
      </c>
      <c r="H822" s="28">
        <v>3</v>
      </c>
      <c r="I822" s="25">
        <f t="shared" ca="1" si="25"/>
        <v>132</v>
      </c>
      <c r="J822" s="25" t="str">
        <f>VLOOKUP(F822,地区表!$D$2:$E$18,2,FALSE)</f>
        <v>家具</v>
      </c>
      <c r="K822" s="38" t="str">
        <f>VLOOKUP(E822,地区表!$A$2:$C$255,3,FALSE)</f>
        <v>西南</v>
      </c>
    </row>
    <row r="823" spans="1:11" ht="15.6">
      <c r="A823" s="28" t="s">
        <v>724</v>
      </c>
      <c r="B823" s="29">
        <v>44557.836550526998</v>
      </c>
      <c r="C823" s="29">
        <v>44560.019310013202</v>
      </c>
      <c r="D823" s="28" t="s">
        <v>98</v>
      </c>
      <c r="E823" s="28" t="s">
        <v>725</v>
      </c>
      <c r="F823" s="28" t="s">
        <v>100</v>
      </c>
      <c r="G823" s="28">
        <f t="shared" ca="1" si="24"/>
        <v>58</v>
      </c>
      <c r="H823" s="28">
        <v>4</v>
      </c>
      <c r="I823" s="25">
        <f t="shared" ca="1" si="25"/>
        <v>232</v>
      </c>
      <c r="J823" s="25" t="str">
        <f>VLOOKUP(F823,地区表!$D$2:$E$18,2,FALSE)</f>
        <v>办公用品</v>
      </c>
      <c r="K823" s="38" t="str">
        <f>VLOOKUP(E823,地区表!$A$2:$C$255,3,FALSE)</f>
        <v>西南</v>
      </c>
    </row>
    <row r="824" spans="1:11" ht="15.6">
      <c r="A824" s="28" t="s">
        <v>726</v>
      </c>
      <c r="B824" s="29">
        <v>44636.631315717801</v>
      </c>
      <c r="C824" s="29">
        <v>44639.505876027397</v>
      </c>
      <c r="D824" s="28" t="s">
        <v>98</v>
      </c>
      <c r="E824" s="28" t="s">
        <v>162</v>
      </c>
      <c r="F824" s="28" t="s">
        <v>141</v>
      </c>
      <c r="G824" s="28">
        <f t="shared" ca="1" si="24"/>
        <v>18</v>
      </c>
      <c r="H824" s="28">
        <v>6</v>
      </c>
      <c r="I824" s="25">
        <f t="shared" ca="1" si="25"/>
        <v>108</v>
      </c>
      <c r="J824" s="25" t="str">
        <f>VLOOKUP(F824,地区表!$D$2:$E$18,2,FALSE)</f>
        <v>办公用品</v>
      </c>
      <c r="K824" s="38" t="str">
        <f>VLOOKUP(E824,地区表!$A$2:$C$255,3,FALSE)</f>
        <v>中南</v>
      </c>
    </row>
    <row r="825" spans="1:11" ht="15.6">
      <c r="A825" s="28" t="s">
        <v>726</v>
      </c>
      <c r="B825" s="29">
        <v>44636.972935539503</v>
      </c>
      <c r="C825" s="29">
        <v>44639.107116661798</v>
      </c>
      <c r="D825" s="28" t="s">
        <v>98</v>
      </c>
      <c r="E825" s="28" t="s">
        <v>162</v>
      </c>
      <c r="F825" s="28" t="s">
        <v>130</v>
      </c>
      <c r="G825" s="28">
        <f t="shared" ca="1" si="24"/>
        <v>79</v>
      </c>
      <c r="H825" s="28">
        <v>4</v>
      </c>
      <c r="I825" s="25">
        <f t="shared" ca="1" si="25"/>
        <v>316</v>
      </c>
      <c r="J825" s="25" t="str">
        <f>VLOOKUP(F825,地区表!$D$2:$E$18,2,FALSE)</f>
        <v>家具</v>
      </c>
      <c r="K825" s="38" t="str">
        <f>VLOOKUP(E825,地区表!$A$2:$C$255,3,FALSE)</f>
        <v>中南</v>
      </c>
    </row>
    <row r="826" spans="1:11" ht="15.6">
      <c r="A826" s="28" t="s">
        <v>726</v>
      </c>
      <c r="B826" s="29">
        <v>44636.402396362799</v>
      </c>
      <c r="C826" s="29">
        <v>44639.484680566798</v>
      </c>
      <c r="D826" s="28" t="s">
        <v>98</v>
      </c>
      <c r="E826" s="28" t="s">
        <v>162</v>
      </c>
      <c r="F826" s="28" t="s">
        <v>118</v>
      </c>
      <c r="G826" s="28">
        <f t="shared" ca="1" si="24"/>
        <v>46</v>
      </c>
      <c r="H826" s="28">
        <v>13</v>
      </c>
      <c r="I826" s="25">
        <f t="shared" ca="1" si="25"/>
        <v>598</v>
      </c>
      <c r="J826" s="25" t="str">
        <f>VLOOKUP(F826,地区表!$D$2:$E$18,2,FALSE)</f>
        <v>技术</v>
      </c>
      <c r="K826" s="38" t="str">
        <f>VLOOKUP(E826,地区表!$A$2:$C$255,3,FALSE)</f>
        <v>中南</v>
      </c>
    </row>
    <row r="827" spans="1:11" ht="15.6">
      <c r="A827" s="28" t="s">
        <v>727</v>
      </c>
      <c r="B827" s="29">
        <v>44939.844342673699</v>
      </c>
      <c r="C827" s="29">
        <v>44944.571057631001</v>
      </c>
      <c r="D827" s="28" t="s">
        <v>98</v>
      </c>
      <c r="E827" s="28" t="s">
        <v>516</v>
      </c>
      <c r="F827" s="28" t="s">
        <v>141</v>
      </c>
      <c r="G827" s="28">
        <f t="shared" ca="1" si="24"/>
        <v>10</v>
      </c>
      <c r="H827" s="28">
        <v>2</v>
      </c>
      <c r="I827" s="25">
        <f t="shared" ca="1" si="25"/>
        <v>20</v>
      </c>
      <c r="J827" s="25" t="str">
        <f>VLOOKUP(F827,地区表!$D$2:$E$18,2,FALSE)</f>
        <v>办公用品</v>
      </c>
      <c r="K827" s="38" t="str">
        <f>VLOOKUP(E827,地区表!$A$2:$C$255,3,FALSE)</f>
        <v>华北</v>
      </c>
    </row>
    <row r="828" spans="1:11" ht="15.6">
      <c r="A828" s="28" t="s">
        <v>727</v>
      </c>
      <c r="B828" s="29">
        <v>44939.156974891899</v>
      </c>
      <c r="C828" s="29">
        <v>44944.764325706499</v>
      </c>
      <c r="D828" s="28" t="s">
        <v>98</v>
      </c>
      <c r="E828" s="28" t="s">
        <v>516</v>
      </c>
      <c r="F828" s="28" t="s">
        <v>131</v>
      </c>
      <c r="G828" s="28">
        <f t="shared" ca="1" si="24"/>
        <v>25</v>
      </c>
      <c r="H828" s="28">
        <v>1</v>
      </c>
      <c r="I828" s="25">
        <f t="shared" ca="1" si="25"/>
        <v>25</v>
      </c>
      <c r="J828" s="25" t="str">
        <f>VLOOKUP(F828,地区表!$D$2:$E$18,2,FALSE)</f>
        <v>家具</v>
      </c>
      <c r="K828" s="38" t="str">
        <f>VLOOKUP(E828,地区表!$A$2:$C$255,3,FALSE)</f>
        <v>华北</v>
      </c>
    </row>
    <row r="829" spans="1:11" ht="15.6">
      <c r="A829" s="28" t="s">
        <v>727</v>
      </c>
      <c r="B829" s="29">
        <v>44939.8167142116</v>
      </c>
      <c r="C829" s="29">
        <v>44944.870113546</v>
      </c>
      <c r="D829" s="28" t="s">
        <v>98</v>
      </c>
      <c r="E829" s="28" t="s">
        <v>516</v>
      </c>
      <c r="F829" s="28" t="s">
        <v>130</v>
      </c>
      <c r="G829" s="28">
        <f t="shared" ca="1" si="24"/>
        <v>41</v>
      </c>
      <c r="H829" s="28">
        <v>4</v>
      </c>
      <c r="I829" s="25">
        <f t="shared" ca="1" si="25"/>
        <v>164</v>
      </c>
      <c r="J829" s="25" t="str">
        <f>VLOOKUP(F829,地区表!$D$2:$E$18,2,FALSE)</f>
        <v>家具</v>
      </c>
      <c r="K829" s="38" t="str">
        <f>VLOOKUP(E829,地区表!$A$2:$C$255,3,FALSE)</f>
        <v>华北</v>
      </c>
    </row>
    <row r="830" spans="1:11" ht="15.6">
      <c r="A830" s="28" t="s">
        <v>727</v>
      </c>
      <c r="B830" s="29">
        <v>44939.278762528098</v>
      </c>
      <c r="C830" s="29">
        <v>44944.174790053898</v>
      </c>
      <c r="D830" s="28" t="s">
        <v>98</v>
      </c>
      <c r="E830" s="28" t="s">
        <v>516</v>
      </c>
      <c r="F830" s="28" t="s">
        <v>106</v>
      </c>
      <c r="G830" s="28">
        <f t="shared" ca="1" si="24"/>
        <v>92</v>
      </c>
      <c r="H830" s="28">
        <v>5</v>
      </c>
      <c r="I830" s="25">
        <f t="shared" ca="1" si="25"/>
        <v>460</v>
      </c>
      <c r="J830" s="25" t="str">
        <f>VLOOKUP(F830,地区表!$D$2:$E$18,2,FALSE)</f>
        <v>办公用品</v>
      </c>
      <c r="K830" s="38" t="str">
        <f>VLOOKUP(E830,地区表!$A$2:$C$255,3,FALSE)</f>
        <v>华北</v>
      </c>
    </row>
    <row r="831" spans="1:11" ht="15.6">
      <c r="A831" s="28" t="s">
        <v>727</v>
      </c>
      <c r="B831" s="29">
        <v>44939.8751193313</v>
      </c>
      <c r="C831" s="29">
        <v>44944.744375871502</v>
      </c>
      <c r="D831" s="28" t="s">
        <v>98</v>
      </c>
      <c r="E831" s="28" t="s">
        <v>516</v>
      </c>
      <c r="F831" s="28" t="s">
        <v>130</v>
      </c>
      <c r="G831" s="28">
        <f t="shared" ca="1" si="24"/>
        <v>31</v>
      </c>
      <c r="H831" s="28">
        <v>4</v>
      </c>
      <c r="I831" s="25">
        <f t="shared" ca="1" si="25"/>
        <v>124</v>
      </c>
      <c r="J831" s="25" t="str">
        <f>VLOOKUP(F831,地区表!$D$2:$E$18,2,FALSE)</f>
        <v>家具</v>
      </c>
      <c r="K831" s="38" t="str">
        <f>VLOOKUP(E831,地区表!$A$2:$C$255,3,FALSE)</f>
        <v>华北</v>
      </c>
    </row>
    <row r="832" spans="1:11" ht="15.6">
      <c r="A832" s="28" t="s">
        <v>728</v>
      </c>
      <c r="B832" s="29">
        <v>44680.221488876203</v>
      </c>
      <c r="C832" s="29">
        <v>44684.353403982597</v>
      </c>
      <c r="D832" s="28" t="s">
        <v>98</v>
      </c>
      <c r="E832" s="28" t="s">
        <v>435</v>
      </c>
      <c r="F832" s="28" t="s">
        <v>100</v>
      </c>
      <c r="G832" s="28">
        <f t="shared" ca="1" si="24"/>
        <v>40</v>
      </c>
      <c r="H832" s="28">
        <v>3</v>
      </c>
      <c r="I832" s="25">
        <f t="shared" ca="1" si="25"/>
        <v>120</v>
      </c>
      <c r="J832" s="25" t="str">
        <f>VLOOKUP(F832,地区表!$D$2:$E$18,2,FALSE)</f>
        <v>办公用品</v>
      </c>
      <c r="K832" s="38" t="str">
        <f>VLOOKUP(E832,地区表!$A$2:$C$255,3,FALSE)</f>
        <v>东北</v>
      </c>
    </row>
    <row r="833" spans="1:11" ht="15.6">
      <c r="A833" s="28" t="s">
        <v>729</v>
      </c>
      <c r="B833" s="29">
        <v>44659.786514694497</v>
      </c>
      <c r="C833" s="29">
        <v>44659.592719551198</v>
      </c>
      <c r="D833" s="28" t="s">
        <v>94</v>
      </c>
      <c r="E833" s="28" t="s">
        <v>730</v>
      </c>
      <c r="F833" s="28" t="s">
        <v>106</v>
      </c>
      <c r="G833" s="28">
        <f t="shared" ca="1" si="24"/>
        <v>89</v>
      </c>
      <c r="H833" s="28">
        <v>6</v>
      </c>
      <c r="I833" s="25">
        <f t="shared" ca="1" si="25"/>
        <v>534</v>
      </c>
      <c r="J833" s="25" t="str">
        <f>VLOOKUP(F833,地区表!$D$2:$E$18,2,FALSE)</f>
        <v>办公用品</v>
      </c>
      <c r="K833" s="38" t="str">
        <f>VLOOKUP(E833,地区表!$A$2:$C$255,3,FALSE)</f>
        <v>中南</v>
      </c>
    </row>
    <row r="834" spans="1:11" ht="15.6">
      <c r="A834" s="28" t="s">
        <v>731</v>
      </c>
      <c r="B834" s="29">
        <v>44942.664558017103</v>
      </c>
      <c r="C834" s="29">
        <v>44946.162885065001</v>
      </c>
      <c r="D834" s="28" t="s">
        <v>98</v>
      </c>
      <c r="E834" s="28" t="s">
        <v>117</v>
      </c>
      <c r="F834" s="28" t="s">
        <v>131</v>
      </c>
      <c r="G834" s="28">
        <f t="shared" ref="G834:G897" ca="1" si="26">RANDBETWEEN(10,100)</f>
        <v>78</v>
      </c>
      <c r="H834" s="28">
        <v>3</v>
      </c>
      <c r="I834" s="25">
        <f t="shared" ref="I834:I897" ca="1" si="27">G834*H834</f>
        <v>234</v>
      </c>
      <c r="J834" s="25" t="str">
        <f>VLOOKUP(F834,地区表!$D$2:$E$18,2,FALSE)</f>
        <v>家具</v>
      </c>
      <c r="K834" s="38" t="str">
        <f>VLOOKUP(E834,地区表!$A$2:$C$255,3,FALSE)</f>
        <v>东北</v>
      </c>
    </row>
    <row r="835" spans="1:11" ht="15.6">
      <c r="A835" s="28" t="s">
        <v>732</v>
      </c>
      <c r="B835" s="29">
        <v>44481.2812268946</v>
      </c>
      <c r="C835" s="29">
        <v>44484.306567075</v>
      </c>
      <c r="D835" s="28" t="s">
        <v>114</v>
      </c>
      <c r="E835" s="28" t="s">
        <v>733</v>
      </c>
      <c r="F835" s="28" t="s">
        <v>100</v>
      </c>
      <c r="G835" s="28">
        <f t="shared" ca="1" si="26"/>
        <v>87</v>
      </c>
      <c r="H835" s="28">
        <v>10</v>
      </c>
      <c r="I835" s="25">
        <f t="shared" ca="1" si="27"/>
        <v>870</v>
      </c>
      <c r="J835" s="25" t="str">
        <f>VLOOKUP(F835,地区表!$D$2:$E$18,2,FALSE)</f>
        <v>办公用品</v>
      </c>
      <c r="K835" s="38" t="str">
        <f>VLOOKUP(E835,地区表!$A$2:$C$255,3,FALSE)</f>
        <v>中南</v>
      </c>
    </row>
    <row r="836" spans="1:11" ht="15.6">
      <c r="A836" s="28" t="s">
        <v>732</v>
      </c>
      <c r="B836" s="29">
        <v>44481.0106379192</v>
      </c>
      <c r="C836" s="29">
        <v>44484.4620880609</v>
      </c>
      <c r="D836" s="28" t="s">
        <v>114</v>
      </c>
      <c r="E836" s="28" t="s">
        <v>733</v>
      </c>
      <c r="F836" s="28" t="s">
        <v>96</v>
      </c>
      <c r="G836" s="28">
        <f t="shared" ca="1" si="26"/>
        <v>93</v>
      </c>
      <c r="H836" s="28">
        <v>1</v>
      </c>
      <c r="I836" s="25">
        <f t="shared" ca="1" si="27"/>
        <v>93</v>
      </c>
      <c r="J836" s="25" t="str">
        <f>VLOOKUP(F836,地区表!$D$2:$E$18,2,FALSE)</f>
        <v>办公用品</v>
      </c>
      <c r="K836" s="38" t="str">
        <f>VLOOKUP(E836,地区表!$A$2:$C$255,3,FALSE)</f>
        <v>中南</v>
      </c>
    </row>
    <row r="837" spans="1:11" ht="15.6">
      <c r="A837" s="28" t="s">
        <v>734</v>
      </c>
      <c r="B837" s="29">
        <v>44354.071376391301</v>
      </c>
      <c r="C837" s="29">
        <v>44359.599746164997</v>
      </c>
      <c r="D837" s="28" t="s">
        <v>98</v>
      </c>
      <c r="E837" s="28" t="s">
        <v>154</v>
      </c>
      <c r="F837" s="28" t="s">
        <v>96</v>
      </c>
      <c r="G837" s="28">
        <f t="shared" ca="1" si="26"/>
        <v>30</v>
      </c>
      <c r="H837" s="28">
        <v>4</v>
      </c>
      <c r="I837" s="25">
        <f t="shared" ca="1" si="27"/>
        <v>120</v>
      </c>
      <c r="J837" s="25" t="str">
        <f>VLOOKUP(F837,地区表!$D$2:$E$18,2,FALSE)</f>
        <v>办公用品</v>
      </c>
      <c r="K837" s="38" t="str">
        <f>VLOOKUP(E837,地区表!$A$2:$C$255,3,FALSE)</f>
        <v>华东</v>
      </c>
    </row>
    <row r="838" spans="1:11" ht="15.6">
      <c r="A838" s="28" t="s">
        <v>735</v>
      </c>
      <c r="B838" s="29">
        <v>44844.349594749401</v>
      </c>
      <c r="C838" s="29">
        <v>44846.078039444998</v>
      </c>
      <c r="D838" s="28" t="s">
        <v>98</v>
      </c>
      <c r="E838" s="28" t="s">
        <v>290</v>
      </c>
      <c r="F838" s="28" t="s">
        <v>131</v>
      </c>
      <c r="G838" s="28">
        <f t="shared" ca="1" si="26"/>
        <v>46</v>
      </c>
      <c r="H838" s="28">
        <v>10</v>
      </c>
      <c r="I838" s="25">
        <f t="shared" ca="1" si="27"/>
        <v>460</v>
      </c>
      <c r="J838" s="25" t="str">
        <f>VLOOKUP(F838,地区表!$D$2:$E$18,2,FALSE)</f>
        <v>家具</v>
      </c>
      <c r="K838" s="38" t="str">
        <f>VLOOKUP(E838,地区表!$A$2:$C$255,3,FALSE)</f>
        <v>华东</v>
      </c>
    </row>
    <row r="839" spans="1:11" ht="15.6">
      <c r="A839" s="28" t="s">
        <v>736</v>
      </c>
      <c r="B839" s="29">
        <v>44616.203471859801</v>
      </c>
      <c r="C839" s="29">
        <v>44620.632047049199</v>
      </c>
      <c r="D839" s="28" t="s">
        <v>98</v>
      </c>
      <c r="E839" s="28" t="s">
        <v>737</v>
      </c>
      <c r="F839" s="28" t="s">
        <v>125</v>
      </c>
      <c r="G839" s="28">
        <f t="shared" ca="1" si="26"/>
        <v>14</v>
      </c>
      <c r="H839" s="28">
        <v>3</v>
      </c>
      <c r="I839" s="25">
        <f t="shared" ca="1" si="27"/>
        <v>42</v>
      </c>
      <c r="J839" s="25" t="str">
        <f>VLOOKUP(F839,地区表!$D$2:$E$18,2,FALSE)</f>
        <v>办公用品</v>
      </c>
      <c r="K839" s="38" t="str">
        <f>VLOOKUP(E839,地区表!$A$2:$C$255,3,FALSE)</f>
        <v>华北</v>
      </c>
    </row>
    <row r="840" spans="1:11" ht="15.6">
      <c r="A840" s="28" t="s">
        <v>738</v>
      </c>
      <c r="B840" s="29">
        <v>44967.628799615697</v>
      </c>
      <c r="C840" s="29">
        <v>44969.068489761397</v>
      </c>
      <c r="D840" s="28" t="s">
        <v>94</v>
      </c>
      <c r="E840" s="28" t="s">
        <v>739</v>
      </c>
      <c r="F840" s="28" t="s">
        <v>144</v>
      </c>
      <c r="G840" s="28">
        <f t="shared" ca="1" si="26"/>
        <v>84</v>
      </c>
      <c r="H840" s="28">
        <v>1</v>
      </c>
      <c r="I840" s="25">
        <f t="shared" ca="1" si="27"/>
        <v>84</v>
      </c>
      <c r="J840" s="25" t="str">
        <f>VLOOKUP(F840,地区表!$D$2:$E$18,2,FALSE)</f>
        <v>家具</v>
      </c>
      <c r="K840" s="38" t="str">
        <f>VLOOKUP(E840,地区表!$A$2:$C$255,3,FALSE)</f>
        <v>西北</v>
      </c>
    </row>
    <row r="841" spans="1:11" ht="15.6">
      <c r="A841" s="28" t="s">
        <v>740</v>
      </c>
      <c r="B841" s="29">
        <v>44757.8891999197</v>
      </c>
      <c r="C841" s="29">
        <v>44763.860892832199</v>
      </c>
      <c r="D841" s="28" t="s">
        <v>94</v>
      </c>
      <c r="E841" s="28" t="s">
        <v>216</v>
      </c>
      <c r="F841" s="28" t="s">
        <v>110</v>
      </c>
      <c r="G841" s="28">
        <f t="shared" ca="1" si="26"/>
        <v>10</v>
      </c>
      <c r="H841" s="28">
        <v>8</v>
      </c>
      <c r="I841" s="25">
        <f t="shared" ca="1" si="27"/>
        <v>80</v>
      </c>
      <c r="J841" s="25" t="str">
        <f>VLOOKUP(F841,地区表!$D$2:$E$18,2,FALSE)</f>
        <v>家具</v>
      </c>
      <c r="K841" s="38" t="str">
        <f>VLOOKUP(E841,地区表!$A$2:$C$255,3,FALSE)</f>
        <v>中南</v>
      </c>
    </row>
    <row r="842" spans="1:11" ht="15.6">
      <c r="A842" s="28" t="s">
        <v>740</v>
      </c>
      <c r="B842" s="29">
        <v>44757.280563523498</v>
      </c>
      <c r="C842" s="29">
        <v>44763.3093228496</v>
      </c>
      <c r="D842" s="28" t="s">
        <v>94</v>
      </c>
      <c r="E842" s="28" t="s">
        <v>216</v>
      </c>
      <c r="F842" s="28" t="s">
        <v>110</v>
      </c>
      <c r="G842" s="28">
        <f t="shared" ca="1" si="26"/>
        <v>68</v>
      </c>
      <c r="H842" s="28">
        <v>3</v>
      </c>
      <c r="I842" s="25">
        <f t="shared" ca="1" si="27"/>
        <v>204</v>
      </c>
      <c r="J842" s="25" t="str">
        <f>VLOOKUP(F842,地区表!$D$2:$E$18,2,FALSE)</f>
        <v>家具</v>
      </c>
      <c r="K842" s="38" t="str">
        <f>VLOOKUP(E842,地区表!$A$2:$C$255,3,FALSE)</f>
        <v>中南</v>
      </c>
    </row>
    <row r="843" spans="1:11" ht="15.6">
      <c r="A843" s="28" t="s">
        <v>740</v>
      </c>
      <c r="B843" s="29">
        <v>44757.900243011602</v>
      </c>
      <c r="C843" s="29">
        <v>44763.786167832302</v>
      </c>
      <c r="D843" s="28" t="s">
        <v>94</v>
      </c>
      <c r="E843" s="28" t="s">
        <v>216</v>
      </c>
      <c r="F843" s="28" t="s">
        <v>131</v>
      </c>
      <c r="G843" s="28">
        <f t="shared" ca="1" si="26"/>
        <v>13</v>
      </c>
      <c r="H843" s="28">
        <v>3</v>
      </c>
      <c r="I843" s="25">
        <f t="shared" ca="1" si="27"/>
        <v>39</v>
      </c>
      <c r="J843" s="25" t="str">
        <f>VLOOKUP(F843,地区表!$D$2:$E$18,2,FALSE)</f>
        <v>家具</v>
      </c>
      <c r="K843" s="38" t="str">
        <f>VLOOKUP(E843,地区表!$A$2:$C$255,3,FALSE)</f>
        <v>中南</v>
      </c>
    </row>
    <row r="844" spans="1:11" ht="15.6">
      <c r="A844" s="28" t="s">
        <v>740</v>
      </c>
      <c r="B844" s="29">
        <v>44757.274984121301</v>
      </c>
      <c r="C844" s="29">
        <v>44763.843187437204</v>
      </c>
      <c r="D844" s="28" t="s">
        <v>94</v>
      </c>
      <c r="E844" s="28" t="s">
        <v>216</v>
      </c>
      <c r="F844" s="28" t="s">
        <v>111</v>
      </c>
      <c r="G844" s="28">
        <f t="shared" ca="1" si="26"/>
        <v>84</v>
      </c>
      <c r="H844" s="28">
        <v>2</v>
      </c>
      <c r="I844" s="25">
        <f t="shared" ca="1" si="27"/>
        <v>168</v>
      </c>
      <c r="J844" s="25" t="str">
        <f>VLOOKUP(F844,地区表!$D$2:$E$18,2,FALSE)</f>
        <v>办公用品</v>
      </c>
      <c r="K844" s="38" t="str">
        <f>VLOOKUP(E844,地区表!$A$2:$C$255,3,FALSE)</f>
        <v>中南</v>
      </c>
    </row>
    <row r="845" spans="1:11" ht="15.6">
      <c r="A845" s="28" t="s">
        <v>740</v>
      </c>
      <c r="B845" s="29">
        <v>44757.6488999676</v>
      </c>
      <c r="C845" s="29">
        <v>44763.283576294802</v>
      </c>
      <c r="D845" s="28" t="s">
        <v>94</v>
      </c>
      <c r="E845" s="28" t="s">
        <v>216</v>
      </c>
      <c r="F845" s="28" t="s">
        <v>141</v>
      </c>
      <c r="G845" s="28">
        <f t="shared" ca="1" si="26"/>
        <v>91</v>
      </c>
      <c r="H845" s="28">
        <v>3</v>
      </c>
      <c r="I845" s="25">
        <f t="shared" ca="1" si="27"/>
        <v>273</v>
      </c>
      <c r="J845" s="25" t="str">
        <f>VLOOKUP(F845,地区表!$D$2:$E$18,2,FALSE)</f>
        <v>办公用品</v>
      </c>
      <c r="K845" s="38" t="str">
        <f>VLOOKUP(E845,地区表!$A$2:$C$255,3,FALSE)</f>
        <v>中南</v>
      </c>
    </row>
    <row r="846" spans="1:11" ht="15.6">
      <c r="A846" s="28" t="s">
        <v>741</v>
      </c>
      <c r="B846" s="29">
        <v>44217.838084614101</v>
      </c>
      <c r="C846" s="29">
        <v>44222.017941225698</v>
      </c>
      <c r="D846" s="28" t="s">
        <v>114</v>
      </c>
      <c r="E846" s="28" t="s">
        <v>573</v>
      </c>
      <c r="F846" s="28" t="s">
        <v>110</v>
      </c>
      <c r="G846" s="28">
        <f t="shared" ca="1" si="26"/>
        <v>92</v>
      </c>
      <c r="H846" s="28">
        <v>3</v>
      </c>
      <c r="I846" s="25">
        <f t="shared" ca="1" si="27"/>
        <v>276</v>
      </c>
      <c r="J846" s="25" t="str">
        <f>VLOOKUP(F846,地区表!$D$2:$E$18,2,FALSE)</f>
        <v>家具</v>
      </c>
      <c r="K846" s="38" t="str">
        <f>VLOOKUP(E846,地区表!$A$2:$C$255,3,FALSE)</f>
        <v>中南</v>
      </c>
    </row>
    <row r="847" spans="1:11" ht="15.6">
      <c r="A847" s="28" t="s">
        <v>742</v>
      </c>
      <c r="B847" s="29">
        <v>45180.6903212869</v>
      </c>
      <c r="C847" s="29">
        <v>45186.522151133897</v>
      </c>
      <c r="D847" s="28" t="s">
        <v>98</v>
      </c>
      <c r="E847" s="28" t="s">
        <v>197</v>
      </c>
      <c r="F847" s="28" t="s">
        <v>112</v>
      </c>
      <c r="G847" s="28">
        <f t="shared" ca="1" si="26"/>
        <v>27</v>
      </c>
      <c r="H847" s="28">
        <v>8</v>
      </c>
      <c r="I847" s="25">
        <f t="shared" ca="1" si="27"/>
        <v>216</v>
      </c>
      <c r="J847" s="25" t="str">
        <f>VLOOKUP(F847,地区表!$D$2:$E$18,2,FALSE)</f>
        <v>办公用品</v>
      </c>
      <c r="K847" s="38" t="str">
        <f>VLOOKUP(E847,地区表!$A$2:$C$255,3,FALSE)</f>
        <v>中南</v>
      </c>
    </row>
    <row r="848" spans="1:11" ht="15.6">
      <c r="A848" s="28" t="s">
        <v>743</v>
      </c>
      <c r="B848" s="29">
        <v>44285.115388006998</v>
      </c>
      <c r="C848" s="29">
        <v>44289.093718122203</v>
      </c>
      <c r="D848" s="28" t="s">
        <v>98</v>
      </c>
      <c r="E848" s="28" t="s">
        <v>744</v>
      </c>
      <c r="F848" s="28" t="s">
        <v>141</v>
      </c>
      <c r="G848" s="28">
        <f t="shared" ca="1" si="26"/>
        <v>17</v>
      </c>
      <c r="H848" s="28">
        <v>2</v>
      </c>
      <c r="I848" s="25">
        <f t="shared" ca="1" si="27"/>
        <v>34</v>
      </c>
      <c r="J848" s="25" t="str">
        <f>VLOOKUP(F848,地区表!$D$2:$E$18,2,FALSE)</f>
        <v>办公用品</v>
      </c>
      <c r="K848" s="38" t="str">
        <f>VLOOKUP(E848,地区表!$A$2:$C$255,3,FALSE)</f>
        <v>华东</v>
      </c>
    </row>
    <row r="849" spans="1:11" ht="15.6">
      <c r="A849" s="28" t="s">
        <v>743</v>
      </c>
      <c r="B849" s="29">
        <v>44285.800068124598</v>
      </c>
      <c r="C849" s="29">
        <v>44289.471758943197</v>
      </c>
      <c r="D849" s="28" t="s">
        <v>98</v>
      </c>
      <c r="E849" s="28" t="s">
        <v>744</v>
      </c>
      <c r="F849" s="28" t="s">
        <v>111</v>
      </c>
      <c r="G849" s="28">
        <f t="shared" ca="1" si="26"/>
        <v>77</v>
      </c>
      <c r="H849" s="28">
        <v>5</v>
      </c>
      <c r="I849" s="25">
        <f t="shared" ca="1" si="27"/>
        <v>385</v>
      </c>
      <c r="J849" s="25" t="str">
        <f>VLOOKUP(F849,地区表!$D$2:$E$18,2,FALSE)</f>
        <v>办公用品</v>
      </c>
      <c r="K849" s="38" t="str">
        <f>VLOOKUP(E849,地区表!$A$2:$C$255,3,FALSE)</f>
        <v>华东</v>
      </c>
    </row>
    <row r="850" spans="1:11" ht="15.6">
      <c r="A850" s="28" t="s">
        <v>745</v>
      </c>
      <c r="B850" s="29">
        <v>44622.781742390602</v>
      </c>
      <c r="C850" s="29">
        <v>44626.735448610001</v>
      </c>
      <c r="D850" s="28" t="s">
        <v>94</v>
      </c>
      <c r="E850" s="28" t="s">
        <v>746</v>
      </c>
      <c r="F850" s="28" t="s">
        <v>109</v>
      </c>
      <c r="G850" s="28">
        <f t="shared" ca="1" si="26"/>
        <v>97</v>
      </c>
      <c r="H850" s="28">
        <v>5</v>
      </c>
      <c r="I850" s="25">
        <f t="shared" ca="1" si="27"/>
        <v>485</v>
      </c>
      <c r="J850" s="25" t="str">
        <f>VLOOKUP(F850,地区表!$D$2:$E$18,2,FALSE)</f>
        <v>技术</v>
      </c>
      <c r="K850" s="38" t="str">
        <f>VLOOKUP(E850,地区表!$A$2:$C$255,3,FALSE)</f>
        <v>华北</v>
      </c>
    </row>
    <row r="851" spans="1:11" ht="15.6">
      <c r="A851" s="28" t="s">
        <v>747</v>
      </c>
      <c r="B851" s="29">
        <v>44475.631630770396</v>
      </c>
      <c r="C851" s="29">
        <v>44475.699489841601</v>
      </c>
      <c r="D851" s="28" t="s">
        <v>94</v>
      </c>
      <c r="E851" s="28" t="s">
        <v>302</v>
      </c>
      <c r="F851" s="28" t="s">
        <v>125</v>
      </c>
      <c r="G851" s="28">
        <f t="shared" ca="1" si="26"/>
        <v>23</v>
      </c>
      <c r="H851" s="28">
        <v>2</v>
      </c>
      <c r="I851" s="25">
        <f t="shared" ca="1" si="27"/>
        <v>46</v>
      </c>
      <c r="J851" s="25" t="str">
        <f>VLOOKUP(F851,地区表!$D$2:$E$18,2,FALSE)</f>
        <v>办公用品</v>
      </c>
      <c r="K851" s="38" t="str">
        <f>VLOOKUP(E851,地区表!$A$2:$C$255,3,FALSE)</f>
        <v>华东</v>
      </c>
    </row>
    <row r="852" spans="1:11" ht="15.6">
      <c r="A852" s="28" t="s">
        <v>748</v>
      </c>
      <c r="B852" s="29">
        <v>44564.616995997501</v>
      </c>
      <c r="C852" s="29">
        <v>44566.249755680903</v>
      </c>
      <c r="D852" s="28" t="s">
        <v>114</v>
      </c>
      <c r="E852" s="28" t="s">
        <v>127</v>
      </c>
      <c r="F852" s="28" t="s">
        <v>101</v>
      </c>
      <c r="G852" s="28">
        <f t="shared" ca="1" si="26"/>
        <v>20</v>
      </c>
      <c r="H852" s="28">
        <v>3</v>
      </c>
      <c r="I852" s="25">
        <f t="shared" ca="1" si="27"/>
        <v>60</v>
      </c>
      <c r="J852" s="25" t="str">
        <f>VLOOKUP(F852,地区表!$D$2:$E$18,2,FALSE)</f>
        <v>办公用品</v>
      </c>
      <c r="K852" s="38" t="str">
        <f>VLOOKUP(E852,地区表!$A$2:$C$255,3,FALSE)</f>
        <v>华东</v>
      </c>
    </row>
    <row r="853" spans="1:11" ht="15.6">
      <c r="A853" s="28" t="s">
        <v>749</v>
      </c>
      <c r="B853" s="29">
        <v>44544.425099101303</v>
      </c>
      <c r="C853" s="29">
        <v>44546.7043934334</v>
      </c>
      <c r="D853" s="28" t="s">
        <v>94</v>
      </c>
      <c r="E853" s="28" t="s">
        <v>409</v>
      </c>
      <c r="F853" s="28" t="s">
        <v>112</v>
      </c>
      <c r="G853" s="28">
        <f t="shared" ca="1" si="26"/>
        <v>22</v>
      </c>
      <c r="H853" s="28">
        <v>2</v>
      </c>
      <c r="I853" s="25">
        <f t="shared" ca="1" si="27"/>
        <v>44</v>
      </c>
      <c r="J853" s="25" t="str">
        <f>VLOOKUP(F853,地区表!$D$2:$E$18,2,FALSE)</f>
        <v>办公用品</v>
      </c>
      <c r="K853" s="38" t="str">
        <f>VLOOKUP(E853,地区表!$A$2:$C$255,3,FALSE)</f>
        <v>西南</v>
      </c>
    </row>
    <row r="854" spans="1:11" ht="15.6">
      <c r="A854" s="28" t="s">
        <v>749</v>
      </c>
      <c r="B854" s="29">
        <v>44544.0609519672</v>
      </c>
      <c r="C854" s="29">
        <v>44546.239854785097</v>
      </c>
      <c r="D854" s="28" t="s">
        <v>94</v>
      </c>
      <c r="E854" s="28" t="s">
        <v>409</v>
      </c>
      <c r="F854" s="28" t="s">
        <v>125</v>
      </c>
      <c r="G854" s="28">
        <f t="shared" ca="1" si="26"/>
        <v>68</v>
      </c>
      <c r="H854" s="28">
        <v>1</v>
      </c>
      <c r="I854" s="25">
        <f t="shared" ca="1" si="27"/>
        <v>68</v>
      </c>
      <c r="J854" s="25" t="str">
        <f>VLOOKUP(F854,地区表!$D$2:$E$18,2,FALSE)</f>
        <v>办公用品</v>
      </c>
      <c r="K854" s="38" t="str">
        <f>VLOOKUP(E854,地区表!$A$2:$C$255,3,FALSE)</f>
        <v>西南</v>
      </c>
    </row>
    <row r="855" spans="1:11" ht="15.6">
      <c r="A855" s="28" t="s">
        <v>749</v>
      </c>
      <c r="B855" s="29">
        <v>44544.032591948999</v>
      </c>
      <c r="C855" s="29">
        <v>44546.019786055898</v>
      </c>
      <c r="D855" s="28" t="s">
        <v>94</v>
      </c>
      <c r="E855" s="28" t="s">
        <v>409</v>
      </c>
      <c r="F855" s="28" t="s">
        <v>131</v>
      </c>
      <c r="G855" s="28">
        <f t="shared" ca="1" si="26"/>
        <v>69</v>
      </c>
      <c r="H855" s="28">
        <v>6</v>
      </c>
      <c r="I855" s="25">
        <f t="shared" ca="1" si="27"/>
        <v>414</v>
      </c>
      <c r="J855" s="25" t="str">
        <f>VLOOKUP(F855,地区表!$D$2:$E$18,2,FALSE)</f>
        <v>家具</v>
      </c>
      <c r="K855" s="38" t="str">
        <f>VLOOKUP(E855,地区表!$A$2:$C$255,3,FALSE)</f>
        <v>西南</v>
      </c>
    </row>
    <row r="856" spans="1:11" ht="15.6">
      <c r="A856" s="28" t="s">
        <v>750</v>
      </c>
      <c r="B856" s="29">
        <v>44548.571942324001</v>
      </c>
      <c r="C856" s="29">
        <v>44549.189173795399</v>
      </c>
      <c r="D856" s="28" t="s">
        <v>98</v>
      </c>
      <c r="E856" s="28" t="s">
        <v>711</v>
      </c>
      <c r="F856" s="28" t="s">
        <v>112</v>
      </c>
      <c r="G856" s="28">
        <f t="shared" ca="1" si="26"/>
        <v>41</v>
      </c>
      <c r="H856" s="28">
        <v>5</v>
      </c>
      <c r="I856" s="25">
        <f t="shared" ca="1" si="27"/>
        <v>205</v>
      </c>
      <c r="J856" s="25" t="str">
        <f>VLOOKUP(F856,地区表!$D$2:$E$18,2,FALSE)</f>
        <v>办公用品</v>
      </c>
      <c r="K856" s="38" t="str">
        <f>VLOOKUP(E856,地区表!$A$2:$C$255,3,FALSE)</f>
        <v>东北</v>
      </c>
    </row>
    <row r="857" spans="1:11" ht="15.6">
      <c r="A857" s="28" t="s">
        <v>750</v>
      </c>
      <c r="B857" s="29">
        <v>44548.172645231898</v>
      </c>
      <c r="C857" s="29">
        <v>44549.7758439311</v>
      </c>
      <c r="D857" s="28" t="s">
        <v>98</v>
      </c>
      <c r="E857" s="28" t="s">
        <v>711</v>
      </c>
      <c r="F857" s="28" t="s">
        <v>141</v>
      </c>
      <c r="G857" s="28">
        <f t="shared" ca="1" si="26"/>
        <v>24</v>
      </c>
      <c r="H857" s="28">
        <v>4</v>
      </c>
      <c r="I857" s="25">
        <f t="shared" ca="1" si="27"/>
        <v>96</v>
      </c>
      <c r="J857" s="25" t="str">
        <f>VLOOKUP(F857,地区表!$D$2:$E$18,2,FALSE)</f>
        <v>办公用品</v>
      </c>
      <c r="K857" s="38" t="str">
        <f>VLOOKUP(E857,地区表!$A$2:$C$255,3,FALSE)</f>
        <v>东北</v>
      </c>
    </row>
    <row r="858" spans="1:11" ht="15.6">
      <c r="A858" s="28" t="s">
        <v>750</v>
      </c>
      <c r="B858" s="29">
        <v>44548.329333378802</v>
      </c>
      <c r="C858" s="29">
        <v>44549.129895005797</v>
      </c>
      <c r="D858" s="28" t="s">
        <v>98</v>
      </c>
      <c r="E858" s="28" t="s">
        <v>711</v>
      </c>
      <c r="F858" s="28" t="s">
        <v>110</v>
      </c>
      <c r="G858" s="28">
        <f t="shared" ca="1" si="26"/>
        <v>91</v>
      </c>
      <c r="H858" s="28">
        <v>2</v>
      </c>
      <c r="I858" s="25">
        <f t="shared" ca="1" si="27"/>
        <v>182</v>
      </c>
      <c r="J858" s="25" t="str">
        <f>VLOOKUP(F858,地区表!$D$2:$E$18,2,FALSE)</f>
        <v>家具</v>
      </c>
      <c r="K858" s="38" t="str">
        <f>VLOOKUP(E858,地区表!$A$2:$C$255,3,FALSE)</f>
        <v>东北</v>
      </c>
    </row>
    <row r="859" spans="1:11" ht="15.6">
      <c r="A859" s="28" t="s">
        <v>750</v>
      </c>
      <c r="B859" s="29">
        <v>44548.480537924297</v>
      </c>
      <c r="C859" s="29">
        <v>44549.9533506238</v>
      </c>
      <c r="D859" s="28" t="s">
        <v>98</v>
      </c>
      <c r="E859" s="28" t="s">
        <v>711</v>
      </c>
      <c r="F859" s="28" t="s">
        <v>111</v>
      </c>
      <c r="G859" s="28">
        <f t="shared" ca="1" si="26"/>
        <v>68</v>
      </c>
      <c r="H859" s="28">
        <v>2</v>
      </c>
      <c r="I859" s="25">
        <f t="shared" ca="1" si="27"/>
        <v>136</v>
      </c>
      <c r="J859" s="25" t="str">
        <f>VLOOKUP(F859,地区表!$D$2:$E$18,2,FALSE)</f>
        <v>办公用品</v>
      </c>
      <c r="K859" s="38" t="str">
        <f>VLOOKUP(E859,地区表!$A$2:$C$255,3,FALSE)</f>
        <v>东北</v>
      </c>
    </row>
    <row r="860" spans="1:11" ht="15.6">
      <c r="A860" s="28" t="s">
        <v>750</v>
      </c>
      <c r="B860" s="29">
        <v>44548.472193656198</v>
      </c>
      <c r="C860" s="29">
        <v>44549.416724415001</v>
      </c>
      <c r="D860" s="28" t="s">
        <v>98</v>
      </c>
      <c r="E860" s="28" t="s">
        <v>711</v>
      </c>
      <c r="F860" s="28" t="s">
        <v>118</v>
      </c>
      <c r="G860" s="28">
        <f t="shared" ca="1" si="26"/>
        <v>91</v>
      </c>
      <c r="H860" s="28">
        <v>5</v>
      </c>
      <c r="I860" s="25">
        <f t="shared" ca="1" si="27"/>
        <v>455</v>
      </c>
      <c r="J860" s="25" t="str">
        <f>VLOOKUP(F860,地区表!$D$2:$E$18,2,FALSE)</f>
        <v>技术</v>
      </c>
      <c r="K860" s="38" t="str">
        <f>VLOOKUP(E860,地区表!$A$2:$C$255,3,FALSE)</f>
        <v>东北</v>
      </c>
    </row>
    <row r="861" spans="1:11" ht="15.6">
      <c r="A861" s="28" t="s">
        <v>750</v>
      </c>
      <c r="B861" s="29">
        <v>44548.960348774403</v>
      </c>
      <c r="C861" s="29">
        <v>44549.004783828997</v>
      </c>
      <c r="D861" s="28" t="s">
        <v>98</v>
      </c>
      <c r="E861" s="28" t="s">
        <v>711</v>
      </c>
      <c r="F861" s="28" t="s">
        <v>122</v>
      </c>
      <c r="G861" s="28">
        <f t="shared" ca="1" si="26"/>
        <v>61</v>
      </c>
      <c r="H861" s="28">
        <v>5</v>
      </c>
      <c r="I861" s="25">
        <f t="shared" ca="1" si="27"/>
        <v>305</v>
      </c>
      <c r="J861" s="25" t="str">
        <f>VLOOKUP(F861,地区表!$D$2:$E$18,2,FALSE)</f>
        <v>技术</v>
      </c>
      <c r="K861" s="38" t="str">
        <f>VLOOKUP(E861,地区表!$A$2:$C$255,3,FALSE)</f>
        <v>东北</v>
      </c>
    </row>
    <row r="862" spans="1:11" ht="15.6">
      <c r="A862" s="28" t="s">
        <v>751</v>
      </c>
      <c r="B862" s="29">
        <v>44224.732137090803</v>
      </c>
      <c r="C862" s="29">
        <v>44230.600705564299</v>
      </c>
      <c r="D862" s="28" t="s">
        <v>94</v>
      </c>
      <c r="E862" s="28" t="s">
        <v>752</v>
      </c>
      <c r="F862" s="28" t="s">
        <v>111</v>
      </c>
      <c r="G862" s="28">
        <f t="shared" ca="1" si="26"/>
        <v>47</v>
      </c>
      <c r="H862" s="28">
        <v>3</v>
      </c>
      <c r="I862" s="25">
        <f t="shared" ca="1" si="27"/>
        <v>141</v>
      </c>
      <c r="J862" s="25" t="str">
        <f>VLOOKUP(F862,地区表!$D$2:$E$18,2,FALSE)</f>
        <v>办公用品</v>
      </c>
      <c r="K862" s="38" t="str">
        <f>VLOOKUP(E862,地区表!$A$2:$C$255,3,FALSE)</f>
        <v>华东</v>
      </c>
    </row>
    <row r="863" spans="1:11" ht="15.6">
      <c r="A863" s="28" t="s">
        <v>751</v>
      </c>
      <c r="B863" s="29">
        <v>44224.176425227299</v>
      </c>
      <c r="C863" s="29">
        <v>44230.455946171904</v>
      </c>
      <c r="D863" s="28" t="s">
        <v>94</v>
      </c>
      <c r="E863" s="28" t="s">
        <v>752</v>
      </c>
      <c r="F863" s="28" t="s">
        <v>101</v>
      </c>
      <c r="G863" s="28">
        <f t="shared" ca="1" si="26"/>
        <v>39</v>
      </c>
      <c r="H863" s="28">
        <v>3</v>
      </c>
      <c r="I863" s="25">
        <f t="shared" ca="1" si="27"/>
        <v>117</v>
      </c>
      <c r="J863" s="25" t="str">
        <f>VLOOKUP(F863,地区表!$D$2:$E$18,2,FALSE)</f>
        <v>办公用品</v>
      </c>
      <c r="K863" s="38" t="str">
        <f>VLOOKUP(E863,地区表!$A$2:$C$255,3,FALSE)</f>
        <v>华东</v>
      </c>
    </row>
    <row r="864" spans="1:11" ht="15.6">
      <c r="A864" s="28" t="s">
        <v>751</v>
      </c>
      <c r="B864" s="29">
        <v>44224.032322465799</v>
      </c>
      <c r="C864" s="29">
        <v>44230.387983700202</v>
      </c>
      <c r="D864" s="28" t="s">
        <v>94</v>
      </c>
      <c r="E864" s="28" t="s">
        <v>752</v>
      </c>
      <c r="F864" s="28" t="s">
        <v>130</v>
      </c>
      <c r="G864" s="28">
        <f t="shared" ca="1" si="26"/>
        <v>78</v>
      </c>
      <c r="H864" s="28">
        <v>3</v>
      </c>
      <c r="I864" s="25">
        <f t="shared" ca="1" si="27"/>
        <v>234</v>
      </c>
      <c r="J864" s="25" t="str">
        <f>VLOOKUP(F864,地区表!$D$2:$E$18,2,FALSE)</f>
        <v>家具</v>
      </c>
      <c r="K864" s="38" t="str">
        <f>VLOOKUP(E864,地区表!$A$2:$C$255,3,FALSE)</f>
        <v>华东</v>
      </c>
    </row>
    <row r="865" spans="1:11" ht="15.6">
      <c r="A865" s="28" t="s">
        <v>751</v>
      </c>
      <c r="B865" s="29">
        <v>44224.850351698296</v>
      </c>
      <c r="C865" s="29">
        <v>44230.373501366099</v>
      </c>
      <c r="D865" s="28" t="s">
        <v>94</v>
      </c>
      <c r="E865" s="28" t="s">
        <v>752</v>
      </c>
      <c r="F865" s="28" t="s">
        <v>121</v>
      </c>
      <c r="G865" s="28">
        <f t="shared" ca="1" si="26"/>
        <v>68</v>
      </c>
      <c r="H865" s="28">
        <v>3</v>
      </c>
      <c r="I865" s="25">
        <f t="shared" ca="1" si="27"/>
        <v>204</v>
      </c>
      <c r="J865" s="25" t="str">
        <f>VLOOKUP(F865,地区表!$D$2:$E$18,2,FALSE)</f>
        <v>技术</v>
      </c>
      <c r="K865" s="38" t="str">
        <f>VLOOKUP(E865,地区表!$A$2:$C$255,3,FALSE)</f>
        <v>华东</v>
      </c>
    </row>
    <row r="866" spans="1:11" ht="15.6">
      <c r="A866" s="28" t="s">
        <v>751</v>
      </c>
      <c r="B866" s="29">
        <v>44224.878011447203</v>
      </c>
      <c r="C866" s="29">
        <v>44230.735673770403</v>
      </c>
      <c r="D866" s="28" t="s">
        <v>94</v>
      </c>
      <c r="E866" s="28" t="s">
        <v>752</v>
      </c>
      <c r="F866" s="28" t="s">
        <v>135</v>
      </c>
      <c r="G866" s="28">
        <f t="shared" ca="1" si="26"/>
        <v>28</v>
      </c>
      <c r="H866" s="28">
        <v>3</v>
      </c>
      <c r="I866" s="25">
        <f t="shared" ca="1" si="27"/>
        <v>84</v>
      </c>
      <c r="J866" s="25" t="str">
        <f>VLOOKUP(F866,地区表!$D$2:$E$18,2,FALSE)</f>
        <v>办公用品</v>
      </c>
      <c r="K866" s="38" t="str">
        <f>VLOOKUP(E866,地区表!$A$2:$C$255,3,FALSE)</f>
        <v>华东</v>
      </c>
    </row>
    <row r="867" spans="1:11" ht="15.6">
      <c r="A867" s="28" t="s">
        <v>751</v>
      </c>
      <c r="B867" s="29">
        <v>44224.932447617102</v>
      </c>
      <c r="C867" s="29">
        <v>44230.9186397718</v>
      </c>
      <c r="D867" s="28" t="s">
        <v>94</v>
      </c>
      <c r="E867" s="28" t="s">
        <v>752</v>
      </c>
      <c r="F867" s="28" t="s">
        <v>106</v>
      </c>
      <c r="G867" s="28">
        <f t="shared" ca="1" si="26"/>
        <v>60</v>
      </c>
      <c r="H867" s="28">
        <v>1</v>
      </c>
      <c r="I867" s="25">
        <f t="shared" ca="1" si="27"/>
        <v>60</v>
      </c>
      <c r="J867" s="25" t="str">
        <f>VLOOKUP(F867,地区表!$D$2:$E$18,2,FALSE)</f>
        <v>办公用品</v>
      </c>
      <c r="K867" s="38" t="str">
        <f>VLOOKUP(E867,地区表!$A$2:$C$255,3,FALSE)</f>
        <v>华东</v>
      </c>
    </row>
    <row r="868" spans="1:11" ht="15.6">
      <c r="A868" s="28" t="s">
        <v>751</v>
      </c>
      <c r="B868" s="29">
        <v>44224.906616499102</v>
      </c>
      <c r="C868" s="29">
        <v>44230.162209906899</v>
      </c>
      <c r="D868" s="28" t="s">
        <v>94</v>
      </c>
      <c r="E868" s="28" t="s">
        <v>752</v>
      </c>
      <c r="F868" s="28" t="s">
        <v>101</v>
      </c>
      <c r="G868" s="28">
        <f t="shared" ca="1" si="26"/>
        <v>95</v>
      </c>
      <c r="H868" s="28">
        <v>1</v>
      </c>
      <c r="I868" s="25">
        <f t="shared" ca="1" si="27"/>
        <v>95</v>
      </c>
      <c r="J868" s="25" t="str">
        <f>VLOOKUP(F868,地区表!$D$2:$E$18,2,FALSE)</f>
        <v>办公用品</v>
      </c>
      <c r="K868" s="38" t="str">
        <f>VLOOKUP(E868,地区表!$A$2:$C$255,3,FALSE)</f>
        <v>华东</v>
      </c>
    </row>
    <row r="869" spans="1:11" ht="15.6">
      <c r="A869" s="28" t="s">
        <v>753</v>
      </c>
      <c r="B869" s="29">
        <v>44674.236576512703</v>
      </c>
      <c r="C869" s="29">
        <v>44678.179599837902</v>
      </c>
      <c r="D869" s="28" t="s">
        <v>94</v>
      </c>
      <c r="E869" s="28" t="s">
        <v>137</v>
      </c>
      <c r="F869" s="28" t="s">
        <v>121</v>
      </c>
      <c r="G869" s="28">
        <f t="shared" ca="1" si="26"/>
        <v>78</v>
      </c>
      <c r="H869" s="28">
        <v>2</v>
      </c>
      <c r="I869" s="25">
        <f t="shared" ca="1" si="27"/>
        <v>156</v>
      </c>
      <c r="J869" s="25" t="str">
        <f>VLOOKUP(F869,地区表!$D$2:$E$18,2,FALSE)</f>
        <v>技术</v>
      </c>
      <c r="K869" s="38" t="str">
        <f>VLOOKUP(E869,地区表!$A$2:$C$255,3,FALSE)</f>
        <v>华东</v>
      </c>
    </row>
    <row r="870" spans="1:11" ht="15.6">
      <c r="A870" s="28" t="s">
        <v>753</v>
      </c>
      <c r="B870" s="29">
        <v>44674.830627382296</v>
      </c>
      <c r="C870" s="29">
        <v>44678.817888969199</v>
      </c>
      <c r="D870" s="28" t="s">
        <v>94</v>
      </c>
      <c r="E870" s="28" t="s">
        <v>137</v>
      </c>
      <c r="F870" s="28" t="s">
        <v>121</v>
      </c>
      <c r="G870" s="28">
        <f t="shared" ca="1" si="26"/>
        <v>98</v>
      </c>
      <c r="H870" s="28">
        <v>3</v>
      </c>
      <c r="I870" s="25">
        <f t="shared" ca="1" si="27"/>
        <v>294</v>
      </c>
      <c r="J870" s="25" t="str">
        <f>VLOOKUP(F870,地区表!$D$2:$E$18,2,FALSE)</f>
        <v>技术</v>
      </c>
      <c r="K870" s="38" t="str">
        <f>VLOOKUP(E870,地区表!$A$2:$C$255,3,FALSE)</f>
        <v>华东</v>
      </c>
    </row>
    <row r="871" spans="1:11" ht="15.6">
      <c r="A871" s="28" t="s">
        <v>753</v>
      </c>
      <c r="B871" s="29">
        <v>44674.276259755097</v>
      </c>
      <c r="C871" s="29">
        <v>44678.643712433099</v>
      </c>
      <c r="D871" s="28" t="s">
        <v>94</v>
      </c>
      <c r="E871" s="28" t="s">
        <v>137</v>
      </c>
      <c r="F871" s="28" t="s">
        <v>122</v>
      </c>
      <c r="G871" s="28">
        <f t="shared" ca="1" si="26"/>
        <v>28</v>
      </c>
      <c r="H871" s="28">
        <v>2</v>
      </c>
      <c r="I871" s="25">
        <f t="shared" ca="1" si="27"/>
        <v>56</v>
      </c>
      <c r="J871" s="25" t="str">
        <f>VLOOKUP(F871,地区表!$D$2:$E$18,2,FALSE)</f>
        <v>技术</v>
      </c>
      <c r="K871" s="38" t="str">
        <f>VLOOKUP(E871,地区表!$A$2:$C$255,3,FALSE)</f>
        <v>华东</v>
      </c>
    </row>
    <row r="872" spans="1:11" ht="15.6">
      <c r="A872" s="28" t="s">
        <v>753</v>
      </c>
      <c r="B872" s="29">
        <v>44674.1526765093</v>
      </c>
      <c r="C872" s="29">
        <v>44678.910489793001</v>
      </c>
      <c r="D872" s="28" t="s">
        <v>94</v>
      </c>
      <c r="E872" s="28" t="s">
        <v>137</v>
      </c>
      <c r="F872" s="28" t="s">
        <v>112</v>
      </c>
      <c r="G872" s="28">
        <f t="shared" ca="1" si="26"/>
        <v>70</v>
      </c>
      <c r="H872" s="28">
        <v>2</v>
      </c>
      <c r="I872" s="25">
        <f t="shared" ca="1" si="27"/>
        <v>140</v>
      </c>
      <c r="J872" s="25" t="str">
        <f>VLOOKUP(F872,地区表!$D$2:$E$18,2,FALSE)</f>
        <v>办公用品</v>
      </c>
      <c r="K872" s="38" t="str">
        <f>VLOOKUP(E872,地区表!$A$2:$C$255,3,FALSE)</f>
        <v>华东</v>
      </c>
    </row>
    <row r="873" spans="1:11" ht="15.6">
      <c r="A873" s="28" t="s">
        <v>754</v>
      </c>
      <c r="B873" s="29">
        <v>44849.751692964499</v>
      </c>
      <c r="C873" s="29">
        <v>44853.830788784799</v>
      </c>
      <c r="D873" s="28" t="s">
        <v>114</v>
      </c>
      <c r="E873" s="28" t="s">
        <v>755</v>
      </c>
      <c r="F873" s="28" t="s">
        <v>121</v>
      </c>
      <c r="G873" s="28">
        <f t="shared" ca="1" si="26"/>
        <v>16</v>
      </c>
      <c r="H873" s="28">
        <v>4</v>
      </c>
      <c r="I873" s="25">
        <f t="shared" ca="1" si="27"/>
        <v>64</v>
      </c>
      <c r="J873" s="25" t="str">
        <f>VLOOKUP(F873,地区表!$D$2:$E$18,2,FALSE)</f>
        <v>技术</v>
      </c>
      <c r="K873" s="38" t="str">
        <f>VLOOKUP(E873,地区表!$A$2:$C$255,3,FALSE)</f>
        <v>东北</v>
      </c>
    </row>
    <row r="874" spans="1:11" ht="15.6">
      <c r="A874" s="28" t="s">
        <v>754</v>
      </c>
      <c r="B874" s="29">
        <v>44849.573576279101</v>
      </c>
      <c r="C874" s="29">
        <v>44853.765951143803</v>
      </c>
      <c r="D874" s="28" t="s">
        <v>114</v>
      </c>
      <c r="E874" s="28" t="s">
        <v>755</v>
      </c>
      <c r="F874" s="28" t="s">
        <v>122</v>
      </c>
      <c r="G874" s="28">
        <f t="shared" ca="1" si="26"/>
        <v>25</v>
      </c>
      <c r="H874" s="28">
        <v>3</v>
      </c>
      <c r="I874" s="25">
        <f t="shared" ca="1" si="27"/>
        <v>75</v>
      </c>
      <c r="J874" s="25" t="str">
        <f>VLOOKUP(F874,地区表!$D$2:$E$18,2,FALSE)</f>
        <v>技术</v>
      </c>
      <c r="K874" s="38" t="str">
        <f>VLOOKUP(E874,地区表!$A$2:$C$255,3,FALSE)</f>
        <v>东北</v>
      </c>
    </row>
    <row r="875" spans="1:11" ht="15.6">
      <c r="A875" s="28" t="s">
        <v>756</v>
      </c>
      <c r="B875" s="29">
        <v>44439.008746360603</v>
      </c>
      <c r="C875" s="29">
        <v>44444.608692894602</v>
      </c>
      <c r="D875" s="28" t="s">
        <v>98</v>
      </c>
      <c r="E875" s="28" t="s">
        <v>476</v>
      </c>
      <c r="F875" s="28" t="s">
        <v>106</v>
      </c>
      <c r="G875" s="28">
        <f t="shared" ca="1" si="26"/>
        <v>11</v>
      </c>
      <c r="H875" s="28">
        <v>11</v>
      </c>
      <c r="I875" s="25">
        <f t="shared" ca="1" si="27"/>
        <v>121</v>
      </c>
      <c r="J875" s="25" t="str">
        <f>VLOOKUP(F875,地区表!$D$2:$E$18,2,FALSE)</f>
        <v>办公用品</v>
      </c>
      <c r="K875" s="38" t="str">
        <f>VLOOKUP(E875,地区表!$A$2:$C$255,3,FALSE)</f>
        <v>华东</v>
      </c>
    </row>
    <row r="876" spans="1:11" ht="15.6">
      <c r="A876" s="28" t="s">
        <v>756</v>
      </c>
      <c r="B876" s="29">
        <v>44439.8487649077</v>
      </c>
      <c r="C876" s="29">
        <v>44444.546550655003</v>
      </c>
      <c r="D876" s="28" t="s">
        <v>98</v>
      </c>
      <c r="E876" s="28" t="s">
        <v>476</v>
      </c>
      <c r="F876" s="28" t="s">
        <v>111</v>
      </c>
      <c r="G876" s="28">
        <f t="shared" ca="1" si="26"/>
        <v>61</v>
      </c>
      <c r="H876" s="28">
        <v>8</v>
      </c>
      <c r="I876" s="25">
        <f t="shared" ca="1" si="27"/>
        <v>488</v>
      </c>
      <c r="J876" s="25" t="str">
        <f>VLOOKUP(F876,地区表!$D$2:$E$18,2,FALSE)</f>
        <v>办公用品</v>
      </c>
      <c r="K876" s="38" t="str">
        <f>VLOOKUP(E876,地区表!$A$2:$C$255,3,FALSE)</f>
        <v>华东</v>
      </c>
    </row>
    <row r="877" spans="1:11" ht="15.6">
      <c r="A877" s="28" t="s">
        <v>757</v>
      </c>
      <c r="B877" s="29">
        <v>44453.011642976198</v>
      </c>
      <c r="C877" s="29">
        <v>44459.7078213942</v>
      </c>
      <c r="D877" s="28" t="s">
        <v>114</v>
      </c>
      <c r="E877" s="28" t="s">
        <v>622</v>
      </c>
      <c r="F877" s="28" t="s">
        <v>110</v>
      </c>
      <c r="G877" s="28">
        <f t="shared" ca="1" si="26"/>
        <v>34</v>
      </c>
      <c r="H877" s="28">
        <v>3</v>
      </c>
      <c r="I877" s="25">
        <f t="shared" ca="1" si="27"/>
        <v>102</v>
      </c>
      <c r="J877" s="25" t="str">
        <f>VLOOKUP(F877,地区表!$D$2:$E$18,2,FALSE)</f>
        <v>家具</v>
      </c>
      <c r="K877" s="38" t="str">
        <f>VLOOKUP(E877,地区表!$A$2:$C$255,3,FALSE)</f>
        <v>中南</v>
      </c>
    </row>
    <row r="878" spans="1:11" ht="15.6">
      <c r="A878" s="28" t="s">
        <v>758</v>
      </c>
      <c r="B878" s="29">
        <v>44518.535992224897</v>
      </c>
      <c r="C878" s="29">
        <v>44523.976120203602</v>
      </c>
      <c r="D878" s="28" t="s">
        <v>98</v>
      </c>
      <c r="E878" s="28" t="s">
        <v>509</v>
      </c>
      <c r="F878" s="28" t="s">
        <v>135</v>
      </c>
      <c r="G878" s="28">
        <f t="shared" ca="1" si="26"/>
        <v>77</v>
      </c>
      <c r="H878" s="28">
        <v>6</v>
      </c>
      <c r="I878" s="25">
        <f t="shared" ca="1" si="27"/>
        <v>462</v>
      </c>
      <c r="J878" s="25" t="str">
        <f>VLOOKUP(F878,地区表!$D$2:$E$18,2,FALSE)</f>
        <v>办公用品</v>
      </c>
      <c r="K878" s="38" t="str">
        <f>VLOOKUP(E878,地区表!$A$2:$C$255,3,FALSE)</f>
        <v>华东</v>
      </c>
    </row>
    <row r="879" spans="1:11" ht="15.6">
      <c r="A879" s="28" t="s">
        <v>759</v>
      </c>
      <c r="B879" s="29">
        <v>44639.477343275597</v>
      </c>
      <c r="C879" s="29">
        <v>44645.384421203198</v>
      </c>
      <c r="D879" s="28" t="s">
        <v>98</v>
      </c>
      <c r="E879" s="28" t="s">
        <v>95</v>
      </c>
      <c r="F879" s="28" t="s">
        <v>112</v>
      </c>
      <c r="G879" s="28">
        <f t="shared" ca="1" si="26"/>
        <v>15</v>
      </c>
      <c r="H879" s="28">
        <v>2</v>
      </c>
      <c r="I879" s="25">
        <f t="shared" ca="1" si="27"/>
        <v>30</v>
      </c>
      <c r="J879" s="25" t="str">
        <f>VLOOKUP(F879,地区表!$D$2:$E$18,2,FALSE)</f>
        <v>办公用品</v>
      </c>
      <c r="K879" s="38" t="str">
        <f>VLOOKUP(E879,地区表!$A$2:$C$255,3,FALSE)</f>
        <v>华东</v>
      </c>
    </row>
    <row r="880" spans="1:11" ht="15.6">
      <c r="A880" s="28" t="s">
        <v>760</v>
      </c>
      <c r="B880" s="29">
        <v>44473.460904056097</v>
      </c>
      <c r="C880" s="29">
        <v>44476.100748032797</v>
      </c>
      <c r="D880" s="28" t="s">
        <v>98</v>
      </c>
      <c r="E880" s="28" t="s">
        <v>143</v>
      </c>
      <c r="F880" s="28" t="s">
        <v>130</v>
      </c>
      <c r="G880" s="28">
        <f t="shared" ca="1" si="26"/>
        <v>60</v>
      </c>
      <c r="H880" s="28">
        <v>2</v>
      </c>
      <c r="I880" s="25">
        <f t="shared" ca="1" si="27"/>
        <v>120</v>
      </c>
      <c r="J880" s="25" t="str">
        <f>VLOOKUP(F880,地区表!$D$2:$E$18,2,FALSE)</f>
        <v>家具</v>
      </c>
      <c r="K880" s="38" t="str">
        <f>VLOOKUP(E880,地区表!$A$2:$C$255,3,FALSE)</f>
        <v>华东</v>
      </c>
    </row>
    <row r="881" spans="1:11" ht="15.6">
      <c r="A881" s="28" t="s">
        <v>760</v>
      </c>
      <c r="B881" s="29">
        <v>44473.4444108893</v>
      </c>
      <c r="C881" s="29">
        <v>44476.547381087701</v>
      </c>
      <c r="D881" s="28" t="s">
        <v>98</v>
      </c>
      <c r="E881" s="28" t="s">
        <v>143</v>
      </c>
      <c r="F881" s="28" t="s">
        <v>121</v>
      </c>
      <c r="G881" s="28">
        <f t="shared" ca="1" si="26"/>
        <v>78</v>
      </c>
      <c r="H881" s="28">
        <v>3</v>
      </c>
      <c r="I881" s="25">
        <f t="shared" ca="1" si="27"/>
        <v>234</v>
      </c>
      <c r="J881" s="25" t="str">
        <f>VLOOKUP(F881,地区表!$D$2:$E$18,2,FALSE)</f>
        <v>技术</v>
      </c>
      <c r="K881" s="38" t="str">
        <f>VLOOKUP(E881,地区表!$A$2:$C$255,3,FALSE)</f>
        <v>华东</v>
      </c>
    </row>
    <row r="882" spans="1:11" ht="15.6">
      <c r="A882" s="28" t="s">
        <v>761</v>
      </c>
      <c r="B882" s="29">
        <v>45201.243419219201</v>
      </c>
      <c r="C882" s="29">
        <v>45207.089268981799</v>
      </c>
      <c r="D882" s="28" t="s">
        <v>98</v>
      </c>
      <c r="E882" s="28" t="s">
        <v>762</v>
      </c>
      <c r="F882" s="28" t="s">
        <v>122</v>
      </c>
      <c r="G882" s="28">
        <f t="shared" ca="1" si="26"/>
        <v>56</v>
      </c>
      <c r="H882" s="28">
        <v>6</v>
      </c>
      <c r="I882" s="25">
        <f t="shared" ca="1" si="27"/>
        <v>336</v>
      </c>
      <c r="J882" s="25" t="str">
        <f>VLOOKUP(F882,地区表!$D$2:$E$18,2,FALSE)</f>
        <v>技术</v>
      </c>
      <c r="K882" s="38" t="str">
        <f>VLOOKUP(E882,地区表!$A$2:$C$255,3,FALSE)</f>
        <v>华北</v>
      </c>
    </row>
    <row r="883" spans="1:11" ht="15.6">
      <c r="A883" s="28" t="s">
        <v>763</v>
      </c>
      <c r="B883" s="29">
        <v>45223.538257564098</v>
      </c>
      <c r="C883" s="29">
        <v>45227.877867926698</v>
      </c>
      <c r="D883" s="28" t="s">
        <v>98</v>
      </c>
      <c r="E883" s="28" t="s">
        <v>314</v>
      </c>
      <c r="F883" s="28" t="s">
        <v>110</v>
      </c>
      <c r="G883" s="28">
        <f t="shared" ca="1" si="26"/>
        <v>67</v>
      </c>
      <c r="H883" s="28">
        <v>3</v>
      </c>
      <c r="I883" s="25">
        <f t="shared" ca="1" si="27"/>
        <v>201</v>
      </c>
      <c r="J883" s="25" t="str">
        <f>VLOOKUP(F883,地区表!$D$2:$E$18,2,FALSE)</f>
        <v>家具</v>
      </c>
      <c r="K883" s="38" t="str">
        <f>VLOOKUP(E883,地区表!$A$2:$C$255,3,FALSE)</f>
        <v>西南</v>
      </c>
    </row>
    <row r="884" spans="1:11" ht="15.6">
      <c r="A884" s="28" t="s">
        <v>763</v>
      </c>
      <c r="B884" s="29">
        <v>45223.406484124702</v>
      </c>
      <c r="C884" s="29">
        <v>45227.9497762752</v>
      </c>
      <c r="D884" s="28" t="s">
        <v>98</v>
      </c>
      <c r="E884" s="28" t="s">
        <v>314</v>
      </c>
      <c r="F884" s="28" t="s">
        <v>111</v>
      </c>
      <c r="G884" s="28">
        <f t="shared" ca="1" si="26"/>
        <v>22</v>
      </c>
      <c r="H884" s="28">
        <v>7</v>
      </c>
      <c r="I884" s="25">
        <f t="shared" ca="1" si="27"/>
        <v>154</v>
      </c>
      <c r="J884" s="25" t="str">
        <f>VLOOKUP(F884,地区表!$D$2:$E$18,2,FALSE)</f>
        <v>办公用品</v>
      </c>
      <c r="K884" s="38" t="str">
        <f>VLOOKUP(E884,地区表!$A$2:$C$255,3,FALSE)</f>
        <v>西南</v>
      </c>
    </row>
    <row r="885" spans="1:11" ht="15.6">
      <c r="A885" s="28" t="s">
        <v>763</v>
      </c>
      <c r="B885" s="29">
        <v>45223.672692877801</v>
      </c>
      <c r="C885" s="29">
        <v>45227.659846215902</v>
      </c>
      <c r="D885" s="28" t="s">
        <v>98</v>
      </c>
      <c r="E885" s="28" t="s">
        <v>314</v>
      </c>
      <c r="F885" s="28" t="s">
        <v>135</v>
      </c>
      <c r="G885" s="28">
        <f t="shared" ca="1" si="26"/>
        <v>78</v>
      </c>
      <c r="H885" s="28">
        <v>5</v>
      </c>
      <c r="I885" s="25">
        <f t="shared" ca="1" si="27"/>
        <v>390</v>
      </c>
      <c r="J885" s="25" t="str">
        <f>VLOOKUP(F885,地区表!$D$2:$E$18,2,FALSE)</f>
        <v>办公用品</v>
      </c>
      <c r="K885" s="38" t="str">
        <f>VLOOKUP(E885,地区表!$A$2:$C$255,3,FALSE)</f>
        <v>西南</v>
      </c>
    </row>
    <row r="886" spans="1:11" ht="15.6">
      <c r="A886" s="28" t="s">
        <v>764</v>
      </c>
      <c r="B886" s="29">
        <v>45235.700435576</v>
      </c>
      <c r="C886" s="29">
        <v>45239.715273206901</v>
      </c>
      <c r="D886" s="28" t="s">
        <v>114</v>
      </c>
      <c r="E886" s="28" t="s">
        <v>765</v>
      </c>
      <c r="F886" s="28" t="s">
        <v>131</v>
      </c>
      <c r="G886" s="28">
        <f t="shared" ca="1" si="26"/>
        <v>47</v>
      </c>
      <c r="H886" s="28">
        <v>8</v>
      </c>
      <c r="I886" s="25">
        <f t="shared" ca="1" si="27"/>
        <v>376</v>
      </c>
      <c r="J886" s="25" t="str">
        <f>VLOOKUP(F886,地区表!$D$2:$E$18,2,FALSE)</f>
        <v>家具</v>
      </c>
      <c r="K886" s="38" t="str">
        <f>VLOOKUP(E886,地区表!$A$2:$C$255,3,FALSE)</f>
        <v>华北</v>
      </c>
    </row>
    <row r="887" spans="1:11" ht="15.6">
      <c r="A887" s="28" t="s">
        <v>766</v>
      </c>
      <c r="B887" s="29">
        <v>44364.855290600703</v>
      </c>
      <c r="C887" s="29">
        <v>44370.7231842697</v>
      </c>
      <c r="D887" s="28" t="s">
        <v>98</v>
      </c>
      <c r="E887" s="28" t="s">
        <v>427</v>
      </c>
      <c r="F887" s="28" t="s">
        <v>111</v>
      </c>
      <c r="G887" s="28">
        <f t="shared" ca="1" si="26"/>
        <v>65</v>
      </c>
      <c r="H887" s="28">
        <v>6</v>
      </c>
      <c r="I887" s="25">
        <f t="shared" ca="1" si="27"/>
        <v>390</v>
      </c>
      <c r="J887" s="25" t="str">
        <f>VLOOKUP(F887,地区表!$D$2:$E$18,2,FALSE)</f>
        <v>办公用品</v>
      </c>
      <c r="K887" s="38" t="str">
        <f>VLOOKUP(E887,地区表!$A$2:$C$255,3,FALSE)</f>
        <v>中南</v>
      </c>
    </row>
    <row r="888" spans="1:11" ht="15.6">
      <c r="A888" s="28" t="s">
        <v>767</v>
      </c>
      <c r="B888" s="29">
        <v>45002.0275844438</v>
      </c>
      <c r="C888" s="29">
        <v>45002.989285874297</v>
      </c>
      <c r="D888" s="28" t="s">
        <v>94</v>
      </c>
      <c r="E888" s="28" t="s">
        <v>309</v>
      </c>
      <c r="F888" s="28" t="s">
        <v>122</v>
      </c>
      <c r="G888" s="28">
        <f t="shared" ca="1" si="26"/>
        <v>76</v>
      </c>
      <c r="H888" s="28">
        <v>2</v>
      </c>
      <c r="I888" s="25">
        <f t="shared" ca="1" si="27"/>
        <v>152</v>
      </c>
      <c r="J888" s="25" t="str">
        <f>VLOOKUP(F888,地区表!$D$2:$E$18,2,FALSE)</f>
        <v>技术</v>
      </c>
      <c r="K888" s="38" t="str">
        <f>VLOOKUP(E888,地区表!$A$2:$C$255,3,FALSE)</f>
        <v>中南</v>
      </c>
    </row>
    <row r="889" spans="1:11" ht="15.6">
      <c r="A889" s="28" t="s">
        <v>768</v>
      </c>
      <c r="B889" s="29">
        <v>45233.264972457902</v>
      </c>
      <c r="C889" s="29">
        <v>45235.313141290702</v>
      </c>
      <c r="D889" s="28" t="s">
        <v>94</v>
      </c>
      <c r="E889" s="28" t="s">
        <v>292</v>
      </c>
      <c r="F889" s="28" t="s">
        <v>141</v>
      </c>
      <c r="G889" s="28">
        <f t="shared" ca="1" si="26"/>
        <v>91</v>
      </c>
      <c r="H889" s="28">
        <v>2</v>
      </c>
      <c r="I889" s="25">
        <f t="shared" ca="1" si="27"/>
        <v>182</v>
      </c>
      <c r="J889" s="25" t="str">
        <f>VLOOKUP(F889,地区表!$D$2:$E$18,2,FALSE)</f>
        <v>办公用品</v>
      </c>
      <c r="K889" s="38" t="str">
        <f>VLOOKUP(E889,地区表!$A$2:$C$255,3,FALSE)</f>
        <v>西南</v>
      </c>
    </row>
    <row r="890" spans="1:11" ht="15.6">
      <c r="A890" s="28" t="s">
        <v>769</v>
      </c>
      <c r="B890" s="29">
        <v>44967.561409115799</v>
      </c>
      <c r="C890" s="29">
        <v>44971.737963223801</v>
      </c>
      <c r="D890" s="28" t="s">
        <v>98</v>
      </c>
      <c r="E890" s="28" t="s">
        <v>294</v>
      </c>
      <c r="F890" s="28" t="s">
        <v>130</v>
      </c>
      <c r="G890" s="28">
        <f t="shared" ca="1" si="26"/>
        <v>66</v>
      </c>
      <c r="H890" s="28">
        <v>5</v>
      </c>
      <c r="I890" s="25">
        <f t="shared" ca="1" si="27"/>
        <v>330</v>
      </c>
      <c r="J890" s="25" t="str">
        <f>VLOOKUP(F890,地区表!$D$2:$E$18,2,FALSE)</f>
        <v>家具</v>
      </c>
      <c r="K890" s="38" t="str">
        <f>VLOOKUP(E890,地区表!$A$2:$C$255,3,FALSE)</f>
        <v>华北</v>
      </c>
    </row>
    <row r="891" spans="1:11" ht="15.6">
      <c r="A891" s="28" t="s">
        <v>769</v>
      </c>
      <c r="B891" s="29">
        <v>44967.939474383697</v>
      </c>
      <c r="C891" s="29">
        <v>44971.9418168431</v>
      </c>
      <c r="D891" s="28" t="s">
        <v>98</v>
      </c>
      <c r="E891" s="28" t="s">
        <v>294</v>
      </c>
      <c r="F891" s="28" t="s">
        <v>100</v>
      </c>
      <c r="G891" s="28">
        <f t="shared" ca="1" si="26"/>
        <v>41</v>
      </c>
      <c r="H891" s="28">
        <v>2</v>
      </c>
      <c r="I891" s="25">
        <f t="shared" ca="1" si="27"/>
        <v>82</v>
      </c>
      <c r="J891" s="25" t="str">
        <f>VLOOKUP(F891,地区表!$D$2:$E$18,2,FALSE)</f>
        <v>办公用品</v>
      </c>
      <c r="K891" s="38" t="str">
        <f>VLOOKUP(E891,地区表!$A$2:$C$255,3,FALSE)</f>
        <v>华北</v>
      </c>
    </row>
    <row r="892" spans="1:11" ht="15.6">
      <c r="A892" s="28" t="s">
        <v>769</v>
      </c>
      <c r="B892" s="29">
        <v>44967.442789629102</v>
      </c>
      <c r="C892" s="29">
        <v>44971.168098267197</v>
      </c>
      <c r="D892" s="28" t="s">
        <v>98</v>
      </c>
      <c r="E892" s="28" t="s">
        <v>294</v>
      </c>
      <c r="F892" s="28" t="s">
        <v>121</v>
      </c>
      <c r="G892" s="28">
        <f t="shared" ca="1" si="26"/>
        <v>100</v>
      </c>
      <c r="H892" s="28">
        <v>2</v>
      </c>
      <c r="I892" s="25">
        <f t="shared" ca="1" si="27"/>
        <v>200</v>
      </c>
      <c r="J892" s="25" t="str">
        <f>VLOOKUP(F892,地区表!$D$2:$E$18,2,FALSE)</f>
        <v>技术</v>
      </c>
      <c r="K892" s="38" t="str">
        <f>VLOOKUP(E892,地区表!$A$2:$C$255,3,FALSE)</f>
        <v>华北</v>
      </c>
    </row>
    <row r="893" spans="1:11" ht="15.6">
      <c r="A893" s="28" t="s">
        <v>770</v>
      </c>
      <c r="B893" s="29">
        <v>45151.933057314804</v>
      </c>
      <c r="C893" s="29">
        <v>45155.725794862599</v>
      </c>
      <c r="D893" s="28" t="s">
        <v>94</v>
      </c>
      <c r="E893" s="28" t="s">
        <v>771</v>
      </c>
      <c r="F893" s="28" t="s">
        <v>131</v>
      </c>
      <c r="G893" s="28">
        <f t="shared" ca="1" si="26"/>
        <v>32</v>
      </c>
      <c r="H893" s="28">
        <v>3</v>
      </c>
      <c r="I893" s="25">
        <f t="shared" ca="1" si="27"/>
        <v>96</v>
      </c>
      <c r="J893" s="25" t="str">
        <f>VLOOKUP(F893,地区表!$D$2:$E$18,2,FALSE)</f>
        <v>家具</v>
      </c>
      <c r="K893" s="38" t="str">
        <f>VLOOKUP(E893,地区表!$A$2:$C$255,3,FALSE)</f>
        <v>华北</v>
      </c>
    </row>
    <row r="894" spans="1:11" ht="15.6">
      <c r="A894" s="28" t="s">
        <v>770</v>
      </c>
      <c r="B894" s="29">
        <v>45151.655982742297</v>
      </c>
      <c r="C894" s="29">
        <v>45155.345055744503</v>
      </c>
      <c r="D894" s="28" t="s">
        <v>94</v>
      </c>
      <c r="E894" s="28" t="s">
        <v>771</v>
      </c>
      <c r="F894" s="28" t="s">
        <v>110</v>
      </c>
      <c r="G894" s="28">
        <f t="shared" ca="1" si="26"/>
        <v>19</v>
      </c>
      <c r="H894" s="28">
        <v>2</v>
      </c>
      <c r="I894" s="25">
        <f t="shared" ca="1" si="27"/>
        <v>38</v>
      </c>
      <c r="J894" s="25" t="str">
        <f>VLOOKUP(F894,地区表!$D$2:$E$18,2,FALSE)</f>
        <v>家具</v>
      </c>
      <c r="K894" s="38" t="str">
        <f>VLOOKUP(E894,地区表!$A$2:$C$255,3,FALSE)</f>
        <v>华北</v>
      </c>
    </row>
    <row r="895" spans="1:11" ht="15.6">
      <c r="A895" s="28" t="s">
        <v>770</v>
      </c>
      <c r="B895" s="29">
        <v>45151.526064805497</v>
      </c>
      <c r="C895" s="29">
        <v>45155.761974574503</v>
      </c>
      <c r="D895" s="28" t="s">
        <v>94</v>
      </c>
      <c r="E895" s="28" t="s">
        <v>771</v>
      </c>
      <c r="F895" s="28" t="s">
        <v>141</v>
      </c>
      <c r="G895" s="28">
        <f t="shared" ca="1" si="26"/>
        <v>54</v>
      </c>
      <c r="H895" s="28">
        <v>5</v>
      </c>
      <c r="I895" s="25">
        <f t="shared" ca="1" si="27"/>
        <v>270</v>
      </c>
      <c r="J895" s="25" t="str">
        <f>VLOOKUP(F895,地区表!$D$2:$E$18,2,FALSE)</f>
        <v>办公用品</v>
      </c>
      <c r="K895" s="38" t="str">
        <f>VLOOKUP(E895,地区表!$A$2:$C$255,3,FALSE)</f>
        <v>华北</v>
      </c>
    </row>
    <row r="896" spans="1:11" ht="15.6">
      <c r="A896" s="28" t="s">
        <v>772</v>
      </c>
      <c r="B896" s="29">
        <v>45019.0952792393</v>
      </c>
      <c r="C896" s="29">
        <v>45021.067189334601</v>
      </c>
      <c r="D896" s="28" t="s">
        <v>98</v>
      </c>
      <c r="E896" s="28" t="s">
        <v>279</v>
      </c>
      <c r="F896" s="28" t="s">
        <v>101</v>
      </c>
      <c r="G896" s="28">
        <f t="shared" ca="1" si="26"/>
        <v>35</v>
      </c>
      <c r="H896" s="28">
        <v>2</v>
      </c>
      <c r="I896" s="25">
        <f t="shared" ca="1" si="27"/>
        <v>70</v>
      </c>
      <c r="J896" s="25" t="str">
        <f>VLOOKUP(F896,地区表!$D$2:$E$18,2,FALSE)</f>
        <v>办公用品</v>
      </c>
      <c r="K896" s="38" t="str">
        <f>VLOOKUP(E896,地区表!$A$2:$C$255,3,FALSE)</f>
        <v>中南</v>
      </c>
    </row>
    <row r="897" spans="1:11" ht="15.6">
      <c r="A897" s="28" t="s">
        <v>772</v>
      </c>
      <c r="B897" s="29">
        <v>45019.456836967503</v>
      </c>
      <c r="C897" s="29">
        <v>45021.462300410698</v>
      </c>
      <c r="D897" s="28" t="s">
        <v>98</v>
      </c>
      <c r="E897" s="28" t="s">
        <v>279</v>
      </c>
      <c r="F897" s="28" t="s">
        <v>110</v>
      </c>
      <c r="G897" s="28">
        <f t="shared" ca="1" si="26"/>
        <v>100</v>
      </c>
      <c r="H897" s="28">
        <v>3</v>
      </c>
      <c r="I897" s="25">
        <f t="shared" ca="1" si="27"/>
        <v>300</v>
      </c>
      <c r="J897" s="25" t="str">
        <f>VLOOKUP(F897,地区表!$D$2:$E$18,2,FALSE)</f>
        <v>家具</v>
      </c>
      <c r="K897" s="38" t="str">
        <f>VLOOKUP(E897,地区表!$A$2:$C$255,3,FALSE)</f>
        <v>中南</v>
      </c>
    </row>
    <row r="898" spans="1:11" ht="15.6">
      <c r="A898" s="28" t="s">
        <v>772</v>
      </c>
      <c r="B898" s="29">
        <v>45019.122883708798</v>
      </c>
      <c r="C898" s="29">
        <v>45021.184446641797</v>
      </c>
      <c r="D898" s="28" t="s">
        <v>98</v>
      </c>
      <c r="E898" s="28" t="s">
        <v>279</v>
      </c>
      <c r="F898" s="28" t="s">
        <v>118</v>
      </c>
      <c r="G898" s="28">
        <f t="shared" ref="G898:G961" ca="1" si="28">RANDBETWEEN(10,100)</f>
        <v>53</v>
      </c>
      <c r="H898" s="28">
        <v>5</v>
      </c>
      <c r="I898" s="25">
        <f t="shared" ref="I898:I961" ca="1" si="29">G898*H898</f>
        <v>265</v>
      </c>
      <c r="J898" s="25" t="str">
        <f>VLOOKUP(F898,地区表!$D$2:$E$18,2,FALSE)</f>
        <v>技术</v>
      </c>
      <c r="K898" s="38" t="str">
        <f>VLOOKUP(E898,地区表!$A$2:$C$255,3,FALSE)</f>
        <v>中南</v>
      </c>
    </row>
    <row r="899" spans="1:11" ht="15.6">
      <c r="A899" s="28" t="s">
        <v>772</v>
      </c>
      <c r="B899" s="29">
        <v>45019.539324132304</v>
      </c>
      <c r="C899" s="29">
        <v>45021.771538298002</v>
      </c>
      <c r="D899" s="28" t="s">
        <v>98</v>
      </c>
      <c r="E899" s="28" t="s">
        <v>279</v>
      </c>
      <c r="F899" s="28" t="s">
        <v>135</v>
      </c>
      <c r="G899" s="28">
        <f t="shared" ca="1" si="28"/>
        <v>31</v>
      </c>
      <c r="H899" s="28">
        <v>6</v>
      </c>
      <c r="I899" s="25">
        <f t="shared" ca="1" si="29"/>
        <v>186</v>
      </c>
      <c r="J899" s="25" t="str">
        <f>VLOOKUP(F899,地区表!$D$2:$E$18,2,FALSE)</f>
        <v>办公用品</v>
      </c>
      <c r="K899" s="38" t="str">
        <f>VLOOKUP(E899,地区表!$A$2:$C$255,3,FALSE)</f>
        <v>中南</v>
      </c>
    </row>
    <row r="900" spans="1:11" ht="15.6">
      <c r="A900" s="28" t="s">
        <v>773</v>
      </c>
      <c r="B900" s="29">
        <v>44593.753495731602</v>
      </c>
      <c r="C900" s="29">
        <v>44597.6934919825</v>
      </c>
      <c r="D900" s="28" t="s">
        <v>98</v>
      </c>
      <c r="E900" s="28" t="s">
        <v>425</v>
      </c>
      <c r="F900" s="28" t="s">
        <v>111</v>
      </c>
      <c r="G900" s="28">
        <f t="shared" ca="1" si="28"/>
        <v>73</v>
      </c>
      <c r="H900" s="28">
        <v>5</v>
      </c>
      <c r="I900" s="25">
        <f t="shared" ca="1" si="29"/>
        <v>365</v>
      </c>
      <c r="J900" s="25" t="str">
        <f>VLOOKUP(F900,地区表!$D$2:$E$18,2,FALSE)</f>
        <v>办公用品</v>
      </c>
      <c r="K900" s="38" t="str">
        <f>VLOOKUP(E900,地区表!$A$2:$C$255,3,FALSE)</f>
        <v>东北</v>
      </c>
    </row>
    <row r="901" spans="1:11" ht="15.6">
      <c r="A901" s="28" t="s">
        <v>774</v>
      </c>
      <c r="B901" s="29">
        <v>44684.872993943798</v>
      </c>
      <c r="C901" s="29">
        <v>44686.745876070003</v>
      </c>
      <c r="D901" s="28" t="s">
        <v>98</v>
      </c>
      <c r="E901" s="28" t="s">
        <v>425</v>
      </c>
      <c r="F901" s="28" t="s">
        <v>121</v>
      </c>
      <c r="G901" s="28">
        <f t="shared" ca="1" si="28"/>
        <v>19</v>
      </c>
      <c r="H901" s="28">
        <v>3</v>
      </c>
      <c r="I901" s="25">
        <f t="shared" ca="1" si="29"/>
        <v>57</v>
      </c>
      <c r="J901" s="25" t="str">
        <f>VLOOKUP(F901,地区表!$D$2:$E$18,2,FALSE)</f>
        <v>技术</v>
      </c>
      <c r="K901" s="38" t="str">
        <f>VLOOKUP(E901,地区表!$A$2:$C$255,3,FALSE)</f>
        <v>东北</v>
      </c>
    </row>
    <row r="902" spans="1:11" ht="15.6">
      <c r="A902" s="28" t="s">
        <v>775</v>
      </c>
      <c r="B902" s="29">
        <v>45270.230720157801</v>
      </c>
      <c r="C902" s="29">
        <v>45274.525817747599</v>
      </c>
      <c r="D902" s="28" t="s">
        <v>114</v>
      </c>
      <c r="E902" s="28" t="s">
        <v>218</v>
      </c>
      <c r="F902" s="28" t="s">
        <v>112</v>
      </c>
      <c r="G902" s="28">
        <f t="shared" ca="1" si="28"/>
        <v>60</v>
      </c>
      <c r="H902" s="28">
        <v>4</v>
      </c>
      <c r="I902" s="25">
        <f t="shared" ca="1" si="29"/>
        <v>240</v>
      </c>
      <c r="J902" s="25" t="str">
        <f>VLOOKUP(F902,地区表!$D$2:$E$18,2,FALSE)</f>
        <v>办公用品</v>
      </c>
      <c r="K902" s="38" t="str">
        <f>VLOOKUP(E902,地区表!$A$2:$C$255,3,FALSE)</f>
        <v>东北</v>
      </c>
    </row>
    <row r="903" spans="1:11" ht="15.6">
      <c r="A903" s="28" t="s">
        <v>775</v>
      </c>
      <c r="B903" s="29">
        <v>45270.244919271601</v>
      </c>
      <c r="C903" s="29">
        <v>45274.548076594103</v>
      </c>
      <c r="D903" s="28" t="s">
        <v>114</v>
      </c>
      <c r="E903" s="28" t="s">
        <v>218</v>
      </c>
      <c r="F903" s="28" t="s">
        <v>106</v>
      </c>
      <c r="G903" s="28">
        <f t="shared" ca="1" si="28"/>
        <v>21</v>
      </c>
      <c r="H903" s="28">
        <v>5</v>
      </c>
      <c r="I903" s="25">
        <f t="shared" ca="1" si="29"/>
        <v>105</v>
      </c>
      <c r="J903" s="25" t="str">
        <f>VLOOKUP(F903,地区表!$D$2:$E$18,2,FALSE)</f>
        <v>办公用品</v>
      </c>
      <c r="K903" s="38" t="str">
        <f>VLOOKUP(E903,地区表!$A$2:$C$255,3,FALSE)</f>
        <v>东北</v>
      </c>
    </row>
    <row r="904" spans="1:11" ht="15.6">
      <c r="A904" s="28" t="s">
        <v>775</v>
      </c>
      <c r="B904" s="29">
        <v>45270.101471653099</v>
      </c>
      <c r="C904" s="29">
        <v>45274.461919284702</v>
      </c>
      <c r="D904" s="28" t="s">
        <v>114</v>
      </c>
      <c r="E904" s="28" t="s">
        <v>218</v>
      </c>
      <c r="F904" s="28" t="s">
        <v>135</v>
      </c>
      <c r="G904" s="28">
        <f t="shared" ca="1" si="28"/>
        <v>96</v>
      </c>
      <c r="H904" s="28">
        <v>5</v>
      </c>
      <c r="I904" s="25">
        <f t="shared" ca="1" si="29"/>
        <v>480</v>
      </c>
      <c r="J904" s="25" t="str">
        <f>VLOOKUP(F904,地区表!$D$2:$E$18,2,FALSE)</f>
        <v>办公用品</v>
      </c>
      <c r="K904" s="38" t="str">
        <f>VLOOKUP(E904,地区表!$A$2:$C$255,3,FALSE)</f>
        <v>东北</v>
      </c>
    </row>
    <row r="905" spans="1:11" ht="15.6">
      <c r="A905" s="28" t="s">
        <v>776</v>
      </c>
      <c r="B905" s="29">
        <v>44856.997944809496</v>
      </c>
      <c r="C905" s="29">
        <v>44860.501050263003</v>
      </c>
      <c r="D905" s="28" t="s">
        <v>98</v>
      </c>
      <c r="E905" s="28" t="s">
        <v>241</v>
      </c>
      <c r="F905" s="28" t="s">
        <v>121</v>
      </c>
      <c r="G905" s="28">
        <f t="shared" ca="1" si="28"/>
        <v>43</v>
      </c>
      <c r="H905" s="28">
        <v>2</v>
      </c>
      <c r="I905" s="25">
        <f t="shared" ca="1" si="29"/>
        <v>86</v>
      </c>
      <c r="J905" s="25" t="str">
        <f>VLOOKUP(F905,地区表!$D$2:$E$18,2,FALSE)</f>
        <v>技术</v>
      </c>
      <c r="K905" s="38" t="str">
        <f>VLOOKUP(E905,地区表!$A$2:$C$255,3,FALSE)</f>
        <v>西南</v>
      </c>
    </row>
    <row r="906" spans="1:11" ht="15.6">
      <c r="A906" s="28" t="s">
        <v>776</v>
      </c>
      <c r="B906" s="29">
        <v>44856.233542781403</v>
      </c>
      <c r="C906" s="29">
        <v>44860.723331289097</v>
      </c>
      <c r="D906" s="28" t="s">
        <v>98</v>
      </c>
      <c r="E906" s="28" t="s">
        <v>241</v>
      </c>
      <c r="F906" s="28" t="s">
        <v>141</v>
      </c>
      <c r="G906" s="28">
        <f t="shared" ca="1" si="28"/>
        <v>70</v>
      </c>
      <c r="H906" s="28">
        <v>1</v>
      </c>
      <c r="I906" s="25">
        <f t="shared" ca="1" si="29"/>
        <v>70</v>
      </c>
      <c r="J906" s="25" t="str">
        <f>VLOOKUP(F906,地区表!$D$2:$E$18,2,FALSE)</f>
        <v>办公用品</v>
      </c>
      <c r="K906" s="38" t="str">
        <f>VLOOKUP(E906,地区表!$A$2:$C$255,3,FALSE)</f>
        <v>西南</v>
      </c>
    </row>
    <row r="907" spans="1:11" ht="15.6">
      <c r="A907" s="28" t="s">
        <v>776</v>
      </c>
      <c r="B907" s="29">
        <v>44856.995762580998</v>
      </c>
      <c r="C907" s="29">
        <v>44860.833411355597</v>
      </c>
      <c r="D907" s="28" t="s">
        <v>98</v>
      </c>
      <c r="E907" s="28" t="s">
        <v>241</v>
      </c>
      <c r="F907" s="28" t="s">
        <v>131</v>
      </c>
      <c r="G907" s="28">
        <f t="shared" ca="1" si="28"/>
        <v>55</v>
      </c>
      <c r="H907" s="28">
        <v>5</v>
      </c>
      <c r="I907" s="25">
        <f t="shared" ca="1" si="29"/>
        <v>275</v>
      </c>
      <c r="J907" s="25" t="str">
        <f>VLOOKUP(F907,地区表!$D$2:$E$18,2,FALSE)</f>
        <v>家具</v>
      </c>
      <c r="K907" s="38" t="str">
        <f>VLOOKUP(E907,地区表!$A$2:$C$255,3,FALSE)</f>
        <v>西南</v>
      </c>
    </row>
    <row r="908" spans="1:11" ht="15.6">
      <c r="A908" s="28" t="s">
        <v>777</v>
      </c>
      <c r="B908" s="29">
        <v>44674.6162859428</v>
      </c>
      <c r="C908" s="29">
        <v>44674.618021907401</v>
      </c>
      <c r="D908" s="28" t="s">
        <v>98</v>
      </c>
      <c r="E908" s="28" t="s">
        <v>207</v>
      </c>
      <c r="F908" s="28" t="s">
        <v>135</v>
      </c>
      <c r="G908" s="28">
        <f t="shared" ca="1" si="28"/>
        <v>31</v>
      </c>
      <c r="H908" s="28">
        <v>3</v>
      </c>
      <c r="I908" s="25">
        <f t="shared" ca="1" si="29"/>
        <v>93</v>
      </c>
      <c r="J908" s="25" t="str">
        <f>VLOOKUP(F908,地区表!$D$2:$E$18,2,FALSE)</f>
        <v>办公用品</v>
      </c>
      <c r="K908" s="38" t="str">
        <f>VLOOKUP(E908,地区表!$A$2:$C$255,3,FALSE)</f>
        <v>华北</v>
      </c>
    </row>
    <row r="909" spans="1:11" ht="15.6">
      <c r="A909" s="28" t="s">
        <v>777</v>
      </c>
      <c r="B909" s="29">
        <v>44674.830204921403</v>
      </c>
      <c r="C909" s="29">
        <v>44674.143817039701</v>
      </c>
      <c r="D909" s="28" t="s">
        <v>98</v>
      </c>
      <c r="E909" s="28" t="s">
        <v>207</v>
      </c>
      <c r="F909" s="28" t="s">
        <v>130</v>
      </c>
      <c r="G909" s="28">
        <f t="shared" ca="1" si="28"/>
        <v>18</v>
      </c>
      <c r="H909" s="28">
        <v>3</v>
      </c>
      <c r="I909" s="25">
        <f t="shared" ca="1" si="29"/>
        <v>54</v>
      </c>
      <c r="J909" s="25" t="str">
        <f>VLOOKUP(F909,地区表!$D$2:$E$18,2,FALSE)</f>
        <v>家具</v>
      </c>
      <c r="K909" s="38" t="str">
        <f>VLOOKUP(E909,地区表!$A$2:$C$255,3,FALSE)</f>
        <v>华北</v>
      </c>
    </row>
    <row r="910" spans="1:11" ht="15.6">
      <c r="A910" s="28" t="s">
        <v>778</v>
      </c>
      <c r="B910" s="29">
        <v>44634.860091807401</v>
      </c>
      <c r="C910" s="29">
        <v>44639.061019142602</v>
      </c>
      <c r="D910" s="28" t="s">
        <v>98</v>
      </c>
      <c r="E910" s="28" t="s">
        <v>720</v>
      </c>
      <c r="F910" s="28" t="s">
        <v>100</v>
      </c>
      <c r="G910" s="28">
        <f t="shared" ca="1" si="28"/>
        <v>21</v>
      </c>
      <c r="H910" s="28">
        <v>2</v>
      </c>
      <c r="I910" s="25">
        <f t="shared" ca="1" si="29"/>
        <v>42</v>
      </c>
      <c r="J910" s="25" t="str">
        <f>VLOOKUP(F910,地区表!$D$2:$E$18,2,FALSE)</f>
        <v>办公用品</v>
      </c>
      <c r="K910" s="38" t="str">
        <f>VLOOKUP(E910,地区表!$A$2:$C$255,3,FALSE)</f>
        <v>华北</v>
      </c>
    </row>
    <row r="911" spans="1:11" ht="15.6">
      <c r="A911" s="28" t="s">
        <v>779</v>
      </c>
      <c r="B911" s="29">
        <v>44365.761628415101</v>
      </c>
      <c r="C911" s="29">
        <v>44372.472419095997</v>
      </c>
      <c r="D911" s="28" t="s">
        <v>98</v>
      </c>
      <c r="E911" s="28" t="s">
        <v>154</v>
      </c>
      <c r="F911" s="28" t="s">
        <v>122</v>
      </c>
      <c r="G911" s="28">
        <f t="shared" ca="1" si="28"/>
        <v>45</v>
      </c>
      <c r="H911" s="28">
        <v>1</v>
      </c>
      <c r="I911" s="25">
        <f t="shared" ca="1" si="29"/>
        <v>45</v>
      </c>
      <c r="J911" s="25" t="str">
        <f>VLOOKUP(F911,地区表!$D$2:$E$18,2,FALSE)</f>
        <v>技术</v>
      </c>
      <c r="K911" s="38" t="str">
        <f>VLOOKUP(E911,地区表!$A$2:$C$255,3,FALSE)</f>
        <v>华东</v>
      </c>
    </row>
    <row r="912" spans="1:11" ht="15.6">
      <c r="A912" s="28" t="s">
        <v>779</v>
      </c>
      <c r="B912" s="29">
        <v>44365.452402357601</v>
      </c>
      <c r="C912" s="29">
        <v>44372.4201695913</v>
      </c>
      <c r="D912" s="28" t="s">
        <v>98</v>
      </c>
      <c r="E912" s="28" t="s">
        <v>154</v>
      </c>
      <c r="F912" s="28" t="s">
        <v>141</v>
      </c>
      <c r="G912" s="28">
        <f t="shared" ca="1" si="28"/>
        <v>88</v>
      </c>
      <c r="H912" s="28">
        <v>2</v>
      </c>
      <c r="I912" s="25">
        <f t="shared" ca="1" si="29"/>
        <v>176</v>
      </c>
      <c r="J912" s="25" t="str">
        <f>VLOOKUP(F912,地区表!$D$2:$E$18,2,FALSE)</f>
        <v>办公用品</v>
      </c>
      <c r="K912" s="38" t="str">
        <f>VLOOKUP(E912,地区表!$A$2:$C$255,3,FALSE)</f>
        <v>华东</v>
      </c>
    </row>
    <row r="913" spans="1:11" ht="15.6">
      <c r="A913" s="28" t="s">
        <v>779</v>
      </c>
      <c r="B913" s="29">
        <v>44365.052807968801</v>
      </c>
      <c r="C913" s="29">
        <v>44372.789132071899</v>
      </c>
      <c r="D913" s="28" t="s">
        <v>98</v>
      </c>
      <c r="E913" s="28" t="s">
        <v>154</v>
      </c>
      <c r="F913" s="28" t="s">
        <v>100</v>
      </c>
      <c r="G913" s="28">
        <f t="shared" ca="1" si="28"/>
        <v>20</v>
      </c>
      <c r="H913" s="28">
        <v>2</v>
      </c>
      <c r="I913" s="25">
        <f t="shared" ca="1" si="29"/>
        <v>40</v>
      </c>
      <c r="J913" s="25" t="str">
        <f>VLOOKUP(F913,地区表!$D$2:$E$18,2,FALSE)</f>
        <v>办公用品</v>
      </c>
      <c r="K913" s="38" t="str">
        <f>VLOOKUP(E913,地区表!$A$2:$C$255,3,FALSE)</f>
        <v>华东</v>
      </c>
    </row>
    <row r="914" spans="1:11" ht="15.6">
      <c r="A914" s="28" t="s">
        <v>779</v>
      </c>
      <c r="B914" s="29">
        <v>44365.798259333998</v>
      </c>
      <c r="C914" s="29">
        <v>44372.838375077401</v>
      </c>
      <c r="D914" s="28" t="s">
        <v>98</v>
      </c>
      <c r="E914" s="28" t="s">
        <v>154</v>
      </c>
      <c r="F914" s="28" t="s">
        <v>131</v>
      </c>
      <c r="G914" s="28">
        <f t="shared" ca="1" si="28"/>
        <v>47</v>
      </c>
      <c r="H914" s="28">
        <v>2</v>
      </c>
      <c r="I914" s="25">
        <f t="shared" ca="1" si="29"/>
        <v>94</v>
      </c>
      <c r="J914" s="25" t="str">
        <f>VLOOKUP(F914,地区表!$D$2:$E$18,2,FALSE)</f>
        <v>家具</v>
      </c>
      <c r="K914" s="38" t="str">
        <f>VLOOKUP(E914,地区表!$A$2:$C$255,3,FALSE)</f>
        <v>华东</v>
      </c>
    </row>
    <row r="915" spans="1:11" ht="15.6">
      <c r="A915" s="28" t="s">
        <v>780</v>
      </c>
      <c r="B915" s="29">
        <v>45169.906237955998</v>
      </c>
      <c r="C915" s="29">
        <v>45173.399144118397</v>
      </c>
      <c r="D915" s="28" t="s">
        <v>114</v>
      </c>
      <c r="E915" s="28" t="s">
        <v>781</v>
      </c>
      <c r="F915" s="28" t="s">
        <v>106</v>
      </c>
      <c r="G915" s="28">
        <f t="shared" ca="1" si="28"/>
        <v>14</v>
      </c>
      <c r="H915" s="28">
        <v>1</v>
      </c>
      <c r="I915" s="25">
        <f t="shared" ca="1" si="29"/>
        <v>14</v>
      </c>
      <c r="J915" s="25" t="str">
        <f>VLOOKUP(F915,地区表!$D$2:$E$18,2,FALSE)</f>
        <v>办公用品</v>
      </c>
      <c r="K915" s="38" t="str">
        <f>VLOOKUP(E915,地区表!$A$2:$C$255,3,FALSE)</f>
        <v>中南</v>
      </c>
    </row>
    <row r="916" spans="1:11" ht="15.6">
      <c r="A916" s="28" t="s">
        <v>782</v>
      </c>
      <c r="B916" s="29">
        <v>44661.298611359598</v>
      </c>
      <c r="C916" s="29">
        <v>44664.998694040798</v>
      </c>
      <c r="D916" s="28" t="s">
        <v>94</v>
      </c>
      <c r="E916" s="28" t="s">
        <v>783</v>
      </c>
      <c r="F916" s="28" t="s">
        <v>96</v>
      </c>
      <c r="G916" s="28">
        <f t="shared" ca="1" si="28"/>
        <v>40</v>
      </c>
      <c r="H916" s="28">
        <v>5</v>
      </c>
      <c r="I916" s="25">
        <f t="shared" ca="1" si="29"/>
        <v>200</v>
      </c>
      <c r="J916" s="25" t="str">
        <f>VLOOKUP(F916,地区表!$D$2:$E$18,2,FALSE)</f>
        <v>办公用品</v>
      </c>
      <c r="K916" s="38" t="str">
        <f>VLOOKUP(E916,地区表!$A$2:$C$255,3,FALSE)</f>
        <v>西北</v>
      </c>
    </row>
    <row r="917" spans="1:11" ht="15.6">
      <c r="A917" s="28" t="s">
        <v>784</v>
      </c>
      <c r="B917" s="29">
        <v>44446.997186388799</v>
      </c>
      <c r="C917" s="29">
        <v>44451.496615903197</v>
      </c>
      <c r="D917" s="28" t="s">
        <v>94</v>
      </c>
      <c r="E917" s="28" t="s">
        <v>418</v>
      </c>
      <c r="F917" s="28" t="s">
        <v>135</v>
      </c>
      <c r="G917" s="28">
        <f t="shared" ca="1" si="28"/>
        <v>46</v>
      </c>
      <c r="H917" s="28">
        <v>9</v>
      </c>
      <c r="I917" s="25">
        <f t="shared" ca="1" si="29"/>
        <v>414</v>
      </c>
      <c r="J917" s="25" t="str">
        <f>VLOOKUP(F917,地区表!$D$2:$E$18,2,FALSE)</f>
        <v>办公用品</v>
      </c>
      <c r="K917" s="38" t="str">
        <f>VLOOKUP(E917,地区表!$A$2:$C$255,3,FALSE)</f>
        <v>华东</v>
      </c>
    </row>
    <row r="918" spans="1:11" ht="15.6">
      <c r="A918" s="28" t="s">
        <v>785</v>
      </c>
      <c r="B918" s="29">
        <v>44540.706234878497</v>
      </c>
      <c r="C918" s="29">
        <v>44545.109444271999</v>
      </c>
      <c r="D918" s="28" t="s">
        <v>94</v>
      </c>
      <c r="E918" s="28" t="s">
        <v>573</v>
      </c>
      <c r="F918" s="28" t="s">
        <v>96</v>
      </c>
      <c r="G918" s="28">
        <f t="shared" ca="1" si="28"/>
        <v>30</v>
      </c>
      <c r="H918" s="28">
        <v>3</v>
      </c>
      <c r="I918" s="25">
        <f t="shared" ca="1" si="29"/>
        <v>90</v>
      </c>
      <c r="J918" s="25" t="str">
        <f>VLOOKUP(F918,地区表!$D$2:$E$18,2,FALSE)</f>
        <v>办公用品</v>
      </c>
      <c r="K918" s="38" t="str">
        <f>VLOOKUP(E918,地区表!$A$2:$C$255,3,FALSE)</f>
        <v>中南</v>
      </c>
    </row>
    <row r="919" spans="1:11" ht="15.6">
      <c r="A919" s="28" t="s">
        <v>785</v>
      </c>
      <c r="B919" s="29">
        <v>44540.492379891803</v>
      </c>
      <c r="C919" s="29">
        <v>44545.955118227001</v>
      </c>
      <c r="D919" s="28" t="s">
        <v>94</v>
      </c>
      <c r="E919" s="28" t="s">
        <v>573</v>
      </c>
      <c r="F919" s="28" t="s">
        <v>112</v>
      </c>
      <c r="G919" s="28">
        <f t="shared" ca="1" si="28"/>
        <v>65</v>
      </c>
      <c r="H919" s="28">
        <v>7</v>
      </c>
      <c r="I919" s="25">
        <f t="shared" ca="1" si="29"/>
        <v>455</v>
      </c>
      <c r="J919" s="25" t="str">
        <f>VLOOKUP(F919,地区表!$D$2:$E$18,2,FALSE)</f>
        <v>办公用品</v>
      </c>
      <c r="K919" s="38" t="str">
        <f>VLOOKUP(E919,地区表!$A$2:$C$255,3,FALSE)</f>
        <v>中南</v>
      </c>
    </row>
    <row r="920" spans="1:11" ht="15.6">
      <c r="A920" s="28" t="s">
        <v>786</v>
      </c>
      <c r="B920" s="29">
        <v>44378.2850389206</v>
      </c>
      <c r="C920" s="29">
        <v>44383.584574483903</v>
      </c>
      <c r="D920" s="28" t="s">
        <v>98</v>
      </c>
      <c r="E920" s="28" t="s">
        <v>787</v>
      </c>
      <c r="F920" s="28" t="s">
        <v>135</v>
      </c>
      <c r="G920" s="28">
        <f t="shared" ca="1" si="28"/>
        <v>49</v>
      </c>
      <c r="H920" s="28">
        <v>3</v>
      </c>
      <c r="I920" s="25">
        <f t="shared" ca="1" si="29"/>
        <v>147</v>
      </c>
      <c r="J920" s="25" t="str">
        <f>VLOOKUP(F920,地区表!$D$2:$E$18,2,FALSE)</f>
        <v>办公用品</v>
      </c>
      <c r="K920" s="38" t="str">
        <f>VLOOKUP(E920,地区表!$A$2:$C$255,3,FALSE)</f>
        <v>西南</v>
      </c>
    </row>
    <row r="921" spans="1:11" ht="15.6">
      <c r="A921" s="28" t="s">
        <v>786</v>
      </c>
      <c r="B921" s="29">
        <v>44378.711490348302</v>
      </c>
      <c r="C921" s="29">
        <v>44383.3565209179</v>
      </c>
      <c r="D921" s="28" t="s">
        <v>98</v>
      </c>
      <c r="E921" s="28" t="s">
        <v>787</v>
      </c>
      <c r="F921" s="28" t="s">
        <v>131</v>
      </c>
      <c r="G921" s="28">
        <f t="shared" ca="1" si="28"/>
        <v>28</v>
      </c>
      <c r="H921" s="28">
        <v>2</v>
      </c>
      <c r="I921" s="25">
        <f t="shared" ca="1" si="29"/>
        <v>56</v>
      </c>
      <c r="J921" s="25" t="str">
        <f>VLOOKUP(F921,地区表!$D$2:$E$18,2,FALSE)</f>
        <v>家具</v>
      </c>
      <c r="K921" s="38" t="str">
        <f>VLOOKUP(E921,地区表!$A$2:$C$255,3,FALSE)</f>
        <v>西南</v>
      </c>
    </row>
    <row r="922" spans="1:11" ht="15.6">
      <c r="A922" s="28" t="s">
        <v>788</v>
      </c>
      <c r="B922" s="29">
        <v>44203.5616196802</v>
      </c>
      <c r="C922" s="29">
        <v>44205.887945803399</v>
      </c>
      <c r="D922" s="28" t="s">
        <v>98</v>
      </c>
      <c r="E922" s="28" t="s">
        <v>789</v>
      </c>
      <c r="F922" s="28" t="s">
        <v>118</v>
      </c>
      <c r="G922" s="28">
        <f t="shared" ca="1" si="28"/>
        <v>52</v>
      </c>
      <c r="H922" s="28">
        <v>1</v>
      </c>
      <c r="I922" s="25">
        <f t="shared" ca="1" si="29"/>
        <v>52</v>
      </c>
      <c r="J922" s="25" t="str">
        <f>VLOOKUP(F922,地区表!$D$2:$E$18,2,FALSE)</f>
        <v>技术</v>
      </c>
      <c r="K922" s="38" t="str">
        <f>VLOOKUP(E922,地区表!$A$2:$C$255,3,FALSE)</f>
        <v>华东</v>
      </c>
    </row>
    <row r="923" spans="1:11" ht="15.6">
      <c r="A923" s="28" t="s">
        <v>788</v>
      </c>
      <c r="B923" s="29">
        <v>44203.531223595703</v>
      </c>
      <c r="C923" s="29">
        <v>44205.146604687703</v>
      </c>
      <c r="D923" s="28" t="s">
        <v>98</v>
      </c>
      <c r="E923" s="28" t="s">
        <v>789</v>
      </c>
      <c r="F923" s="28" t="s">
        <v>122</v>
      </c>
      <c r="G923" s="28">
        <f t="shared" ca="1" si="28"/>
        <v>10</v>
      </c>
      <c r="H923" s="28">
        <v>2</v>
      </c>
      <c r="I923" s="25">
        <f t="shared" ca="1" si="29"/>
        <v>20</v>
      </c>
      <c r="J923" s="25" t="str">
        <f>VLOOKUP(F923,地区表!$D$2:$E$18,2,FALSE)</f>
        <v>技术</v>
      </c>
      <c r="K923" s="38" t="str">
        <f>VLOOKUP(E923,地区表!$A$2:$C$255,3,FALSE)</f>
        <v>华东</v>
      </c>
    </row>
    <row r="924" spans="1:11" ht="15.6">
      <c r="A924" s="28" t="s">
        <v>788</v>
      </c>
      <c r="B924" s="29">
        <v>44203.078980293401</v>
      </c>
      <c r="C924" s="29">
        <v>44205.623316874298</v>
      </c>
      <c r="D924" s="28" t="s">
        <v>98</v>
      </c>
      <c r="E924" s="28" t="s">
        <v>789</v>
      </c>
      <c r="F924" s="28" t="s">
        <v>135</v>
      </c>
      <c r="G924" s="28">
        <f t="shared" ca="1" si="28"/>
        <v>99</v>
      </c>
      <c r="H924" s="28">
        <v>3</v>
      </c>
      <c r="I924" s="25">
        <f t="shared" ca="1" si="29"/>
        <v>297</v>
      </c>
      <c r="J924" s="25" t="str">
        <f>VLOOKUP(F924,地区表!$D$2:$E$18,2,FALSE)</f>
        <v>办公用品</v>
      </c>
      <c r="K924" s="38" t="str">
        <f>VLOOKUP(E924,地区表!$A$2:$C$255,3,FALSE)</f>
        <v>华东</v>
      </c>
    </row>
    <row r="925" spans="1:11" ht="15.6">
      <c r="A925" s="28" t="s">
        <v>788</v>
      </c>
      <c r="B925" s="29">
        <v>44203.773981598002</v>
      </c>
      <c r="C925" s="29">
        <v>44205.860384327803</v>
      </c>
      <c r="D925" s="28" t="s">
        <v>98</v>
      </c>
      <c r="E925" s="28" t="s">
        <v>789</v>
      </c>
      <c r="F925" s="28" t="s">
        <v>135</v>
      </c>
      <c r="G925" s="28">
        <f t="shared" ca="1" si="28"/>
        <v>20</v>
      </c>
      <c r="H925" s="28">
        <v>3</v>
      </c>
      <c r="I925" s="25">
        <f t="shared" ca="1" si="29"/>
        <v>60</v>
      </c>
      <c r="J925" s="25" t="str">
        <f>VLOOKUP(F925,地区表!$D$2:$E$18,2,FALSE)</f>
        <v>办公用品</v>
      </c>
      <c r="K925" s="38" t="str">
        <f>VLOOKUP(E925,地区表!$A$2:$C$255,3,FALSE)</f>
        <v>华东</v>
      </c>
    </row>
    <row r="926" spans="1:11" ht="15.6">
      <c r="A926" s="28" t="s">
        <v>788</v>
      </c>
      <c r="B926" s="29">
        <v>44203.214158623603</v>
      </c>
      <c r="C926" s="29">
        <v>44205.753749492702</v>
      </c>
      <c r="D926" s="28" t="s">
        <v>98</v>
      </c>
      <c r="E926" s="28" t="s">
        <v>789</v>
      </c>
      <c r="F926" s="28" t="s">
        <v>121</v>
      </c>
      <c r="G926" s="28">
        <f t="shared" ca="1" si="28"/>
        <v>10</v>
      </c>
      <c r="H926" s="28">
        <v>3</v>
      </c>
      <c r="I926" s="25">
        <f t="shared" ca="1" si="29"/>
        <v>30</v>
      </c>
      <c r="J926" s="25" t="str">
        <f>VLOOKUP(F926,地区表!$D$2:$E$18,2,FALSE)</f>
        <v>技术</v>
      </c>
      <c r="K926" s="38" t="str">
        <f>VLOOKUP(E926,地区表!$A$2:$C$255,3,FALSE)</f>
        <v>华东</v>
      </c>
    </row>
    <row r="927" spans="1:11" ht="15.6">
      <c r="A927" s="28" t="s">
        <v>790</v>
      </c>
      <c r="B927" s="29">
        <v>44843.013587350397</v>
      </c>
      <c r="C927" s="29">
        <v>44848.223392924403</v>
      </c>
      <c r="D927" s="28" t="s">
        <v>94</v>
      </c>
      <c r="E927" s="28" t="s">
        <v>183</v>
      </c>
      <c r="F927" s="28" t="s">
        <v>101</v>
      </c>
      <c r="G927" s="28">
        <f t="shared" ca="1" si="28"/>
        <v>51</v>
      </c>
      <c r="H927" s="28">
        <v>2</v>
      </c>
      <c r="I927" s="25">
        <f t="shared" ca="1" si="29"/>
        <v>102</v>
      </c>
      <c r="J927" s="25" t="str">
        <f>VLOOKUP(F927,地区表!$D$2:$E$18,2,FALSE)</f>
        <v>办公用品</v>
      </c>
      <c r="K927" s="38" t="str">
        <f>VLOOKUP(E927,地区表!$A$2:$C$255,3,FALSE)</f>
        <v>西南</v>
      </c>
    </row>
    <row r="928" spans="1:11" ht="15.6">
      <c r="A928" s="28" t="s">
        <v>791</v>
      </c>
      <c r="B928" s="29">
        <v>44964.245575706402</v>
      </c>
      <c r="C928" s="29">
        <v>44966.772529150898</v>
      </c>
      <c r="D928" s="28" t="s">
        <v>98</v>
      </c>
      <c r="E928" s="28" t="s">
        <v>449</v>
      </c>
      <c r="F928" s="28" t="s">
        <v>125</v>
      </c>
      <c r="G928" s="28">
        <f t="shared" ca="1" si="28"/>
        <v>39</v>
      </c>
      <c r="H928" s="28">
        <v>1</v>
      </c>
      <c r="I928" s="25">
        <f t="shared" ca="1" si="29"/>
        <v>39</v>
      </c>
      <c r="J928" s="25" t="str">
        <f>VLOOKUP(F928,地区表!$D$2:$E$18,2,FALSE)</f>
        <v>办公用品</v>
      </c>
      <c r="K928" s="38" t="str">
        <f>VLOOKUP(E928,地区表!$A$2:$C$255,3,FALSE)</f>
        <v>中南</v>
      </c>
    </row>
    <row r="929" spans="1:11" ht="15.6">
      <c r="A929" s="28" t="s">
        <v>791</v>
      </c>
      <c r="B929" s="29">
        <v>44964.729940784797</v>
      </c>
      <c r="C929" s="29">
        <v>44966.718556369</v>
      </c>
      <c r="D929" s="28" t="s">
        <v>98</v>
      </c>
      <c r="E929" s="28" t="s">
        <v>449</v>
      </c>
      <c r="F929" s="28" t="s">
        <v>101</v>
      </c>
      <c r="G929" s="28">
        <f t="shared" ca="1" si="28"/>
        <v>84</v>
      </c>
      <c r="H929" s="28">
        <v>1</v>
      </c>
      <c r="I929" s="25">
        <f t="shared" ca="1" si="29"/>
        <v>84</v>
      </c>
      <c r="J929" s="25" t="str">
        <f>VLOOKUP(F929,地区表!$D$2:$E$18,2,FALSE)</f>
        <v>办公用品</v>
      </c>
      <c r="K929" s="38" t="str">
        <f>VLOOKUP(E929,地区表!$A$2:$C$255,3,FALSE)</f>
        <v>中南</v>
      </c>
    </row>
    <row r="930" spans="1:11" ht="15.6">
      <c r="A930" s="28" t="s">
        <v>792</v>
      </c>
      <c r="B930" s="29">
        <v>44577.340576770097</v>
      </c>
      <c r="C930" s="29">
        <v>44580.831040429999</v>
      </c>
      <c r="D930" s="28" t="s">
        <v>98</v>
      </c>
      <c r="E930" s="28" t="s">
        <v>793</v>
      </c>
      <c r="F930" s="28" t="s">
        <v>131</v>
      </c>
      <c r="G930" s="28">
        <f t="shared" ca="1" si="28"/>
        <v>85</v>
      </c>
      <c r="H930" s="28">
        <v>5</v>
      </c>
      <c r="I930" s="25">
        <f t="shared" ca="1" si="29"/>
        <v>425</v>
      </c>
      <c r="J930" s="25" t="str">
        <f>VLOOKUP(F930,地区表!$D$2:$E$18,2,FALSE)</f>
        <v>家具</v>
      </c>
      <c r="K930" s="38" t="str">
        <f>VLOOKUP(E930,地区表!$A$2:$C$255,3,FALSE)</f>
        <v>华东</v>
      </c>
    </row>
    <row r="931" spans="1:11" ht="15.6">
      <c r="A931" s="28" t="s">
        <v>792</v>
      </c>
      <c r="B931" s="29">
        <v>44577.610907195602</v>
      </c>
      <c r="C931" s="29">
        <v>44580.452226508001</v>
      </c>
      <c r="D931" s="28" t="s">
        <v>98</v>
      </c>
      <c r="E931" s="28" t="s">
        <v>793</v>
      </c>
      <c r="F931" s="28" t="s">
        <v>122</v>
      </c>
      <c r="G931" s="28">
        <f t="shared" ca="1" si="28"/>
        <v>58</v>
      </c>
      <c r="H931" s="28">
        <v>2</v>
      </c>
      <c r="I931" s="25">
        <f t="shared" ca="1" si="29"/>
        <v>116</v>
      </c>
      <c r="J931" s="25" t="str">
        <f>VLOOKUP(F931,地区表!$D$2:$E$18,2,FALSE)</f>
        <v>技术</v>
      </c>
      <c r="K931" s="38" t="str">
        <f>VLOOKUP(E931,地区表!$A$2:$C$255,3,FALSE)</f>
        <v>华东</v>
      </c>
    </row>
    <row r="932" spans="1:11" ht="15.6">
      <c r="A932" s="28" t="s">
        <v>794</v>
      </c>
      <c r="B932" s="29">
        <v>44495.8778884395</v>
      </c>
      <c r="C932" s="29">
        <v>44499.109050569197</v>
      </c>
      <c r="D932" s="28" t="s">
        <v>98</v>
      </c>
      <c r="E932" s="28" t="s">
        <v>120</v>
      </c>
      <c r="F932" s="28" t="s">
        <v>106</v>
      </c>
      <c r="G932" s="28">
        <f t="shared" ca="1" si="28"/>
        <v>81</v>
      </c>
      <c r="H932" s="28">
        <v>1</v>
      </c>
      <c r="I932" s="25">
        <f t="shared" ca="1" si="29"/>
        <v>81</v>
      </c>
      <c r="J932" s="25" t="str">
        <f>VLOOKUP(F932,地区表!$D$2:$E$18,2,FALSE)</f>
        <v>办公用品</v>
      </c>
      <c r="K932" s="38" t="str">
        <f>VLOOKUP(E932,地区表!$A$2:$C$255,3,FALSE)</f>
        <v>华东</v>
      </c>
    </row>
    <row r="933" spans="1:11" ht="15.6">
      <c r="A933" s="28" t="s">
        <v>794</v>
      </c>
      <c r="B933" s="29">
        <v>44495.120499810597</v>
      </c>
      <c r="C933" s="29">
        <v>44499.893905135497</v>
      </c>
      <c r="D933" s="28" t="s">
        <v>98</v>
      </c>
      <c r="E933" s="28" t="s">
        <v>120</v>
      </c>
      <c r="F933" s="28" t="s">
        <v>118</v>
      </c>
      <c r="G933" s="28">
        <f t="shared" ca="1" si="28"/>
        <v>77</v>
      </c>
      <c r="H933" s="28">
        <v>1</v>
      </c>
      <c r="I933" s="25">
        <f t="shared" ca="1" si="29"/>
        <v>77</v>
      </c>
      <c r="J933" s="25" t="str">
        <f>VLOOKUP(F933,地区表!$D$2:$E$18,2,FALSE)</f>
        <v>技术</v>
      </c>
      <c r="K933" s="38" t="str">
        <f>VLOOKUP(E933,地区表!$A$2:$C$255,3,FALSE)</f>
        <v>华东</v>
      </c>
    </row>
    <row r="934" spans="1:11" ht="15.6">
      <c r="A934" s="28" t="s">
        <v>794</v>
      </c>
      <c r="B934" s="29">
        <v>44495.838771761097</v>
      </c>
      <c r="C934" s="29">
        <v>44499.199981497899</v>
      </c>
      <c r="D934" s="28" t="s">
        <v>98</v>
      </c>
      <c r="E934" s="28" t="s">
        <v>120</v>
      </c>
      <c r="F934" s="28" t="s">
        <v>110</v>
      </c>
      <c r="G934" s="28">
        <f t="shared" ca="1" si="28"/>
        <v>66</v>
      </c>
      <c r="H934" s="28">
        <v>1</v>
      </c>
      <c r="I934" s="25">
        <f t="shared" ca="1" si="29"/>
        <v>66</v>
      </c>
      <c r="J934" s="25" t="str">
        <f>VLOOKUP(F934,地区表!$D$2:$E$18,2,FALSE)</f>
        <v>家具</v>
      </c>
      <c r="K934" s="38" t="str">
        <f>VLOOKUP(E934,地区表!$A$2:$C$255,3,FALSE)</f>
        <v>华东</v>
      </c>
    </row>
    <row r="935" spans="1:11" ht="15.6">
      <c r="A935" s="28" t="s">
        <v>794</v>
      </c>
      <c r="B935" s="29">
        <v>44495.5577186843</v>
      </c>
      <c r="C935" s="29">
        <v>44499.682476048001</v>
      </c>
      <c r="D935" s="28" t="s">
        <v>98</v>
      </c>
      <c r="E935" s="28" t="s">
        <v>120</v>
      </c>
      <c r="F935" s="28" t="s">
        <v>131</v>
      </c>
      <c r="G935" s="28">
        <f t="shared" ca="1" si="28"/>
        <v>86</v>
      </c>
      <c r="H935" s="28">
        <v>5</v>
      </c>
      <c r="I935" s="25">
        <f t="shared" ca="1" si="29"/>
        <v>430</v>
      </c>
      <c r="J935" s="25" t="str">
        <f>VLOOKUP(F935,地区表!$D$2:$E$18,2,FALSE)</f>
        <v>家具</v>
      </c>
      <c r="K935" s="38" t="str">
        <f>VLOOKUP(E935,地区表!$A$2:$C$255,3,FALSE)</f>
        <v>华东</v>
      </c>
    </row>
    <row r="936" spans="1:11" ht="15.6">
      <c r="A936" s="28" t="s">
        <v>795</v>
      </c>
      <c r="B936" s="29">
        <v>44452.547007026304</v>
      </c>
      <c r="C936" s="29">
        <v>44453.819783728301</v>
      </c>
      <c r="D936" s="28" t="s">
        <v>98</v>
      </c>
      <c r="E936" s="28" t="s">
        <v>183</v>
      </c>
      <c r="F936" s="28" t="s">
        <v>118</v>
      </c>
      <c r="G936" s="28">
        <f t="shared" ca="1" si="28"/>
        <v>94</v>
      </c>
      <c r="H936" s="28">
        <v>2</v>
      </c>
      <c r="I936" s="25">
        <f t="shared" ca="1" si="29"/>
        <v>188</v>
      </c>
      <c r="J936" s="25" t="str">
        <f>VLOOKUP(F936,地区表!$D$2:$E$18,2,FALSE)</f>
        <v>技术</v>
      </c>
      <c r="K936" s="38" t="str">
        <f>VLOOKUP(E936,地区表!$A$2:$C$255,3,FALSE)</f>
        <v>西南</v>
      </c>
    </row>
    <row r="937" spans="1:11" ht="15.6">
      <c r="A937" s="28" t="s">
        <v>796</v>
      </c>
      <c r="B937" s="29">
        <v>45289.5623729621</v>
      </c>
      <c r="C937" s="29">
        <v>45291.112130632901</v>
      </c>
      <c r="D937" s="28" t="s">
        <v>94</v>
      </c>
      <c r="E937" s="28" t="s">
        <v>203</v>
      </c>
      <c r="F937" s="28" t="s">
        <v>130</v>
      </c>
      <c r="G937" s="28">
        <f t="shared" ca="1" si="28"/>
        <v>28</v>
      </c>
      <c r="H937" s="28">
        <v>5</v>
      </c>
      <c r="I937" s="25">
        <f t="shared" ca="1" si="29"/>
        <v>140</v>
      </c>
      <c r="J937" s="25" t="str">
        <f>VLOOKUP(F937,地区表!$D$2:$E$18,2,FALSE)</f>
        <v>家具</v>
      </c>
      <c r="K937" s="38" t="str">
        <f>VLOOKUP(E937,地区表!$A$2:$C$255,3,FALSE)</f>
        <v>中南</v>
      </c>
    </row>
    <row r="938" spans="1:11" ht="15.6">
      <c r="A938" s="28" t="s">
        <v>797</v>
      </c>
      <c r="B938" s="29">
        <v>45062.568442306503</v>
      </c>
      <c r="C938" s="29">
        <v>45067.225922439997</v>
      </c>
      <c r="D938" s="28" t="s">
        <v>98</v>
      </c>
      <c r="E938" s="28" t="s">
        <v>197</v>
      </c>
      <c r="F938" s="28" t="s">
        <v>141</v>
      </c>
      <c r="G938" s="28">
        <f t="shared" ca="1" si="28"/>
        <v>32</v>
      </c>
      <c r="H938" s="28">
        <v>2</v>
      </c>
      <c r="I938" s="25">
        <f t="shared" ca="1" si="29"/>
        <v>64</v>
      </c>
      <c r="J938" s="25" t="str">
        <f>VLOOKUP(F938,地区表!$D$2:$E$18,2,FALSE)</f>
        <v>办公用品</v>
      </c>
      <c r="K938" s="38" t="str">
        <f>VLOOKUP(E938,地区表!$A$2:$C$255,3,FALSE)</f>
        <v>中南</v>
      </c>
    </row>
    <row r="939" spans="1:11" ht="15.6">
      <c r="A939" s="28" t="s">
        <v>797</v>
      </c>
      <c r="B939" s="29">
        <v>45062.505606856197</v>
      </c>
      <c r="C939" s="29">
        <v>45067.4046469573</v>
      </c>
      <c r="D939" s="28" t="s">
        <v>98</v>
      </c>
      <c r="E939" s="28" t="s">
        <v>197</v>
      </c>
      <c r="F939" s="28" t="s">
        <v>122</v>
      </c>
      <c r="G939" s="28">
        <f t="shared" ca="1" si="28"/>
        <v>80</v>
      </c>
      <c r="H939" s="28">
        <v>3</v>
      </c>
      <c r="I939" s="25">
        <f t="shared" ca="1" si="29"/>
        <v>240</v>
      </c>
      <c r="J939" s="25" t="str">
        <f>VLOOKUP(F939,地区表!$D$2:$E$18,2,FALSE)</f>
        <v>技术</v>
      </c>
      <c r="K939" s="38" t="str">
        <f>VLOOKUP(E939,地区表!$A$2:$C$255,3,FALSE)</f>
        <v>中南</v>
      </c>
    </row>
    <row r="940" spans="1:11" ht="15.6">
      <c r="A940" s="28" t="s">
        <v>798</v>
      </c>
      <c r="B940" s="29">
        <v>45139.917608577103</v>
      </c>
      <c r="C940" s="29">
        <v>45142.788908026399</v>
      </c>
      <c r="D940" s="28" t="s">
        <v>98</v>
      </c>
      <c r="E940" s="28" t="s">
        <v>799</v>
      </c>
      <c r="F940" s="28" t="s">
        <v>96</v>
      </c>
      <c r="G940" s="28">
        <f t="shared" ca="1" si="28"/>
        <v>34</v>
      </c>
      <c r="H940" s="28">
        <v>2</v>
      </c>
      <c r="I940" s="25">
        <f t="shared" ca="1" si="29"/>
        <v>68</v>
      </c>
      <c r="J940" s="25" t="str">
        <f>VLOOKUP(F940,地区表!$D$2:$E$18,2,FALSE)</f>
        <v>办公用品</v>
      </c>
      <c r="K940" s="38" t="str">
        <f>VLOOKUP(E940,地区表!$A$2:$C$255,3,FALSE)</f>
        <v>华东</v>
      </c>
    </row>
    <row r="941" spans="1:11" ht="15.6">
      <c r="A941" s="28" t="s">
        <v>800</v>
      </c>
      <c r="B941" s="29">
        <v>44578.009618969299</v>
      </c>
      <c r="C941" s="29">
        <v>44583.387736728298</v>
      </c>
      <c r="D941" s="28" t="s">
        <v>114</v>
      </c>
      <c r="E941" s="28" t="s">
        <v>292</v>
      </c>
      <c r="F941" s="28" t="s">
        <v>101</v>
      </c>
      <c r="G941" s="28">
        <f t="shared" ca="1" si="28"/>
        <v>63</v>
      </c>
      <c r="H941" s="28">
        <v>3</v>
      </c>
      <c r="I941" s="25">
        <f t="shared" ca="1" si="29"/>
        <v>189</v>
      </c>
      <c r="J941" s="25" t="str">
        <f>VLOOKUP(F941,地区表!$D$2:$E$18,2,FALSE)</f>
        <v>办公用品</v>
      </c>
      <c r="K941" s="38" t="str">
        <f>VLOOKUP(E941,地区表!$A$2:$C$255,3,FALSE)</f>
        <v>西南</v>
      </c>
    </row>
    <row r="942" spans="1:11" ht="15.6">
      <c r="A942" s="28" t="s">
        <v>801</v>
      </c>
      <c r="B942" s="29">
        <v>45215.2284633319</v>
      </c>
      <c r="C942" s="29">
        <v>45220.7379374007</v>
      </c>
      <c r="D942" s="28" t="s">
        <v>98</v>
      </c>
      <c r="E942" s="28" t="s">
        <v>597</v>
      </c>
      <c r="F942" s="28" t="s">
        <v>112</v>
      </c>
      <c r="G942" s="28">
        <f t="shared" ca="1" si="28"/>
        <v>73</v>
      </c>
      <c r="H942" s="28">
        <v>2</v>
      </c>
      <c r="I942" s="25">
        <f t="shared" ca="1" si="29"/>
        <v>146</v>
      </c>
      <c r="J942" s="25" t="str">
        <f>VLOOKUP(F942,地区表!$D$2:$E$18,2,FALSE)</f>
        <v>办公用品</v>
      </c>
      <c r="K942" s="38" t="str">
        <f>VLOOKUP(E942,地区表!$A$2:$C$255,3,FALSE)</f>
        <v>华东</v>
      </c>
    </row>
    <row r="943" spans="1:11" ht="15.6">
      <c r="A943" s="28" t="s">
        <v>801</v>
      </c>
      <c r="B943" s="29">
        <v>45215.3111691991</v>
      </c>
      <c r="C943" s="29">
        <v>45220.290418771197</v>
      </c>
      <c r="D943" s="28" t="s">
        <v>98</v>
      </c>
      <c r="E943" s="28" t="s">
        <v>597</v>
      </c>
      <c r="F943" s="28" t="s">
        <v>121</v>
      </c>
      <c r="G943" s="28">
        <f t="shared" ca="1" si="28"/>
        <v>36</v>
      </c>
      <c r="H943" s="28">
        <v>3</v>
      </c>
      <c r="I943" s="25">
        <f t="shared" ca="1" si="29"/>
        <v>108</v>
      </c>
      <c r="J943" s="25" t="str">
        <f>VLOOKUP(F943,地区表!$D$2:$E$18,2,FALSE)</f>
        <v>技术</v>
      </c>
      <c r="K943" s="38" t="str">
        <f>VLOOKUP(E943,地区表!$A$2:$C$255,3,FALSE)</f>
        <v>华东</v>
      </c>
    </row>
    <row r="944" spans="1:11" ht="15.6">
      <c r="A944" s="28" t="s">
        <v>802</v>
      </c>
      <c r="B944" s="29">
        <v>44333.841756319001</v>
      </c>
      <c r="C944" s="29">
        <v>44338.201384325803</v>
      </c>
      <c r="D944" s="28" t="s">
        <v>114</v>
      </c>
      <c r="E944" s="28" t="s">
        <v>500</v>
      </c>
      <c r="F944" s="28" t="s">
        <v>122</v>
      </c>
      <c r="G944" s="28">
        <f t="shared" ca="1" si="28"/>
        <v>36</v>
      </c>
      <c r="H944" s="28">
        <v>2</v>
      </c>
      <c r="I944" s="25">
        <f t="shared" ca="1" si="29"/>
        <v>72</v>
      </c>
      <c r="J944" s="25" t="str">
        <f>VLOOKUP(F944,地区表!$D$2:$E$18,2,FALSE)</f>
        <v>技术</v>
      </c>
      <c r="K944" s="38" t="str">
        <f>VLOOKUP(E944,地区表!$A$2:$C$255,3,FALSE)</f>
        <v>华东</v>
      </c>
    </row>
    <row r="945" spans="1:11" ht="15.6">
      <c r="A945" s="28" t="s">
        <v>803</v>
      </c>
      <c r="B945" s="29">
        <v>44600.5292849381</v>
      </c>
      <c r="C945" s="29">
        <v>44602.330134200303</v>
      </c>
      <c r="D945" s="28" t="s">
        <v>98</v>
      </c>
      <c r="E945" s="28" t="s">
        <v>804</v>
      </c>
      <c r="F945" s="28" t="s">
        <v>122</v>
      </c>
      <c r="G945" s="28">
        <f t="shared" ca="1" si="28"/>
        <v>59</v>
      </c>
      <c r="H945" s="28">
        <v>5</v>
      </c>
      <c r="I945" s="25">
        <f t="shared" ca="1" si="29"/>
        <v>295</v>
      </c>
      <c r="J945" s="25" t="str">
        <f>VLOOKUP(F945,地区表!$D$2:$E$18,2,FALSE)</f>
        <v>技术</v>
      </c>
      <c r="K945" s="38" t="str">
        <f>VLOOKUP(E945,地区表!$A$2:$C$255,3,FALSE)</f>
        <v>西南</v>
      </c>
    </row>
    <row r="946" spans="1:11" ht="15.6">
      <c r="A946" s="28" t="s">
        <v>805</v>
      </c>
      <c r="B946" s="29">
        <v>44864.929231535301</v>
      </c>
      <c r="C946" s="29">
        <v>44867.204974114997</v>
      </c>
      <c r="D946" s="28" t="s">
        <v>98</v>
      </c>
      <c r="E946" s="28" t="s">
        <v>806</v>
      </c>
      <c r="F946" s="28" t="s">
        <v>122</v>
      </c>
      <c r="G946" s="28">
        <f t="shared" ca="1" si="28"/>
        <v>42</v>
      </c>
      <c r="H946" s="28">
        <v>4</v>
      </c>
      <c r="I946" s="25">
        <f t="shared" ca="1" si="29"/>
        <v>168</v>
      </c>
      <c r="J946" s="25" t="str">
        <f>VLOOKUP(F946,地区表!$D$2:$E$18,2,FALSE)</f>
        <v>技术</v>
      </c>
      <c r="K946" s="38" t="str">
        <f>VLOOKUP(E946,地区表!$A$2:$C$255,3,FALSE)</f>
        <v>华北</v>
      </c>
    </row>
    <row r="947" spans="1:11" ht="15.6">
      <c r="A947" s="28" t="s">
        <v>807</v>
      </c>
      <c r="B947" s="29">
        <v>45069.244229829201</v>
      </c>
      <c r="C947" s="29">
        <v>45074.209718845203</v>
      </c>
      <c r="D947" s="28" t="s">
        <v>98</v>
      </c>
      <c r="E947" s="28" t="s">
        <v>808</v>
      </c>
      <c r="F947" s="28" t="s">
        <v>112</v>
      </c>
      <c r="G947" s="28">
        <f t="shared" ca="1" si="28"/>
        <v>74</v>
      </c>
      <c r="H947" s="28">
        <v>2</v>
      </c>
      <c r="I947" s="25">
        <f t="shared" ca="1" si="29"/>
        <v>148</v>
      </c>
      <c r="J947" s="25" t="str">
        <f>VLOOKUP(F947,地区表!$D$2:$E$18,2,FALSE)</f>
        <v>办公用品</v>
      </c>
      <c r="K947" s="38" t="str">
        <f>VLOOKUP(E947,地区表!$A$2:$C$255,3,FALSE)</f>
        <v>华东</v>
      </c>
    </row>
    <row r="948" spans="1:11" ht="15.6">
      <c r="A948" s="28" t="s">
        <v>809</v>
      </c>
      <c r="B948" s="29">
        <v>44784.434524906697</v>
      </c>
      <c r="C948" s="29">
        <v>44790.611229298003</v>
      </c>
      <c r="D948" s="28" t="s">
        <v>94</v>
      </c>
      <c r="E948" s="28" t="s">
        <v>810</v>
      </c>
      <c r="F948" s="28" t="s">
        <v>141</v>
      </c>
      <c r="G948" s="28">
        <f t="shared" ca="1" si="28"/>
        <v>88</v>
      </c>
      <c r="H948" s="28">
        <v>1</v>
      </c>
      <c r="I948" s="25">
        <f t="shared" ca="1" si="29"/>
        <v>88</v>
      </c>
      <c r="J948" s="25" t="str">
        <f>VLOOKUP(F948,地区表!$D$2:$E$18,2,FALSE)</f>
        <v>办公用品</v>
      </c>
      <c r="K948" s="38" t="str">
        <f>VLOOKUP(E948,地区表!$A$2:$C$255,3,FALSE)</f>
        <v>华东</v>
      </c>
    </row>
    <row r="949" spans="1:11" ht="15.6">
      <c r="A949" s="28" t="s">
        <v>811</v>
      </c>
      <c r="B949" s="29">
        <v>44558.3083319695</v>
      </c>
      <c r="C949" s="29">
        <v>44560.451389303998</v>
      </c>
      <c r="D949" s="28" t="s">
        <v>98</v>
      </c>
      <c r="E949" s="28" t="s">
        <v>682</v>
      </c>
      <c r="F949" s="28" t="s">
        <v>109</v>
      </c>
      <c r="G949" s="28">
        <f t="shared" ca="1" si="28"/>
        <v>56</v>
      </c>
      <c r="H949" s="28">
        <v>3</v>
      </c>
      <c r="I949" s="25">
        <f t="shared" ca="1" si="29"/>
        <v>168</v>
      </c>
      <c r="J949" s="25" t="str">
        <f>VLOOKUP(F949,地区表!$D$2:$E$18,2,FALSE)</f>
        <v>技术</v>
      </c>
      <c r="K949" s="38" t="str">
        <f>VLOOKUP(E949,地区表!$A$2:$C$255,3,FALSE)</f>
        <v>中南</v>
      </c>
    </row>
    <row r="950" spans="1:11" ht="15.6">
      <c r="A950" s="28" t="s">
        <v>811</v>
      </c>
      <c r="B950" s="29">
        <v>44558.2646936612</v>
      </c>
      <c r="C950" s="29">
        <v>44560.679441900698</v>
      </c>
      <c r="D950" s="28" t="s">
        <v>98</v>
      </c>
      <c r="E950" s="28" t="s">
        <v>682</v>
      </c>
      <c r="F950" s="28" t="s">
        <v>118</v>
      </c>
      <c r="G950" s="28">
        <f t="shared" ca="1" si="28"/>
        <v>67</v>
      </c>
      <c r="H950" s="28">
        <v>5</v>
      </c>
      <c r="I950" s="25">
        <f t="shared" ca="1" si="29"/>
        <v>335</v>
      </c>
      <c r="J950" s="25" t="str">
        <f>VLOOKUP(F950,地区表!$D$2:$E$18,2,FALSE)</f>
        <v>技术</v>
      </c>
      <c r="K950" s="38" t="str">
        <f>VLOOKUP(E950,地区表!$A$2:$C$255,3,FALSE)</f>
        <v>中南</v>
      </c>
    </row>
    <row r="951" spans="1:11" ht="15.6">
      <c r="A951" s="28" t="s">
        <v>811</v>
      </c>
      <c r="B951" s="29">
        <v>44558.808230026101</v>
      </c>
      <c r="C951" s="29">
        <v>44560.190938617299</v>
      </c>
      <c r="D951" s="28" t="s">
        <v>98</v>
      </c>
      <c r="E951" s="28" t="s">
        <v>682</v>
      </c>
      <c r="F951" s="28" t="s">
        <v>101</v>
      </c>
      <c r="G951" s="28">
        <f t="shared" ca="1" si="28"/>
        <v>49</v>
      </c>
      <c r="H951" s="28">
        <v>2</v>
      </c>
      <c r="I951" s="25">
        <f t="shared" ca="1" si="29"/>
        <v>98</v>
      </c>
      <c r="J951" s="25" t="str">
        <f>VLOOKUP(F951,地区表!$D$2:$E$18,2,FALSE)</f>
        <v>办公用品</v>
      </c>
      <c r="K951" s="38" t="str">
        <f>VLOOKUP(E951,地区表!$A$2:$C$255,3,FALSE)</f>
        <v>中南</v>
      </c>
    </row>
    <row r="952" spans="1:11" ht="15.6">
      <c r="A952" s="28" t="s">
        <v>811</v>
      </c>
      <c r="B952" s="29">
        <v>44558.522006145897</v>
      </c>
      <c r="C952" s="29">
        <v>44560.367935159702</v>
      </c>
      <c r="D952" s="28" t="s">
        <v>98</v>
      </c>
      <c r="E952" s="28" t="s">
        <v>682</v>
      </c>
      <c r="F952" s="28" t="s">
        <v>106</v>
      </c>
      <c r="G952" s="28">
        <f t="shared" ca="1" si="28"/>
        <v>15</v>
      </c>
      <c r="H952" s="28">
        <v>2</v>
      </c>
      <c r="I952" s="25">
        <f t="shared" ca="1" si="29"/>
        <v>30</v>
      </c>
      <c r="J952" s="25" t="str">
        <f>VLOOKUP(F952,地区表!$D$2:$E$18,2,FALSE)</f>
        <v>办公用品</v>
      </c>
      <c r="K952" s="38" t="str">
        <f>VLOOKUP(E952,地区表!$A$2:$C$255,3,FALSE)</f>
        <v>中南</v>
      </c>
    </row>
    <row r="953" spans="1:11" ht="15.6">
      <c r="A953" s="28" t="s">
        <v>812</v>
      </c>
      <c r="B953" s="29">
        <v>44882.434276993001</v>
      </c>
      <c r="C953" s="29">
        <v>44887.408005138699</v>
      </c>
      <c r="D953" s="28" t="s">
        <v>114</v>
      </c>
      <c r="E953" s="28" t="s">
        <v>248</v>
      </c>
      <c r="F953" s="28" t="s">
        <v>121</v>
      </c>
      <c r="G953" s="28">
        <f t="shared" ca="1" si="28"/>
        <v>73</v>
      </c>
      <c r="H953" s="28">
        <v>5</v>
      </c>
      <c r="I953" s="25">
        <f t="shared" ca="1" si="29"/>
        <v>365</v>
      </c>
      <c r="J953" s="25" t="str">
        <f>VLOOKUP(F953,地区表!$D$2:$E$18,2,FALSE)</f>
        <v>技术</v>
      </c>
      <c r="K953" s="38" t="str">
        <f>VLOOKUP(E953,地区表!$A$2:$C$255,3,FALSE)</f>
        <v>西南</v>
      </c>
    </row>
    <row r="954" spans="1:11" ht="15.6">
      <c r="A954" s="28" t="s">
        <v>813</v>
      </c>
      <c r="B954" s="29">
        <v>44564.2542786419</v>
      </c>
      <c r="C954" s="29">
        <v>44569.127089399197</v>
      </c>
      <c r="D954" s="28" t="s">
        <v>114</v>
      </c>
      <c r="E954" s="28" t="s">
        <v>814</v>
      </c>
      <c r="F954" s="28" t="s">
        <v>121</v>
      </c>
      <c r="G954" s="28">
        <f t="shared" ca="1" si="28"/>
        <v>71</v>
      </c>
      <c r="H954" s="28">
        <v>4</v>
      </c>
      <c r="I954" s="25">
        <f t="shared" ca="1" si="29"/>
        <v>284</v>
      </c>
      <c r="J954" s="25" t="str">
        <f>VLOOKUP(F954,地区表!$D$2:$E$18,2,FALSE)</f>
        <v>技术</v>
      </c>
      <c r="K954" s="38" t="str">
        <f>VLOOKUP(E954,地区表!$A$2:$C$255,3,FALSE)</f>
        <v>西南</v>
      </c>
    </row>
    <row r="955" spans="1:11" ht="15.6">
      <c r="A955" s="28" t="s">
        <v>815</v>
      </c>
      <c r="B955" s="29">
        <v>44305.9146399827</v>
      </c>
      <c r="C955" s="29">
        <v>44310.995241791003</v>
      </c>
      <c r="D955" s="28" t="s">
        <v>98</v>
      </c>
      <c r="E955" s="28" t="s">
        <v>205</v>
      </c>
      <c r="F955" s="28" t="s">
        <v>110</v>
      </c>
      <c r="G955" s="28">
        <f t="shared" ca="1" si="28"/>
        <v>45</v>
      </c>
      <c r="H955" s="28">
        <v>5</v>
      </c>
      <c r="I955" s="25">
        <f t="shared" ca="1" si="29"/>
        <v>225</v>
      </c>
      <c r="J955" s="25" t="str">
        <f>VLOOKUP(F955,地区表!$D$2:$E$18,2,FALSE)</f>
        <v>家具</v>
      </c>
      <c r="K955" s="38" t="str">
        <f>VLOOKUP(E955,地区表!$A$2:$C$255,3,FALSE)</f>
        <v>华东</v>
      </c>
    </row>
    <row r="956" spans="1:11" ht="15.6">
      <c r="A956" s="28" t="s">
        <v>815</v>
      </c>
      <c r="B956" s="29">
        <v>44305.3543906013</v>
      </c>
      <c r="C956" s="29">
        <v>44310.883974812001</v>
      </c>
      <c r="D956" s="28" t="s">
        <v>98</v>
      </c>
      <c r="E956" s="28" t="s">
        <v>205</v>
      </c>
      <c r="F956" s="28" t="s">
        <v>110</v>
      </c>
      <c r="G956" s="28">
        <f t="shared" ca="1" si="28"/>
        <v>77</v>
      </c>
      <c r="H956" s="28">
        <v>3</v>
      </c>
      <c r="I956" s="25">
        <f t="shared" ca="1" si="29"/>
        <v>231</v>
      </c>
      <c r="J956" s="25" t="str">
        <f>VLOOKUP(F956,地区表!$D$2:$E$18,2,FALSE)</f>
        <v>家具</v>
      </c>
      <c r="K956" s="38" t="str">
        <f>VLOOKUP(E956,地区表!$A$2:$C$255,3,FALSE)</f>
        <v>华东</v>
      </c>
    </row>
    <row r="957" spans="1:11" ht="15.6">
      <c r="A957" s="28" t="s">
        <v>816</v>
      </c>
      <c r="B957" s="29">
        <v>44899.3543491124</v>
      </c>
      <c r="C957" s="29">
        <v>44901.455165237698</v>
      </c>
      <c r="D957" s="28" t="s">
        <v>98</v>
      </c>
      <c r="E957" s="28" t="s">
        <v>146</v>
      </c>
      <c r="F957" s="28" t="s">
        <v>122</v>
      </c>
      <c r="G957" s="28">
        <f t="shared" ca="1" si="28"/>
        <v>41</v>
      </c>
      <c r="H957" s="28">
        <v>5</v>
      </c>
      <c r="I957" s="25">
        <f t="shared" ca="1" si="29"/>
        <v>205</v>
      </c>
      <c r="J957" s="25" t="str">
        <f>VLOOKUP(F957,地区表!$D$2:$E$18,2,FALSE)</f>
        <v>技术</v>
      </c>
      <c r="K957" s="38" t="str">
        <f>VLOOKUP(E957,地区表!$A$2:$C$255,3,FALSE)</f>
        <v>西北</v>
      </c>
    </row>
    <row r="958" spans="1:11" ht="15.6">
      <c r="A958" s="28" t="s">
        <v>817</v>
      </c>
      <c r="B958" s="29">
        <v>44435.0701870021</v>
      </c>
      <c r="C958" s="29">
        <v>44437.934574183797</v>
      </c>
      <c r="D958" s="28" t="s">
        <v>94</v>
      </c>
      <c r="E958" s="28" t="s">
        <v>140</v>
      </c>
      <c r="F958" s="28" t="s">
        <v>131</v>
      </c>
      <c r="G958" s="28">
        <f t="shared" ca="1" si="28"/>
        <v>87</v>
      </c>
      <c r="H958" s="28">
        <v>6</v>
      </c>
      <c r="I958" s="25">
        <f t="shared" ca="1" si="29"/>
        <v>522</v>
      </c>
      <c r="J958" s="25" t="str">
        <f>VLOOKUP(F958,地区表!$D$2:$E$18,2,FALSE)</f>
        <v>家具</v>
      </c>
      <c r="K958" s="38" t="str">
        <f>VLOOKUP(E958,地区表!$A$2:$C$255,3,FALSE)</f>
        <v>华东</v>
      </c>
    </row>
    <row r="959" spans="1:11" ht="15.6">
      <c r="A959" s="28" t="s">
        <v>817</v>
      </c>
      <c r="B959" s="29">
        <v>44435.9597354121</v>
      </c>
      <c r="C959" s="29">
        <v>44437.2236702062</v>
      </c>
      <c r="D959" s="28" t="s">
        <v>94</v>
      </c>
      <c r="E959" s="28" t="s">
        <v>140</v>
      </c>
      <c r="F959" s="28" t="s">
        <v>109</v>
      </c>
      <c r="G959" s="28">
        <f t="shared" ca="1" si="28"/>
        <v>38</v>
      </c>
      <c r="H959" s="28">
        <v>6</v>
      </c>
      <c r="I959" s="25">
        <f t="shared" ca="1" si="29"/>
        <v>228</v>
      </c>
      <c r="J959" s="25" t="str">
        <f>VLOOKUP(F959,地区表!$D$2:$E$18,2,FALSE)</f>
        <v>技术</v>
      </c>
      <c r="K959" s="38" t="str">
        <f>VLOOKUP(E959,地区表!$A$2:$C$255,3,FALSE)</f>
        <v>华东</v>
      </c>
    </row>
    <row r="960" spans="1:11" ht="15.6">
      <c r="A960" s="28" t="s">
        <v>818</v>
      </c>
      <c r="B960" s="29">
        <v>44957.072251354199</v>
      </c>
      <c r="C960" s="29">
        <v>44957.999659633897</v>
      </c>
      <c r="D960" s="28" t="s">
        <v>94</v>
      </c>
      <c r="E960" s="28" t="s">
        <v>239</v>
      </c>
      <c r="F960" s="28" t="s">
        <v>135</v>
      </c>
      <c r="G960" s="28">
        <f t="shared" ca="1" si="28"/>
        <v>38</v>
      </c>
      <c r="H960" s="28">
        <v>3</v>
      </c>
      <c r="I960" s="25">
        <f t="shared" ca="1" si="29"/>
        <v>114</v>
      </c>
      <c r="J960" s="25" t="str">
        <f>VLOOKUP(F960,地区表!$D$2:$E$18,2,FALSE)</f>
        <v>办公用品</v>
      </c>
      <c r="K960" s="38" t="str">
        <f>VLOOKUP(E960,地区表!$A$2:$C$255,3,FALSE)</f>
        <v>中南</v>
      </c>
    </row>
    <row r="961" spans="1:11" ht="15.6">
      <c r="A961" s="28" t="s">
        <v>819</v>
      </c>
      <c r="B961" s="29">
        <v>44849.627435547998</v>
      </c>
      <c r="C961" s="29">
        <v>44853.7231769344</v>
      </c>
      <c r="D961" s="28" t="s">
        <v>98</v>
      </c>
      <c r="E961" s="28" t="s">
        <v>152</v>
      </c>
      <c r="F961" s="28" t="s">
        <v>131</v>
      </c>
      <c r="G961" s="28">
        <f t="shared" ca="1" si="28"/>
        <v>28</v>
      </c>
      <c r="H961" s="28">
        <v>3</v>
      </c>
      <c r="I961" s="25">
        <f t="shared" ca="1" si="29"/>
        <v>84</v>
      </c>
      <c r="J961" s="25" t="str">
        <f>VLOOKUP(F961,地区表!$D$2:$E$18,2,FALSE)</f>
        <v>家具</v>
      </c>
      <c r="K961" s="38" t="str">
        <f>VLOOKUP(E961,地区表!$A$2:$C$255,3,FALSE)</f>
        <v>华东</v>
      </c>
    </row>
    <row r="962" spans="1:11" ht="15.6">
      <c r="A962" s="28" t="s">
        <v>820</v>
      </c>
      <c r="B962" s="29">
        <v>44900.8886762525</v>
      </c>
      <c r="C962" s="29">
        <v>44903.607592488101</v>
      </c>
      <c r="D962" s="28" t="s">
        <v>94</v>
      </c>
      <c r="E962" s="28" t="s">
        <v>533</v>
      </c>
      <c r="F962" s="28" t="s">
        <v>121</v>
      </c>
      <c r="G962" s="28">
        <f t="shared" ref="G962:G999" ca="1" si="30">RANDBETWEEN(10,100)</f>
        <v>46</v>
      </c>
      <c r="H962" s="28">
        <v>4</v>
      </c>
      <c r="I962" s="25">
        <f t="shared" ref="I962:I999" ca="1" si="31">G962*H962</f>
        <v>184</v>
      </c>
      <c r="J962" s="25" t="str">
        <f>VLOOKUP(F962,地区表!$D$2:$E$18,2,FALSE)</f>
        <v>技术</v>
      </c>
      <c r="K962" s="38" t="str">
        <f>VLOOKUP(E962,地区表!$A$2:$C$255,3,FALSE)</f>
        <v>华东</v>
      </c>
    </row>
    <row r="963" spans="1:11" ht="15.6">
      <c r="A963" s="28" t="s">
        <v>821</v>
      </c>
      <c r="B963" s="29">
        <v>44806.251666976299</v>
      </c>
      <c r="C963" s="29">
        <v>44811.149119774302</v>
      </c>
      <c r="D963" s="28" t="s">
        <v>94</v>
      </c>
      <c r="E963" s="28" t="s">
        <v>160</v>
      </c>
      <c r="F963" s="28" t="s">
        <v>141</v>
      </c>
      <c r="G963" s="28">
        <f t="shared" ca="1" si="30"/>
        <v>17</v>
      </c>
      <c r="H963" s="28">
        <v>9</v>
      </c>
      <c r="I963" s="25">
        <f t="shared" ca="1" si="31"/>
        <v>153</v>
      </c>
      <c r="J963" s="25" t="str">
        <f>VLOOKUP(F963,地区表!$D$2:$E$18,2,FALSE)</f>
        <v>办公用品</v>
      </c>
      <c r="K963" s="38" t="str">
        <f>VLOOKUP(E963,地区表!$A$2:$C$255,3,FALSE)</f>
        <v>东北</v>
      </c>
    </row>
    <row r="964" spans="1:11" ht="15.6">
      <c r="A964" s="28" t="s">
        <v>822</v>
      </c>
      <c r="B964" s="29">
        <v>44305.203311443103</v>
      </c>
      <c r="C964" s="29">
        <v>44311.4978077669</v>
      </c>
      <c r="D964" s="28" t="s">
        <v>98</v>
      </c>
      <c r="E964" s="28" t="s">
        <v>127</v>
      </c>
      <c r="F964" s="28" t="s">
        <v>125</v>
      </c>
      <c r="G964" s="28">
        <f t="shared" ca="1" si="30"/>
        <v>98</v>
      </c>
      <c r="H964" s="28">
        <v>5</v>
      </c>
      <c r="I964" s="25">
        <f t="shared" ca="1" si="31"/>
        <v>490</v>
      </c>
      <c r="J964" s="25" t="str">
        <f>VLOOKUP(F964,地区表!$D$2:$E$18,2,FALSE)</f>
        <v>办公用品</v>
      </c>
      <c r="K964" s="38" t="str">
        <f>VLOOKUP(E964,地区表!$A$2:$C$255,3,FALSE)</f>
        <v>华东</v>
      </c>
    </row>
    <row r="965" spans="1:11" ht="15.6">
      <c r="A965" s="28" t="s">
        <v>822</v>
      </c>
      <c r="B965" s="29">
        <v>44305.458864439002</v>
      </c>
      <c r="C965" s="29">
        <v>44311.867861192302</v>
      </c>
      <c r="D965" s="28" t="s">
        <v>98</v>
      </c>
      <c r="E965" s="28" t="s">
        <v>127</v>
      </c>
      <c r="F965" s="28" t="s">
        <v>122</v>
      </c>
      <c r="G965" s="28">
        <f t="shared" ca="1" si="30"/>
        <v>64</v>
      </c>
      <c r="H965" s="28">
        <v>6</v>
      </c>
      <c r="I965" s="25">
        <f t="shared" ca="1" si="31"/>
        <v>384</v>
      </c>
      <c r="J965" s="25" t="str">
        <f>VLOOKUP(F965,地区表!$D$2:$E$18,2,FALSE)</f>
        <v>技术</v>
      </c>
      <c r="K965" s="38" t="str">
        <f>VLOOKUP(E965,地区表!$A$2:$C$255,3,FALSE)</f>
        <v>华东</v>
      </c>
    </row>
    <row r="966" spans="1:11" ht="15.6">
      <c r="A966" s="28" t="s">
        <v>822</v>
      </c>
      <c r="B966" s="29">
        <v>44305.087991692199</v>
      </c>
      <c r="C966" s="29">
        <v>44311.7359106367</v>
      </c>
      <c r="D966" s="28" t="s">
        <v>98</v>
      </c>
      <c r="E966" s="28" t="s">
        <v>127</v>
      </c>
      <c r="F966" s="28" t="s">
        <v>110</v>
      </c>
      <c r="G966" s="28">
        <f t="shared" ca="1" si="30"/>
        <v>69</v>
      </c>
      <c r="H966" s="28">
        <v>3</v>
      </c>
      <c r="I966" s="25">
        <f t="shared" ca="1" si="31"/>
        <v>207</v>
      </c>
      <c r="J966" s="25" t="str">
        <f>VLOOKUP(F966,地区表!$D$2:$E$18,2,FALSE)</f>
        <v>家具</v>
      </c>
      <c r="K966" s="38" t="str">
        <f>VLOOKUP(E966,地区表!$A$2:$C$255,3,FALSE)</f>
        <v>华东</v>
      </c>
    </row>
    <row r="967" spans="1:11" ht="15.6">
      <c r="A967" s="28" t="s">
        <v>822</v>
      </c>
      <c r="B967" s="29">
        <v>44305.2943246668</v>
      </c>
      <c r="C967" s="29">
        <v>44311.069875662797</v>
      </c>
      <c r="D967" s="28" t="s">
        <v>98</v>
      </c>
      <c r="E967" s="28" t="s">
        <v>127</v>
      </c>
      <c r="F967" s="28" t="s">
        <v>106</v>
      </c>
      <c r="G967" s="28">
        <f t="shared" ca="1" si="30"/>
        <v>51</v>
      </c>
      <c r="H967" s="28">
        <v>12</v>
      </c>
      <c r="I967" s="25">
        <f t="shared" ca="1" si="31"/>
        <v>612</v>
      </c>
      <c r="J967" s="25" t="str">
        <f>VLOOKUP(F967,地区表!$D$2:$E$18,2,FALSE)</f>
        <v>办公用品</v>
      </c>
      <c r="K967" s="38" t="str">
        <f>VLOOKUP(E967,地区表!$A$2:$C$255,3,FALSE)</f>
        <v>华东</v>
      </c>
    </row>
    <row r="968" spans="1:11" ht="15.6">
      <c r="A968" s="28" t="s">
        <v>822</v>
      </c>
      <c r="B968" s="29">
        <v>44305.006598296502</v>
      </c>
      <c r="C968" s="29">
        <v>44311.577547270397</v>
      </c>
      <c r="D968" s="28" t="s">
        <v>98</v>
      </c>
      <c r="E968" s="28" t="s">
        <v>127</v>
      </c>
      <c r="F968" s="28" t="s">
        <v>122</v>
      </c>
      <c r="G968" s="28">
        <f t="shared" ca="1" si="30"/>
        <v>52</v>
      </c>
      <c r="H968" s="28">
        <v>4</v>
      </c>
      <c r="I968" s="25">
        <f t="shared" ca="1" si="31"/>
        <v>208</v>
      </c>
      <c r="J968" s="25" t="str">
        <f>VLOOKUP(F968,地区表!$D$2:$E$18,2,FALSE)</f>
        <v>技术</v>
      </c>
      <c r="K968" s="38" t="str">
        <f>VLOOKUP(E968,地区表!$A$2:$C$255,3,FALSE)</f>
        <v>华东</v>
      </c>
    </row>
    <row r="969" spans="1:11" ht="15.6">
      <c r="A969" s="28" t="s">
        <v>822</v>
      </c>
      <c r="B969" s="29">
        <v>44305.707227208601</v>
      </c>
      <c r="C969" s="29">
        <v>44311.5475896391</v>
      </c>
      <c r="D969" s="28" t="s">
        <v>98</v>
      </c>
      <c r="E969" s="28" t="s">
        <v>127</v>
      </c>
      <c r="F969" s="28" t="s">
        <v>141</v>
      </c>
      <c r="G969" s="28">
        <f t="shared" ca="1" si="30"/>
        <v>54</v>
      </c>
      <c r="H969" s="28">
        <v>2</v>
      </c>
      <c r="I969" s="25">
        <f t="shared" ca="1" si="31"/>
        <v>108</v>
      </c>
      <c r="J969" s="25" t="str">
        <f>VLOOKUP(F969,地区表!$D$2:$E$18,2,FALSE)</f>
        <v>办公用品</v>
      </c>
      <c r="K969" s="38" t="str">
        <f>VLOOKUP(E969,地区表!$A$2:$C$255,3,FALSE)</f>
        <v>华东</v>
      </c>
    </row>
    <row r="970" spans="1:11" ht="15.6">
      <c r="A970" s="28" t="s">
        <v>823</v>
      </c>
      <c r="B970" s="29">
        <v>44997.466653371201</v>
      </c>
      <c r="C970" s="29">
        <v>45002.523685364104</v>
      </c>
      <c r="D970" s="28" t="s">
        <v>114</v>
      </c>
      <c r="E970" s="28" t="s">
        <v>824</v>
      </c>
      <c r="F970" s="28" t="s">
        <v>106</v>
      </c>
      <c r="G970" s="28">
        <f t="shared" ca="1" si="30"/>
        <v>75</v>
      </c>
      <c r="H970" s="28">
        <v>7</v>
      </c>
      <c r="I970" s="25">
        <f t="shared" ca="1" si="31"/>
        <v>525</v>
      </c>
      <c r="J970" s="25" t="str">
        <f>VLOOKUP(F970,地区表!$D$2:$E$18,2,FALSE)</f>
        <v>办公用品</v>
      </c>
      <c r="K970" s="38" t="str">
        <f>VLOOKUP(E970,地区表!$A$2:$C$255,3,FALSE)</f>
        <v>东北</v>
      </c>
    </row>
    <row r="971" spans="1:11" ht="15.6">
      <c r="A971" s="28" t="s">
        <v>825</v>
      </c>
      <c r="B971" s="29">
        <v>44704.908889342601</v>
      </c>
      <c r="C971" s="29">
        <v>44708.051106806801</v>
      </c>
      <c r="D971" s="28" t="s">
        <v>114</v>
      </c>
      <c r="E971" s="28" t="s">
        <v>197</v>
      </c>
      <c r="F971" s="28" t="s">
        <v>110</v>
      </c>
      <c r="G971" s="28">
        <f t="shared" ca="1" si="30"/>
        <v>28</v>
      </c>
      <c r="H971" s="28">
        <v>5</v>
      </c>
      <c r="I971" s="25">
        <f t="shared" ca="1" si="31"/>
        <v>140</v>
      </c>
      <c r="J971" s="25" t="str">
        <f>VLOOKUP(F971,地区表!$D$2:$E$18,2,FALSE)</f>
        <v>家具</v>
      </c>
      <c r="K971" s="38" t="str">
        <f>VLOOKUP(E971,地区表!$A$2:$C$255,3,FALSE)</f>
        <v>中南</v>
      </c>
    </row>
    <row r="972" spans="1:11" ht="15.6">
      <c r="A972" s="28" t="s">
        <v>825</v>
      </c>
      <c r="B972" s="29">
        <v>44704.057402500897</v>
      </c>
      <c r="C972" s="29">
        <v>44708.709706817303</v>
      </c>
      <c r="D972" s="28" t="s">
        <v>114</v>
      </c>
      <c r="E972" s="28" t="s">
        <v>197</v>
      </c>
      <c r="F972" s="28" t="s">
        <v>131</v>
      </c>
      <c r="G972" s="28">
        <f t="shared" ca="1" si="30"/>
        <v>43</v>
      </c>
      <c r="H972" s="28">
        <v>2</v>
      </c>
      <c r="I972" s="25">
        <f t="shared" ca="1" si="31"/>
        <v>86</v>
      </c>
      <c r="J972" s="25" t="str">
        <f>VLOOKUP(F972,地区表!$D$2:$E$18,2,FALSE)</f>
        <v>家具</v>
      </c>
      <c r="K972" s="38" t="str">
        <f>VLOOKUP(E972,地区表!$A$2:$C$255,3,FALSE)</f>
        <v>中南</v>
      </c>
    </row>
    <row r="973" spans="1:11" ht="15.6">
      <c r="A973" s="28" t="s">
        <v>826</v>
      </c>
      <c r="B973" s="29">
        <v>44899.395104919597</v>
      </c>
      <c r="C973" s="29">
        <v>44901.430799803602</v>
      </c>
      <c r="D973" s="28" t="s">
        <v>94</v>
      </c>
      <c r="E973" s="28" t="s">
        <v>127</v>
      </c>
      <c r="F973" s="28" t="s">
        <v>106</v>
      </c>
      <c r="G973" s="28">
        <f t="shared" ca="1" si="30"/>
        <v>84</v>
      </c>
      <c r="H973" s="28">
        <v>5</v>
      </c>
      <c r="I973" s="25">
        <f t="shared" ca="1" si="31"/>
        <v>420</v>
      </c>
      <c r="J973" s="25" t="str">
        <f>VLOOKUP(F973,地区表!$D$2:$E$18,2,FALSE)</f>
        <v>办公用品</v>
      </c>
      <c r="K973" s="38" t="str">
        <f>VLOOKUP(E973,地区表!$A$2:$C$255,3,FALSE)</f>
        <v>华东</v>
      </c>
    </row>
    <row r="974" spans="1:11" ht="15.6">
      <c r="A974" s="28" t="s">
        <v>827</v>
      </c>
      <c r="B974" s="29">
        <v>44308.1208268669</v>
      </c>
      <c r="C974" s="29">
        <v>44312.628700178902</v>
      </c>
      <c r="D974" s="28" t="s">
        <v>98</v>
      </c>
      <c r="E974" s="28" t="s">
        <v>828</v>
      </c>
      <c r="F974" s="28" t="s">
        <v>106</v>
      </c>
      <c r="G974" s="28">
        <f t="shared" ca="1" si="30"/>
        <v>11</v>
      </c>
      <c r="H974" s="28">
        <v>4</v>
      </c>
      <c r="I974" s="25">
        <f t="shared" ca="1" si="31"/>
        <v>44</v>
      </c>
      <c r="J974" s="25" t="str">
        <f>VLOOKUP(F974,地区表!$D$2:$E$18,2,FALSE)</f>
        <v>办公用品</v>
      </c>
      <c r="K974" s="38" t="str">
        <f>VLOOKUP(E974,地区表!$A$2:$C$255,3,FALSE)</f>
        <v>东北</v>
      </c>
    </row>
    <row r="975" spans="1:11" ht="15.6">
      <c r="A975" s="28" t="s">
        <v>829</v>
      </c>
      <c r="B975" s="29">
        <v>44800.531927660602</v>
      </c>
      <c r="C975" s="29">
        <v>44803.713480020699</v>
      </c>
      <c r="D975" s="28" t="s">
        <v>98</v>
      </c>
      <c r="E975" s="28" t="s">
        <v>160</v>
      </c>
      <c r="F975" s="28" t="s">
        <v>106</v>
      </c>
      <c r="G975" s="28">
        <f t="shared" ca="1" si="30"/>
        <v>98</v>
      </c>
      <c r="H975" s="28">
        <v>2</v>
      </c>
      <c r="I975" s="25">
        <f t="shared" ca="1" si="31"/>
        <v>196</v>
      </c>
      <c r="J975" s="25" t="str">
        <f>VLOOKUP(F975,地区表!$D$2:$E$18,2,FALSE)</f>
        <v>办公用品</v>
      </c>
      <c r="K975" s="38" t="str">
        <f>VLOOKUP(E975,地区表!$A$2:$C$255,3,FALSE)</f>
        <v>东北</v>
      </c>
    </row>
    <row r="976" spans="1:11" ht="15.6">
      <c r="A976" s="28" t="s">
        <v>829</v>
      </c>
      <c r="B976" s="29">
        <v>44800.179187572699</v>
      </c>
      <c r="C976" s="29">
        <v>44803.566327009299</v>
      </c>
      <c r="D976" s="28" t="s">
        <v>98</v>
      </c>
      <c r="E976" s="28" t="s">
        <v>160</v>
      </c>
      <c r="F976" s="28" t="s">
        <v>135</v>
      </c>
      <c r="G976" s="28">
        <f t="shared" ca="1" si="30"/>
        <v>40</v>
      </c>
      <c r="H976" s="28">
        <v>3</v>
      </c>
      <c r="I976" s="25">
        <f t="shared" ca="1" si="31"/>
        <v>120</v>
      </c>
      <c r="J976" s="25" t="str">
        <f>VLOOKUP(F976,地区表!$D$2:$E$18,2,FALSE)</f>
        <v>办公用品</v>
      </c>
      <c r="K976" s="38" t="str">
        <f>VLOOKUP(E976,地区表!$A$2:$C$255,3,FALSE)</f>
        <v>东北</v>
      </c>
    </row>
    <row r="977" spans="1:11" ht="15.6">
      <c r="A977" s="28" t="s">
        <v>830</v>
      </c>
      <c r="B977" s="29">
        <v>44476.997724060697</v>
      </c>
      <c r="C977" s="29">
        <v>44480.196966699201</v>
      </c>
      <c r="D977" s="28" t="s">
        <v>98</v>
      </c>
      <c r="E977" s="28" t="s">
        <v>127</v>
      </c>
      <c r="F977" s="28" t="s">
        <v>100</v>
      </c>
      <c r="G977" s="28">
        <f t="shared" ca="1" si="30"/>
        <v>42</v>
      </c>
      <c r="H977" s="28">
        <v>2</v>
      </c>
      <c r="I977" s="25">
        <f t="shared" ca="1" si="31"/>
        <v>84</v>
      </c>
      <c r="J977" s="25" t="str">
        <f>VLOOKUP(F977,地区表!$D$2:$E$18,2,FALSE)</f>
        <v>办公用品</v>
      </c>
      <c r="K977" s="38" t="str">
        <f>VLOOKUP(E977,地区表!$A$2:$C$255,3,FALSE)</f>
        <v>华东</v>
      </c>
    </row>
    <row r="978" spans="1:11" ht="15.6">
      <c r="A978" s="28" t="s">
        <v>830</v>
      </c>
      <c r="B978" s="29">
        <v>44476.9360624373</v>
      </c>
      <c r="C978" s="29">
        <v>44480.7175488516</v>
      </c>
      <c r="D978" s="28" t="s">
        <v>98</v>
      </c>
      <c r="E978" s="28" t="s">
        <v>127</v>
      </c>
      <c r="F978" s="28" t="s">
        <v>141</v>
      </c>
      <c r="G978" s="28">
        <f t="shared" ca="1" si="30"/>
        <v>89</v>
      </c>
      <c r="H978" s="28">
        <v>3</v>
      </c>
      <c r="I978" s="25">
        <f t="shared" ca="1" si="31"/>
        <v>267</v>
      </c>
      <c r="J978" s="25" t="str">
        <f>VLOOKUP(F978,地区表!$D$2:$E$18,2,FALSE)</f>
        <v>办公用品</v>
      </c>
      <c r="K978" s="38" t="str">
        <f>VLOOKUP(E978,地区表!$A$2:$C$255,3,FALSE)</f>
        <v>华东</v>
      </c>
    </row>
    <row r="979" spans="1:11" ht="15.6">
      <c r="A979" s="28" t="s">
        <v>831</v>
      </c>
      <c r="B979" s="29">
        <v>45289.526225439702</v>
      </c>
      <c r="C979" s="29">
        <v>44562.800880072697</v>
      </c>
      <c r="D979" s="28" t="s">
        <v>94</v>
      </c>
      <c r="E979" s="28" t="s">
        <v>164</v>
      </c>
      <c r="F979" s="28" t="s">
        <v>111</v>
      </c>
      <c r="G979" s="28">
        <f t="shared" ca="1" si="30"/>
        <v>18</v>
      </c>
      <c r="H979" s="28">
        <v>1</v>
      </c>
      <c r="I979" s="25">
        <f t="shared" ca="1" si="31"/>
        <v>18</v>
      </c>
      <c r="J979" s="25" t="str">
        <f>VLOOKUP(F979,地区表!$D$2:$E$18,2,FALSE)</f>
        <v>办公用品</v>
      </c>
      <c r="K979" s="38" t="str">
        <f>VLOOKUP(E979,地区表!$A$2:$C$255,3,FALSE)</f>
        <v>西北</v>
      </c>
    </row>
    <row r="980" spans="1:11" ht="15.6">
      <c r="A980" s="28" t="s">
        <v>831</v>
      </c>
      <c r="B980" s="29">
        <v>45289.217795852899</v>
      </c>
      <c r="C980" s="29">
        <v>44562.925283901299</v>
      </c>
      <c r="D980" s="28" t="s">
        <v>94</v>
      </c>
      <c r="E980" s="28" t="s">
        <v>164</v>
      </c>
      <c r="F980" s="28" t="s">
        <v>96</v>
      </c>
      <c r="G980" s="28">
        <f t="shared" ca="1" si="30"/>
        <v>98</v>
      </c>
      <c r="H980" s="28">
        <v>9</v>
      </c>
      <c r="I980" s="25">
        <f t="shared" ca="1" si="31"/>
        <v>882</v>
      </c>
      <c r="J980" s="25" t="str">
        <f>VLOOKUP(F980,地区表!$D$2:$E$18,2,FALSE)</f>
        <v>办公用品</v>
      </c>
      <c r="K980" s="38" t="str">
        <f>VLOOKUP(E980,地区表!$A$2:$C$255,3,FALSE)</f>
        <v>西北</v>
      </c>
    </row>
    <row r="981" spans="1:11" ht="15.6">
      <c r="A981" s="28" t="s">
        <v>832</v>
      </c>
      <c r="B981" s="29">
        <v>44747.585048936198</v>
      </c>
      <c r="C981" s="29">
        <v>44750.0767419412</v>
      </c>
      <c r="D981" s="28" t="s">
        <v>98</v>
      </c>
      <c r="E981" s="28" t="s">
        <v>361</v>
      </c>
      <c r="F981" s="28" t="s">
        <v>101</v>
      </c>
      <c r="G981" s="28">
        <f t="shared" ca="1" si="30"/>
        <v>81</v>
      </c>
      <c r="H981" s="28">
        <v>7</v>
      </c>
      <c r="I981" s="25">
        <f t="shared" ca="1" si="31"/>
        <v>567</v>
      </c>
      <c r="J981" s="25" t="str">
        <f>VLOOKUP(F981,地区表!$D$2:$E$18,2,FALSE)</f>
        <v>办公用品</v>
      </c>
      <c r="K981" s="38" t="str">
        <f>VLOOKUP(E981,地区表!$A$2:$C$255,3,FALSE)</f>
        <v>西南</v>
      </c>
    </row>
    <row r="982" spans="1:11" ht="15.6">
      <c r="A982" s="28" t="s">
        <v>833</v>
      </c>
      <c r="B982" s="29">
        <v>44509.723722772796</v>
      </c>
      <c r="C982" s="29">
        <v>44513.711531458699</v>
      </c>
      <c r="D982" s="28" t="s">
        <v>94</v>
      </c>
      <c r="E982" s="28" t="s">
        <v>834</v>
      </c>
      <c r="F982" s="28" t="s">
        <v>106</v>
      </c>
      <c r="G982" s="28">
        <f t="shared" ca="1" si="30"/>
        <v>33</v>
      </c>
      <c r="H982" s="28">
        <v>2</v>
      </c>
      <c r="I982" s="25">
        <f t="shared" ca="1" si="31"/>
        <v>66</v>
      </c>
      <c r="J982" s="25" t="str">
        <f>VLOOKUP(F982,地区表!$D$2:$E$18,2,FALSE)</f>
        <v>办公用品</v>
      </c>
      <c r="K982" s="38" t="str">
        <f>VLOOKUP(E982,地区表!$A$2:$C$255,3,FALSE)</f>
        <v>华东</v>
      </c>
    </row>
    <row r="983" spans="1:11" ht="15.6">
      <c r="A983" s="28" t="s">
        <v>835</v>
      </c>
      <c r="B983" s="29">
        <v>45173.3243997194</v>
      </c>
      <c r="C983" s="29">
        <v>45178.3555396054</v>
      </c>
      <c r="D983" s="28" t="s">
        <v>98</v>
      </c>
      <c r="E983" s="28" t="s">
        <v>164</v>
      </c>
      <c r="F983" s="28" t="s">
        <v>96</v>
      </c>
      <c r="G983" s="28">
        <f t="shared" ca="1" si="30"/>
        <v>42</v>
      </c>
      <c r="H983" s="28">
        <v>5</v>
      </c>
      <c r="I983" s="25">
        <f t="shared" ca="1" si="31"/>
        <v>210</v>
      </c>
      <c r="J983" s="25" t="str">
        <f>VLOOKUP(F983,地区表!$D$2:$E$18,2,FALSE)</f>
        <v>办公用品</v>
      </c>
      <c r="K983" s="38" t="str">
        <f>VLOOKUP(E983,地区表!$A$2:$C$255,3,FALSE)</f>
        <v>西北</v>
      </c>
    </row>
    <row r="984" spans="1:11" ht="15.6">
      <c r="A984" s="28" t="s">
        <v>835</v>
      </c>
      <c r="B984" s="29">
        <v>45173.484541993501</v>
      </c>
      <c r="C984" s="29">
        <v>45178.568235622202</v>
      </c>
      <c r="D984" s="28" t="s">
        <v>98</v>
      </c>
      <c r="E984" s="28" t="s">
        <v>164</v>
      </c>
      <c r="F984" s="28" t="s">
        <v>125</v>
      </c>
      <c r="G984" s="28">
        <f t="shared" ca="1" si="30"/>
        <v>57</v>
      </c>
      <c r="H984" s="28">
        <v>2</v>
      </c>
      <c r="I984" s="25">
        <f t="shared" ca="1" si="31"/>
        <v>114</v>
      </c>
      <c r="J984" s="25" t="str">
        <f>VLOOKUP(F984,地区表!$D$2:$E$18,2,FALSE)</f>
        <v>办公用品</v>
      </c>
      <c r="K984" s="38" t="str">
        <f>VLOOKUP(E984,地区表!$A$2:$C$255,3,FALSE)</f>
        <v>西北</v>
      </c>
    </row>
    <row r="985" spans="1:11" ht="15.6">
      <c r="A985" s="28" t="s">
        <v>836</v>
      </c>
      <c r="B985" s="29">
        <v>44611.801869419498</v>
      </c>
      <c r="C985" s="29">
        <v>44615.006418574798</v>
      </c>
      <c r="D985" s="28" t="s">
        <v>98</v>
      </c>
      <c r="E985" s="28" t="s">
        <v>279</v>
      </c>
      <c r="F985" s="28" t="s">
        <v>131</v>
      </c>
      <c r="G985" s="28">
        <f t="shared" ca="1" si="30"/>
        <v>15</v>
      </c>
      <c r="H985" s="28">
        <v>2</v>
      </c>
      <c r="I985" s="25">
        <f t="shared" ca="1" si="31"/>
        <v>30</v>
      </c>
      <c r="J985" s="25" t="str">
        <f>VLOOKUP(F985,地区表!$D$2:$E$18,2,FALSE)</f>
        <v>家具</v>
      </c>
      <c r="K985" s="38" t="str">
        <f>VLOOKUP(E985,地区表!$A$2:$C$255,3,FALSE)</f>
        <v>中南</v>
      </c>
    </row>
    <row r="986" spans="1:11" ht="15.6">
      <c r="A986" s="28" t="s">
        <v>836</v>
      </c>
      <c r="B986" s="29">
        <v>44611.842243998202</v>
      </c>
      <c r="C986" s="29">
        <v>44615.587390968802</v>
      </c>
      <c r="D986" s="28" t="s">
        <v>98</v>
      </c>
      <c r="E986" s="28" t="s">
        <v>279</v>
      </c>
      <c r="F986" s="28" t="s">
        <v>96</v>
      </c>
      <c r="G986" s="28">
        <f t="shared" ca="1" si="30"/>
        <v>81</v>
      </c>
      <c r="H986" s="28">
        <v>5</v>
      </c>
      <c r="I986" s="25">
        <f t="shared" ca="1" si="31"/>
        <v>405</v>
      </c>
      <c r="J986" s="25" t="str">
        <f>VLOOKUP(F986,地区表!$D$2:$E$18,2,FALSE)</f>
        <v>办公用品</v>
      </c>
      <c r="K986" s="38" t="str">
        <f>VLOOKUP(E986,地区表!$A$2:$C$255,3,FALSE)</f>
        <v>中南</v>
      </c>
    </row>
    <row r="987" spans="1:11" ht="15.6">
      <c r="A987" s="28" t="s">
        <v>836</v>
      </c>
      <c r="B987" s="29">
        <v>44611.853322721698</v>
      </c>
      <c r="C987" s="29">
        <v>44615.327369518403</v>
      </c>
      <c r="D987" s="28" t="s">
        <v>98</v>
      </c>
      <c r="E987" s="28" t="s">
        <v>279</v>
      </c>
      <c r="F987" s="28" t="s">
        <v>141</v>
      </c>
      <c r="G987" s="28">
        <f t="shared" ca="1" si="30"/>
        <v>77</v>
      </c>
      <c r="H987" s="28">
        <v>6</v>
      </c>
      <c r="I987" s="25">
        <f t="shared" ca="1" si="31"/>
        <v>462</v>
      </c>
      <c r="J987" s="25" t="str">
        <f>VLOOKUP(F987,地区表!$D$2:$E$18,2,FALSE)</f>
        <v>办公用品</v>
      </c>
      <c r="K987" s="38" t="str">
        <f>VLOOKUP(E987,地区表!$A$2:$C$255,3,FALSE)</f>
        <v>中南</v>
      </c>
    </row>
    <row r="988" spans="1:11" ht="15.6">
      <c r="A988" s="28" t="s">
        <v>836</v>
      </c>
      <c r="B988" s="29">
        <v>44611.2043169553</v>
      </c>
      <c r="C988" s="29">
        <v>44615.4739160026</v>
      </c>
      <c r="D988" s="28" t="s">
        <v>98</v>
      </c>
      <c r="E988" s="28" t="s">
        <v>279</v>
      </c>
      <c r="F988" s="28" t="s">
        <v>130</v>
      </c>
      <c r="G988" s="28">
        <f t="shared" ca="1" si="30"/>
        <v>57</v>
      </c>
      <c r="H988" s="28">
        <v>4</v>
      </c>
      <c r="I988" s="25">
        <f t="shared" ca="1" si="31"/>
        <v>228</v>
      </c>
      <c r="J988" s="25" t="str">
        <f>VLOOKUP(F988,地区表!$D$2:$E$18,2,FALSE)</f>
        <v>家具</v>
      </c>
      <c r="K988" s="38" t="str">
        <f>VLOOKUP(E988,地区表!$A$2:$C$255,3,FALSE)</f>
        <v>中南</v>
      </c>
    </row>
    <row r="989" spans="1:11" ht="15.6">
      <c r="A989" s="28" t="s">
        <v>837</v>
      </c>
      <c r="B989" s="29">
        <v>44229.163221725699</v>
      </c>
      <c r="C989" s="29">
        <v>44233.7437907821</v>
      </c>
      <c r="D989" s="28" t="s">
        <v>94</v>
      </c>
      <c r="E989" s="28" t="s">
        <v>804</v>
      </c>
      <c r="F989" s="28" t="s">
        <v>122</v>
      </c>
      <c r="G989" s="28">
        <f t="shared" ca="1" si="30"/>
        <v>100</v>
      </c>
      <c r="H989" s="28">
        <v>2</v>
      </c>
      <c r="I989" s="25">
        <f t="shared" ca="1" si="31"/>
        <v>200</v>
      </c>
      <c r="J989" s="25" t="str">
        <f>VLOOKUP(F989,地区表!$D$2:$E$18,2,FALSE)</f>
        <v>技术</v>
      </c>
      <c r="K989" s="38" t="str">
        <f>VLOOKUP(E989,地区表!$A$2:$C$255,3,FALSE)</f>
        <v>西南</v>
      </c>
    </row>
    <row r="990" spans="1:11" ht="15.6">
      <c r="A990" s="28" t="s">
        <v>837</v>
      </c>
      <c r="B990" s="29">
        <v>44229.250319453597</v>
      </c>
      <c r="C990" s="29">
        <v>44233.672820262</v>
      </c>
      <c r="D990" s="28" t="s">
        <v>94</v>
      </c>
      <c r="E990" s="28" t="s">
        <v>804</v>
      </c>
      <c r="F990" s="28" t="s">
        <v>135</v>
      </c>
      <c r="G990" s="28">
        <f t="shared" ca="1" si="30"/>
        <v>35</v>
      </c>
      <c r="H990" s="28">
        <v>6</v>
      </c>
      <c r="I990" s="25">
        <f t="shared" ca="1" si="31"/>
        <v>210</v>
      </c>
      <c r="J990" s="25" t="str">
        <f>VLOOKUP(F990,地区表!$D$2:$E$18,2,FALSE)</f>
        <v>办公用品</v>
      </c>
      <c r="K990" s="38" t="str">
        <f>VLOOKUP(E990,地区表!$A$2:$C$255,3,FALSE)</f>
        <v>西南</v>
      </c>
    </row>
    <row r="991" spans="1:11" ht="15.6">
      <c r="A991" s="28" t="s">
        <v>837</v>
      </c>
      <c r="B991" s="29">
        <v>44229.255598250798</v>
      </c>
      <c r="C991" s="29">
        <v>44233.2441452516</v>
      </c>
      <c r="D991" s="28" t="s">
        <v>94</v>
      </c>
      <c r="E991" s="28" t="s">
        <v>804</v>
      </c>
      <c r="F991" s="28" t="s">
        <v>101</v>
      </c>
      <c r="G991" s="28">
        <f t="shared" ca="1" si="30"/>
        <v>55</v>
      </c>
      <c r="H991" s="28">
        <v>1</v>
      </c>
      <c r="I991" s="25">
        <f t="shared" ca="1" si="31"/>
        <v>55</v>
      </c>
      <c r="J991" s="25" t="str">
        <f>VLOOKUP(F991,地区表!$D$2:$E$18,2,FALSE)</f>
        <v>办公用品</v>
      </c>
      <c r="K991" s="38" t="str">
        <f>VLOOKUP(E991,地区表!$A$2:$C$255,3,FALSE)</f>
        <v>西南</v>
      </c>
    </row>
    <row r="992" spans="1:11" ht="15.6">
      <c r="A992" s="28" t="s">
        <v>838</v>
      </c>
      <c r="B992" s="29">
        <v>45056.802500902399</v>
      </c>
      <c r="C992" s="29">
        <v>45058.039947534198</v>
      </c>
      <c r="D992" s="28" t="s">
        <v>98</v>
      </c>
      <c r="E992" s="28" t="s">
        <v>230</v>
      </c>
      <c r="F992" s="28" t="s">
        <v>112</v>
      </c>
      <c r="G992" s="28">
        <f t="shared" ca="1" si="30"/>
        <v>96</v>
      </c>
      <c r="H992" s="28">
        <v>5</v>
      </c>
      <c r="I992" s="25">
        <f t="shared" ca="1" si="31"/>
        <v>480</v>
      </c>
      <c r="J992" s="25" t="str">
        <f>VLOOKUP(F992,地区表!$D$2:$E$18,2,FALSE)</f>
        <v>办公用品</v>
      </c>
      <c r="K992" s="38" t="str">
        <f>VLOOKUP(E992,地区表!$A$2:$C$255,3,FALSE)</f>
        <v>中南</v>
      </c>
    </row>
    <row r="993" spans="1:11" ht="15.6">
      <c r="A993" s="28" t="s">
        <v>839</v>
      </c>
      <c r="B993" s="29">
        <v>45114.5876264299</v>
      </c>
      <c r="C993" s="29">
        <v>45116.181074605702</v>
      </c>
      <c r="D993" s="28" t="s">
        <v>98</v>
      </c>
      <c r="E993" s="28" t="s">
        <v>258</v>
      </c>
      <c r="F993" s="28" t="s">
        <v>118</v>
      </c>
      <c r="G993" s="28">
        <f t="shared" ca="1" si="30"/>
        <v>15</v>
      </c>
      <c r="H993" s="28">
        <v>2</v>
      </c>
      <c r="I993" s="25">
        <f t="shared" ca="1" si="31"/>
        <v>30</v>
      </c>
      <c r="J993" s="25" t="str">
        <f>VLOOKUP(F993,地区表!$D$2:$E$18,2,FALSE)</f>
        <v>技术</v>
      </c>
      <c r="K993" s="38" t="str">
        <f>VLOOKUP(E993,地区表!$A$2:$C$255,3,FALSE)</f>
        <v>东北</v>
      </c>
    </row>
    <row r="994" spans="1:11" ht="15.6">
      <c r="A994" s="28" t="s">
        <v>840</v>
      </c>
      <c r="B994" s="29">
        <v>45209.119270844902</v>
      </c>
      <c r="C994" s="29">
        <v>45210.691139639297</v>
      </c>
      <c r="D994" s="28" t="s">
        <v>94</v>
      </c>
      <c r="E994" s="28" t="s">
        <v>841</v>
      </c>
      <c r="F994" s="28" t="s">
        <v>96</v>
      </c>
      <c r="G994" s="28">
        <f t="shared" ca="1" si="30"/>
        <v>63</v>
      </c>
      <c r="H994" s="28">
        <v>3</v>
      </c>
      <c r="I994" s="25">
        <f t="shared" ca="1" si="31"/>
        <v>189</v>
      </c>
      <c r="J994" s="25" t="str">
        <f>VLOOKUP(F994,地区表!$D$2:$E$18,2,FALSE)</f>
        <v>办公用品</v>
      </c>
      <c r="K994" s="38" t="str">
        <f>VLOOKUP(E994,地区表!$A$2:$C$255,3,FALSE)</f>
        <v>华东</v>
      </c>
    </row>
    <row r="995" spans="1:11" ht="15.6">
      <c r="A995" s="28" t="s">
        <v>842</v>
      </c>
      <c r="B995" s="29">
        <v>44752.577795301397</v>
      </c>
      <c r="C995" s="29">
        <v>44755.296439142403</v>
      </c>
      <c r="D995" s="28" t="s">
        <v>98</v>
      </c>
      <c r="E995" s="28" t="s">
        <v>500</v>
      </c>
      <c r="F995" s="28" t="s">
        <v>112</v>
      </c>
      <c r="G995" s="28">
        <f t="shared" ca="1" si="30"/>
        <v>38</v>
      </c>
      <c r="H995" s="28">
        <v>3</v>
      </c>
      <c r="I995" s="25">
        <f t="shared" ca="1" si="31"/>
        <v>114</v>
      </c>
      <c r="J995" s="25" t="str">
        <f>VLOOKUP(F995,地区表!$D$2:$E$18,2,FALSE)</f>
        <v>办公用品</v>
      </c>
      <c r="K995" s="38" t="str">
        <f>VLOOKUP(E995,地区表!$A$2:$C$255,3,FALSE)</f>
        <v>华东</v>
      </c>
    </row>
    <row r="996" spans="1:11" ht="15.6">
      <c r="A996" s="28" t="s">
        <v>842</v>
      </c>
      <c r="B996" s="29">
        <v>44752.183766154303</v>
      </c>
      <c r="C996" s="29">
        <v>44755.876914023604</v>
      </c>
      <c r="D996" s="28" t="s">
        <v>98</v>
      </c>
      <c r="E996" s="28" t="s">
        <v>500</v>
      </c>
      <c r="F996" s="28" t="s">
        <v>135</v>
      </c>
      <c r="G996" s="28">
        <f t="shared" ca="1" si="30"/>
        <v>63</v>
      </c>
      <c r="H996" s="28">
        <v>4</v>
      </c>
      <c r="I996" s="25">
        <f t="shared" ca="1" si="31"/>
        <v>252</v>
      </c>
      <c r="J996" s="25" t="str">
        <f>VLOOKUP(F996,地区表!$D$2:$E$18,2,FALSE)</f>
        <v>办公用品</v>
      </c>
      <c r="K996" s="38" t="str">
        <f>VLOOKUP(E996,地区表!$A$2:$C$255,3,FALSE)</f>
        <v>华东</v>
      </c>
    </row>
    <row r="997" spans="1:11" ht="15.6">
      <c r="A997" s="28" t="s">
        <v>842</v>
      </c>
      <c r="B997" s="29">
        <v>44752.995237392402</v>
      </c>
      <c r="C997" s="29">
        <v>44755.331483182803</v>
      </c>
      <c r="D997" s="28" t="s">
        <v>98</v>
      </c>
      <c r="E997" s="28" t="s">
        <v>500</v>
      </c>
      <c r="F997" s="28" t="s">
        <v>122</v>
      </c>
      <c r="G997" s="28">
        <f t="shared" ca="1" si="30"/>
        <v>100</v>
      </c>
      <c r="H997" s="28">
        <v>2</v>
      </c>
      <c r="I997" s="25">
        <f t="shared" ca="1" si="31"/>
        <v>200</v>
      </c>
      <c r="J997" s="25" t="str">
        <f>VLOOKUP(F997,地区表!$D$2:$E$18,2,FALSE)</f>
        <v>技术</v>
      </c>
      <c r="K997" s="38" t="str">
        <f>VLOOKUP(E997,地区表!$A$2:$C$255,3,FALSE)</f>
        <v>华东</v>
      </c>
    </row>
    <row r="998" spans="1:11" ht="15.6">
      <c r="A998" s="28" t="s">
        <v>843</v>
      </c>
      <c r="B998" s="29">
        <v>44396.254694849304</v>
      </c>
      <c r="C998" s="29">
        <v>44402.3904090777</v>
      </c>
      <c r="D998" s="28" t="s">
        <v>94</v>
      </c>
      <c r="E998" s="28" t="s">
        <v>844</v>
      </c>
      <c r="F998" s="28" t="s">
        <v>96</v>
      </c>
      <c r="G998" s="28">
        <f t="shared" ca="1" si="30"/>
        <v>77</v>
      </c>
      <c r="H998" s="28">
        <v>3</v>
      </c>
      <c r="I998" s="25">
        <f t="shared" ca="1" si="31"/>
        <v>231</v>
      </c>
      <c r="J998" s="25" t="str">
        <f>VLOOKUP(F998,地区表!$D$2:$E$18,2,FALSE)</f>
        <v>办公用品</v>
      </c>
      <c r="K998" s="38" t="str">
        <f>VLOOKUP(E998,地区表!$A$2:$C$255,3,FALSE)</f>
        <v>中南</v>
      </c>
    </row>
    <row r="999" spans="1:11" ht="15.6">
      <c r="A999" s="28" t="s">
        <v>845</v>
      </c>
      <c r="B999" s="29">
        <v>44602.142746062302</v>
      </c>
      <c r="C999" s="29">
        <v>44607.6324212861</v>
      </c>
      <c r="D999" s="28" t="s">
        <v>98</v>
      </c>
      <c r="E999" s="28" t="s">
        <v>444</v>
      </c>
      <c r="F999" s="28" t="s">
        <v>135</v>
      </c>
      <c r="G999" s="28">
        <f t="shared" ca="1" si="30"/>
        <v>44</v>
      </c>
      <c r="H999" s="28">
        <v>3</v>
      </c>
      <c r="I999" s="25">
        <f t="shared" ca="1" si="31"/>
        <v>132</v>
      </c>
      <c r="J999" s="25" t="str">
        <f>VLOOKUP(F999,地区表!$D$2:$E$18,2,FALSE)</f>
        <v>办公用品</v>
      </c>
      <c r="K999" s="38" t="str">
        <f>VLOOKUP(E999,地区表!$A$2:$C$255,3,FALSE)</f>
        <v>中南</v>
      </c>
    </row>
  </sheetData>
  <autoFilter ref="A1:K1" xr:uid="{62DD3413-B81A-47E8-91CD-5085CB579C54}"/>
  <mergeCells count="7">
    <mergeCell ref="L14:O14"/>
    <mergeCell ref="L1:O1"/>
    <mergeCell ref="L8:P8"/>
    <mergeCell ref="L9:N9"/>
    <mergeCell ref="O9:P9"/>
    <mergeCell ref="L10:N10"/>
    <mergeCell ref="O10:P10"/>
  </mergeCells>
  <pageMargins left="0.75" right="0.75" top="1" bottom="1" header="0.5" footer="0.5"/>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B1:L18"/>
  <sheetViews>
    <sheetView zoomScale="85" zoomScaleNormal="85" workbookViewId="0">
      <selection activeCell="L74" sqref="L74"/>
    </sheetView>
  </sheetViews>
  <sheetFormatPr defaultColWidth="8.6640625" defaultRowHeight="14.4"/>
  <cols>
    <col min="1" max="1" width="15.88671875"/>
    <col min="2" max="5" width="9.5546875"/>
    <col min="6" max="6" width="6.5546875"/>
    <col min="7" max="20" width="9.5546875"/>
    <col min="21" max="21" width="5.5546875"/>
    <col min="22" max="38" width="9.44140625"/>
    <col min="39" max="39" width="12.88671875"/>
    <col min="40" max="56" width="9.44140625"/>
    <col min="57" max="57" width="12.88671875"/>
    <col min="58" max="58" width="5.5546875"/>
  </cols>
  <sheetData>
    <row r="1" spans="2:12">
      <c r="L1" t="s">
        <v>903</v>
      </c>
    </row>
    <row r="5" spans="2:12">
      <c r="B5" s="1"/>
      <c r="C5" s="1"/>
      <c r="D5" s="1"/>
      <c r="E5" s="1"/>
      <c r="F5" s="1"/>
    </row>
    <row r="6" spans="2:12">
      <c r="B6" s="1"/>
      <c r="C6" s="1"/>
      <c r="D6" s="1"/>
      <c r="E6" s="1"/>
      <c r="F6" s="1"/>
    </row>
    <row r="7" spans="2:12">
      <c r="B7" s="1"/>
      <c r="C7" s="1"/>
      <c r="D7" s="1"/>
      <c r="E7" s="1"/>
      <c r="F7" s="1"/>
    </row>
    <row r="8" spans="2:12">
      <c r="B8" s="1"/>
      <c r="C8" s="1"/>
      <c r="D8" s="1"/>
      <c r="E8" s="1"/>
      <c r="F8" s="1"/>
    </row>
    <row r="9" spans="2:12">
      <c r="B9" s="1"/>
      <c r="C9" s="1"/>
      <c r="D9" s="1"/>
      <c r="E9" s="1"/>
      <c r="F9" s="1"/>
    </row>
    <row r="10" spans="2:12">
      <c r="B10" s="1"/>
      <c r="C10" s="1"/>
      <c r="D10" s="1"/>
      <c r="E10" s="1"/>
      <c r="F10" s="1"/>
    </row>
    <row r="11" spans="2:12">
      <c r="B11" s="1"/>
      <c r="C11" s="1"/>
      <c r="D11" s="1"/>
      <c r="E11" s="1"/>
      <c r="F11" s="1"/>
    </row>
    <row r="12" spans="2:12">
      <c r="B12" s="1"/>
      <c r="C12" s="1"/>
      <c r="D12" s="1"/>
      <c r="E12" s="1"/>
      <c r="F12" s="1"/>
    </row>
    <row r="13" spans="2:12">
      <c r="B13" s="1"/>
      <c r="C13" s="1"/>
      <c r="D13" s="1"/>
      <c r="E13" s="1"/>
      <c r="F13" s="1"/>
    </row>
    <row r="14" spans="2:12">
      <c r="B14" s="1"/>
      <c r="C14" s="1"/>
      <c r="D14" s="1"/>
      <c r="E14" s="1"/>
      <c r="F14" s="1"/>
    </row>
    <row r="15" spans="2:12">
      <c r="B15" s="1"/>
      <c r="C15" s="1"/>
      <c r="D15" s="1"/>
      <c r="E15" s="1"/>
      <c r="F15" s="1"/>
    </row>
    <row r="16" spans="2:12">
      <c r="B16" s="1"/>
      <c r="C16" s="1"/>
      <c r="D16" s="1"/>
      <c r="E16" s="1"/>
      <c r="F16" s="1"/>
    </row>
    <row r="17" spans="2:6">
      <c r="B17" s="1"/>
      <c r="C17" s="1"/>
      <c r="D17" s="1"/>
      <c r="E17" s="1"/>
      <c r="F17" s="1"/>
    </row>
    <row r="18" spans="2:6">
      <c r="B18" s="1"/>
      <c r="C18" s="1"/>
      <c r="D18" s="1"/>
      <c r="E18" s="1"/>
      <c r="F18" s="1"/>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B32F-FCE8-46E3-9F68-F125444D5474}">
  <dimension ref="A1:BR528"/>
  <sheetViews>
    <sheetView topLeftCell="A33" workbookViewId="0">
      <selection activeCell="F47" sqref="F47"/>
    </sheetView>
  </sheetViews>
  <sheetFormatPr defaultRowHeight="14.4"/>
  <cols>
    <col min="1" max="1" width="19.44140625" style="7" customWidth="1"/>
    <col min="2" max="2" width="11.21875" style="7" bestFit="1" customWidth="1"/>
    <col min="3" max="4" width="7" style="7" bestFit="1" customWidth="1"/>
    <col min="5" max="5" width="5" style="7" bestFit="1" customWidth="1"/>
    <col min="6" max="8" width="7" style="7" bestFit="1" customWidth="1"/>
    <col min="9" max="9" width="9.6640625" style="7" bestFit="1" customWidth="1"/>
    <col min="10" max="12" width="7" style="7" bestFit="1" customWidth="1"/>
    <col min="13" max="13" width="9.6640625" style="7" bestFit="1" customWidth="1"/>
    <col min="14" max="14" width="9" style="7" bestFit="1" customWidth="1"/>
    <col min="15" max="16" width="7" style="7" bestFit="1" customWidth="1"/>
    <col min="17" max="17" width="11.6640625" style="7" bestFit="1" customWidth="1"/>
    <col min="18" max="18" width="9" style="7" bestFit="1" customWidth="1"/>
    <col min="19" max="20" width="7" style="7" bestFit="1" customWidth="1"/>
    <col min="21" max="21" width="11.6640625" style="7" bestFit="1" customWidth="1"/>
    <col min="22" max="24" width="7" style="7" bestFit="1" customWidth="1"/>
    <col min="25" max="25" width="9.6640625" style="7" bestFit="1" customWidth="1"/>
    <col min="26" max="28" width="7" style="7" bestFit="1" customWidth="1"/>
    <col min="29" max="29" width="9.6640625" style="7" bestFit="1" customWidth="1"/>
    <col min="30" max="32" width="7" style="7" bestFit="1" customWidth="1"/>
    <col min="33" max="33" width="9.6640625" style="7" bestFit="1" customWidth="1"/>
    <col min="34" max="36" width="7" style="7" bestFit="1" customWidth="1"/>
    <col min="37" max="37" width="9.6640625" style="7" bestFit="1" customWidth="1"/>
    <col min="38" max="40" width="7" style="7" bestFit="1" customWidth="1"/>
    <col min="41" max="41" width="9.6640625" style="7" bestFit="1" customWidth="1"/>
    <col min="42" max="44" width="7" style="7" bestFit="1" customWidth="1"/>
    <col min="45" max="45" width="9.6640625" style="7" bestFit="1" customWidth="1"/>
    <col min="46" max="46" width="9" style="7" bestFit="1" customWidth="1"/>
    <col min="47" max="48" width="7" style="7" bestFit="1" customWidth="1"/>
    <col min="49" max="49" width="11.6640625" style="7" bestFit="1" customWidth="1"/>
    <col min="50" max="52" width="7" style="7" bestFit="1" customWidth="1"/>
    <col min="53" max="53" width="9.6640625" style="7" bestFit="1" customWidth="1"/>
    <col min="54" max="56" width="7" style="7" bestFit="1" customWidth="1"/>
    <col min="57" max="57" width="9.6640625" style="7" bestFit="1" customWidth="1"/>
    <col min="58" max="58" width="9" style="7" bestFit="1" customWidth="1"/>
    <col min="59" max="60" width="7" style="7" bestFit="1" customWidth="1"/>
    <col min="61" max="61" width="11.6640625" style="7" bestFit="1" customWidth="1"/>
    <col min="62" max="64" width="7" style="7" bestFit="1" customWidth="1"/>
    <col min="65" max="65" width="9.6640625" style="7" bestFit="1" customWidth="1"/>
    <col min="66" max="68" width="7" style="7" bestFit="1" customWidth="1"/>
    <col min="69" max="69" width="9.6640625" style="7" bestFit="1" customWidth="1"/>
    <col min="70" max="70" width="5" style="7" bestFit="1" customWidth="1"/>
    <col min="71" max="16384" width="8.88671875" style="7"/>
  </cols>
  <sheetData>
    <row r="1" spans="1:2">
      <c r="A1" s="60" t="s">
        <v>80</v>
      </c>
      <c r="B1" s="7" t="s">
        <v>928</v>
      </c>
    </row>
    <row r="2" spans="1:2">
      <c r="A2" s="7" t="s">
        <v>866</v>
      </c>
      <c r="B2" s="61">
        <v>557</v>
      </c>
    </row>
    <row r="3" spans="1:2">
      <c r="A3" s="7" t="s">
        <v>867</v>
      </c>
      <c r="B3" s="61">
        <v>408</v>
      </c>
    </row>
    <row r="4" spans="1:2">
      <c r="A4" s="7" t="s">
        <v>868</v>
      </c>
      <c r="B4" s="61">
        <v>462</v>
      </c>
    </row>
    <row r="5" spans="1:2">
      <c r="A5" s="7" t="s">
        <v>869</v>
      </c>
      <c r="B5" s="61">
        <v>388</v>
      </c>
    </row>
    <row r="6" spans="1:2">
      <c r="A6" s="7" t="s">
        <v>870</v>
      </c>
      <c r="B6" s="61">
        <v>217</v>
      </c>
    </row>
    <row r="7" spans="1:2">
      <c r="A7" s="7" t="s">
        <v>871</v>
      </c>
      <c r="B7" s="61">
        <v>237</v>
      </c>
    </row>
    <row r="8" spans="1:2">
      <c r="A8" s="7" t="s">
        <v>929</v>
      </c>
      <c r="B8" s="61">
        <v>204</v>
      </c>
    </row>
    <row r="9" spans="1:2">
      <c r="A9" s="7" t="s">
        <v>930</v>
      </c>
      <c r="B9" s="61">
        <v>115</v>
      </c>
    </row>
    <row r="10" spans="1:2">
      <c r="A10" s="7" t="s">
        <v>931</v>
      </c>
      <c r="B10" s="61">
        <v>295</v>
      </c>
    </row>
    <row r="11" spans="1:2">
      <c r="A11" s="7" t="s">
        <v>932</v>
      </c>
      <c r="B11" s="61">
        <v>410</v>
      </c>
    </row>
    <row r="12" spans="1:2">
      <c r="A12" s="7" t="s">
        <v>933</v>
      </c>
      <c r="B12" s="61">
        <v>171</v>
      </c>
    </row>
    <row r="13" spans="1:2">
      <c r="A13" s="7" t="s">
        <v>934</v>
      </c>
      <c r="B13" s="61">
        <v>318</v>
      </c>
    </row>
    <row r="14" spans="1:2">
      <c r="A14" s="7" t="s">
        <v>927</v>
      </c>
      <c r="B14" s="61">
        <v>3782</v>
      </c>
    </row>
    <row r="18" spans="1:5">
      <c r="A18" s="60" t="s">
        <v>936</v>
      </c>
      <c r="B18" s="60" t="s">
        <v>82</v>
      </c>
    </row>
    <row r="19" spans="1:5">
      <c r="A19" s="60" t="s">
        <v>80</v>
      </c>
      <c r="B19" s="7" t="s">
        <v>94</v>
      </c>
      <c r="C19" s="7" t="s">
        <v>114</v>
      </c>
      <c r="D19" s="7" t="s">
        <v>98</v>
      </c>
      <c r="E19" s="7" t="s">
        <v>927</v>
      </c>
    </row>
    <row r="20" spans="1:5">
      <c r="A20" s="7" t="s">
        <v>866</v>
      </c>
      <c r="B20" s="62">
        <v>3.4042553191489362</v>
      </c>
      <c r="C20" s="62">
        <v>3.9047619047619047</v>
      </c>
      <c r="D20" s="62">
        <v>3.9375</v>
      </c>
      <c r="E20" s="62">
        <v>3.7635135135135136</v>
      </c>
    </row>
    <row r="21" spans="1:5">
      <c r="A21" s="7" t="s">
        <v>867</v>
      </c>
      <c r="B21" s="62">
        <v>3.4545454545454546</v>
      </c>
      <c r="C21" s="62">
        <v>4</v>
      </c>
      <c r="D21" s="62">
        <v>3.44</v>
      </c>
      <c r="E21" s="62">
        <v>3.4871794871794872</v>
      </c>
    </row>
    <row r="22" spans="1:5">
      <c r="A22" s="7" t="s">
        <v>868</v>
      </c>
      <c r="B22" s="62">
        <v>4.4705882352941178</v>
      </c>
      <c r="C22" s="62">
        <v>4.75</v>
      </c>
      <c r="D22" s="62">
        <v>3.6440677966101696</v>
      </c>
      <c r="E22" s="62">
        <v>4.0884955752212386</v>
      </c>
    </row>
    <row r="23" spans="1:5">
      <c r="A23" s="7" t="s">
        <v>869</v>
      </c>
      <c r="B23" s="62">
        <v>4.0909090909090908</v>
      </c>
      <c r="C23" s="62">
        <v>3.3846153846153846</v>
      </c>
      <c r="D23" s="62">
        <v>3.9285714285714284</v>
      </c>
      <c r="E23" s="62">
        <v>3.8415841584158414</v>
      </c>
    </row>
    <row r="24" spans="1:5">
      <c r="A24" s="7" t="s">
        <v>870</v>
      </c>
      <c r="B24" s="62">
        <v>4.4800000000000004</v>
      </c>
      <c r="C24" s="62">
        <v>2.6</v>
      </c>
      <c r="D24" s="62">
        <v>4</v>
      </c>
      <c r="E24" s="62">
        <v>4.0943396226415096</v>
      </c>
    </row>
    <row r="25" spans="1:5">
      <c r="A25" s="7" t="s">
        <v>871</v>
      </c>
      <c r="B25" s="62">
        <v>3.8095238095238093</v>
      </c>
      <c r="C25" s="62">
        <v>5.2</v>
      </c>
      <c r="D25" s="62">
        <v>3.4473684210526314</v>
      </c>
      <c r="E25" s="62">
        <v>3.703125</v>
      </c>
    </row>
    <row r="26" spans="1:5">
      <c r="A26" s="7" t="s">
        <v>929</v>
      </c>
      <c r="B26" s="62">
        <v>4.1724137931034484</v>
      </c>
      <c r="C26" s="62">
        <v>5</v>
      </c>
      <c r="D26" s="62">
        <v>3.5789473684210527</v>
      </c>
      <c r="E26" s="62">
        <v>4</v>
      </c>
    </row>
    <row r="27" spans="1:5">
      <c r="A27" s="7" t="s">
        <v>930</v>
      </c>
      <c r="B27" s="62">
        <v>4.166666666666667</v>
      </c>
      <c r="C27" s="62">
        <v>2.4</v>
      </c>
      <c r="D27" s="62">
        <v>3.7857142857142856</v>
      </c>
      <c r="E27" s="62">
        <v>3.7096774193548385</v>
      </c>
    </row>
    <row r="28" spans="1:5">
      <c r="A28" s="7" t="s">
        <v>931</v>
      </c>
      <c r="B28" s="62">
        <v>4.75</v>
      </c>
      <c r="C28" s="62">
        <v>3.5555555555555554</v>
      </c>
      <c r="D28" s="62">
        <v>3.2941176470588234</v>
      </c>
      <c r="E28" s="62">
        <v>3.6875</v>
      </c>
    </row>
    <row r="29" spans="1:5">
      <c r="A29" s="7" t="s">
        <v>932</v>
      </c>
      <c r="B29" s="62">
        <v>3.7560975609756095</v>
      </c>
      <c r="C29" s="62">
        <v>4.2</v>
      </c>
      <c r="D29" s="62">
        <v>3.6153846153846154</v>
      </c>
      <c r="E29" s="62">
        <v>3.6936936936936937</v>
      </c>
    </row>
    <row r="30" spans="1:5">
      <c r="A30" s="7" t="s">
        <v>933</v>
      </c>
      <c r="B30" s="62">
        <v>3.375</v>
      </c>
      <c r="C30" s="62">
        <v>6.333333333333333</v>
      </c>
      <c r="D30" s="62">
        <v>3.7619047619047619</v>
      </c>
      <c r="E30" s="62">
        <v>3.9767441860465116</v>
      </c>
    </row>
    <row r="31" spans="1:5">
      <c r="A31" s="7" t="s">
        <v>934</v>
      </c>
      <c r="B31" s="62">
        <v>3.28125</v>
      </c>
      <c r="C31" s="62">
        <v>4.75</v>
      </c>
      <c r="D31" s="62">
        <v>3.8043478260869565</v>
      </c>
      <c r="E31" s="62">
        <v>3.6976744186046511</v>
      </c>
    </row>
    <row r="32" spans="1:5">
      <c r="A32" s="7" t="s">
        <v>927</v>
      </c>
      <c r="B32" s="62">
        <v>3.8833819241982508</v>
      </c>
      <c r="C32" s="62">
        <v>4.0655737704918034</v>
      </c>
      <c r="D32" s="62">
        <v>3.6660412757973733</v>
      </c>
      <c r="E32" s="62">
        <v>3.7895791583166334</v>
      </c>
    </row>
    <row r="34" spans="1:70">
      <c r="A34"/>
      <c r="B34"/>
    </row>
    <row r="36" spans="1:70">
      <c r="A36" s="40" t="s">
        <v>937</v>
      </c>
      <c r="B36" s="40" t="s">
        <v>80</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row>
    <row r="37" spans="1:70">
      <c r="A37" s="40" t="s">
        <v>935</v>
      </c>
      <c r="B37" t="s">
        <v>938</v>
      </c>
      <c r="C37" t="s">
        <v>939</v>
      </c>
      <c r="D37" t="s">
        <v>940</v>
      </c>
      <c r="E37" t="s">
        <v>927</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row>
    <row r="38" spans="1:70">
      <c r="A38" s="41" t="s">
        <v>94</v>
      </c>
      <c r="B38" s="59">
        <v>469</v>
      </c>
      <c r="C38" s="59">
        <v>429</v>
      </c>
      <c r="D38" s="59">
        <v>434</v>
      </c>
      <c r="E38" s="59">
        <v>1332</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row>
    <row r="39" spans="1:70">
      <c r="A39" s="41" t="s">
        <v>114</v>
      </c>
      <c r="B39" s="59">
        <v>115</v>
      </c>
      <c r="C39" s="59">
        <v>260</v>
      </c>
      <c r="D39" s="59">
        <v>121</v>
      </c>
      <c r="E39" s="59">
        <v>496</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row>
    <row r="40" spans="1:70">
      <c r="A40" s="41" t="s">
        <v>98</v>
      </c>
      <c r="B40" s="59">
        <v>743</v>
      </c>
      <c r="C40" s="59">
        <v>613</v>
      </c>
      <c r="D40" s="59">
        <v>598</v>
      </c>
      <c r="E40" s="59">
        <v>1954</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row>
    <row r="41" spans="1:70">
      <c r="A41" s="63" t="s">
        <v>130</v>
      </c>
      <c r="B41" s="59">
        <v>11</v>
      </c>
      <c r="C41" s="59">
        <v>21</v>
      </c>
      <c r="D41" s="59">
        <v>22</v>
      </c>
      <c r="E41" s="59">
        <v>54</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row>
    <row r="42" spans="1:70">
      <c r="A42" s="63" t="s">
        <v>100</v>
      </c>
      <c r="B42" s="59">
        <v>54</v>
      </c>
      <c r="C42" s="59">
        <v>31</v>
      </c>
      <c r="D42" s="59">
        <v>38</v>
      </c>
      <c r="E42" s="59">
        <v>123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row>
    <row r="43" spans="1:70">
      <c r="A43" s="63" t="s">
        <v>106</v>
      </c>
      <c r="B43" s="59">
        <v>55</v>
      </c>
      <c r="C43" s="59">
        <v>16</v>
      </c>
      <c r="D43" s="59">
        <v>39</v>
      </c>
      <c r="E43" s="59">
        <v>110</v>
      </c>
    </row>
    <row r="44" spans="1:70">
      <c r="A44" s="63" t="s">
        <v>118</v>
      </c>
      <c r="B44" s="59">
        <v>45</v>
      </c>
      <c r="C44" s="59">
        <v>24</v>
      </c>
      <c r="D44" s="59">
        <v>29</v>
      </c>
      <c r="E44" s="59">
        <v>98</v>
      </c>
    </row>
    <row r="45" spans="1:70">
      <c r="A45" s="63" t="s">
        <v>135</v>
      </c>
      <c r="B45" s="59">
        <v>49</v>
      </c>
      <c r="C45" s="59">
        <v>57</v>
      </c>
      <c r="D45" s="59">
        <v>39</v>
      </c>
      <c r="E45" s="59">
        <v>145</v>
      </c>
    </row>
    <row r="46" spans="1:70">
      <c r="A46" s="63" t="s">
        <v>125</v>
      </c>
      <c r="B46" s="59">
        <v>32</v>
      </c>
      <c r="C46" s="59">
        <v>41</v>
      </c>
      <c r="D46" s="59">
        <v>37</v>
      </c>
      <c r="E46" s="59">
        <v>110</v>
      </c>
    </row>
    <row r="47" spans="1:70">
      <c r="A47" s="63" t="s">
        <v>144</v>
      </c>
      <c r="B47" s="59">
        <v>5</v>
      </c>
      <c r="C47" s="59">
        <v>13</v>
      </c>
      <c r="D47" s="59">
        <v>10</v>
      </c>
      <c r="E47" s="59">
        <v>28</v>
      </c>
    </row>
    <row r="48" spans="1:70">
      <c r="A48" s="63" t="s">
        <v>110</v>
      </c>
      <c r="B48" s="59">
        <v>79</v>
      </c>
      <c r="C48" s="59">
        <v>53</v>
      </c>
      <c r="D48" s="59">
        <v>46</v>
      </c>
      <c r="E48" s="59">
        <v>178</v>
      </c>
    </row>
    <row r="49" spans="1:5">
      <c r="A49" s="63" t="s">
        <v>131</v>
      </c>
      <c r="B49" s="59">
        <v>43</v>
      </c>
      <c r="C49" s="59">
        <v>45</v>
      </c>
      <c r="D49" s="59">
        <v>39</v>
      </c>
      <c r="E49" s="59">
        <v>127</v>
      </c>
    </row>
    <row r="50" spans="1:5">
      <c r="A50" s="63" t="s">
        <v>96</v>
      </c>
      <c r="B50" s="59">
        <v>42</v>
      </c>
      <c r="C50" s="59">
        <v>36</v>
      </c>
      <c r="D50" s="59">
        <v>33</v>
      </c>
      <c r="E50" s="59">
        <v>111</v>
      </c>
    </row>
    <row r="51" spans="1:5">
      <c r="A51" s="63" t="s">
        <v>122</v>
      </c>
      <c r="B51" s="59">
        <v>61</v>
      </c>
      <c r="C51" s="59">
        <v>56</v>
      </c>
      <c r="D51" s="59">
        <v>46</v>
      </c>
      <c r="E51" s="59">
        <v>163</v>
      </c>
    </row>
    <row r="52" spans="1:5">
      <c r="A52" s="63" t="s">
        <v>112</v>
      </c>
      <c r="B52" s="59">
        <v>34</v>
      </c>
      <c r="C52" s="59">
        <v>39</v>
      </c>
      <c r="D52" s="59">
        <v>39</v>
      </c>
      <c r="E52" s="59">
        <v>112</v>
      </c>
    </row>
    <row r="53" spans="1:5">
      <c r="A53" s="63" t="s">
        <v>111</v>
      </c>
      <c r="B53" s="59">
        <v>85</v>
      </c>
      <c r="C53" s="59">
        <v>25</v>
      </c>
      <c r="D53" s="59">
        <v>37</v>
      </c>
      <c r="E53" s="59">
        <v>147</v>
      </c>
    </row>
    <row r="54" spans="1:5">
      <c r="A54" s="63" t="s">
        <v>141</v>
      </c>
      <c r="B54" s="59">
        <v>35</v>
      </c>
      <c r="C54" s="59">
        <v>26</v>
      </c>
      <c r="D54" s="59">
        <v>11</v>
      </c>
      <c r="E54" s="59">
        <v>72</v>
      </c>
    </row>
    <row r="55" spans="1:5">
      <c r="A55" s="63" t="s">
        <v>101</v>
      </c>
      <c r="B55" s="59">
        <v>57</v>
      </c>
      <c r="C55" s="59">
        <v>65</v>
      </c>
      <c r="D55" s="59">
        <v>44</v>
      </c>
      <c r="E55" s="59">
        <v>166</v>
      </c>
    </row>
    <row r="56" spans="1:5">
      <c r="A56" s="63" t="s">
        <v>109</v>
      </c>
      <c r="B56" s="59">
        <v>29</v>
      </c>
      <c r="C56" s="59">
        <v>18</v>
      </c>
      <c r="D56" s="59">
        <v>26</v>
      </c>
      <c r="E56" s="59">
        <v>73</v>
      </c>
    </row>
    <row r="57" spans="1:5">
      <c r="A57" s="63" t="s">
        <v>121</v>
      </c>
      <c r="B57" s="59">
        <v>27</v>
      </c>
      <c r="C57" s="59">
        <v>47</v>
      </c>
      <c r="D57" s="59">
        <v>63</v>
      </c>
      <c r="E57" s="59">
        <v>137</v>
      </c>
    </row>
    <row r="58" spans="1:5">
      <c r="A58" s="41" t="s">
        <v>927</v>
      </c>
      <c r="B58" s="59">
        <v>1327</v>
      </c>
      <c r="C58" s="59">
        <v>1302</v>
      </c>
      <c r="D58" s="59">
        <v>1153</v>
      </c>
      <c r="E58" s="59">
        <v>3782</v>
      </c>
    </row>
    <row r="59" spans="1:5">
      <c r="A59"/>
      <c r="B59"/>
      <c r="C59"/>
      <c r="D59"/>
      <c r="E59"/>
    </row>
    <row r="60" spans="1:5">
      <c r="A60"/>
      <c r="B60"/>
      <c r="C60"/>
      <c r="D60"/>
      <c r="E60"/>
    </row>
    <row r="61" spans="1:5">
      <c r="A61"/>
      <c r="B61"/>
      <c r="C61"/>
      <c r="D61"/>
      <c r="E61"/>
    </row>
    <row r="62" spans="1:5">
      <c r="A62"/>
      <c r="B62"/>
      <c r="C62"/>
      <c r="D62"/>
      <c r="E62"/>
    </row>
    <row r="63" spans="1:5">
      <c r="A63"/>
      <c r="B63"/>
      <c r="C63"/>
      <c r="D63"/>
      <c r="E63"/>
    </row>
    <row r="64" spans="1:5">
      <c r="A64"/>
      <c r="B64"/>
      <c r="C64"/>
      <c r="D64"/>
      <c r="E64"/>
    </row>
    <row r="65" spans="1:5">
      <c r="A65"/>
      <c r="B65"/>
      <c r="C65"/>
      <c r="D65"/>
      <c r="E65"/>
    </row>
    <row r="66" spans="1:5">
      <c r="A66"/>
      <c r="B66"/>
      <c r="C66"/>
      <c r="D66"/>
      <c r="E66"/>
    </row>
    <row r="67" spans="1:5">
      <c r="A67"/>
      <c r="B67"/>
      <c r="C67"/>
      <c r="D67"/>
      <c r="E67"/>
    </row>
    <row r="68" spans="1:5">
      <c r="A68"/>
      <c r="B68"/>
      <c r="C68"/>
      <c r="D68"/>
      <c r="E68"/>
    </row>
    <row r="69" spans="1:5">
      <c r="A69"/>
      <c r="B69"/>
      <c r="C69"/>
      <c r="D69"/>
      <c r="E69"/>
    </row>
    <row r="70" spans="1:5">
      <c r="A70"/>
      <c r="B70"/>
      <c r="C70"/>
      <c r="D70"/>
      <c r="E70"/>
    </row>
    <row r="71" spans="1:5">
      <c r="A71"/>
      <c r="B71"/>
      <c r="C71"/>
      <c r="D71"/>
      <c r="E71"/>
    </row>
    <row r="72" spans="1:5">
      <c r="A72"/>
      <c r="B72"/>
      <c r="C72"/>
      <c r="D72"/>
      <c r="E72"/>
    </row>
    <row r="73" spans="1:5">
      <c r="A73"/>
      <c r="B73"/>
      <c r="C73"/>
      <c r="D73"/>
      <c r="E73"/>
    </row>
    <row r="74" spans="1:5">
      <c r="A74"/>
      <c r="B74"/>
      <c r="C74"/>
      <c r="D74"/>
      <c r="E74"/>
    </row>
    <row r="75" spans="1:5">
      <c r="A75"/>
      <c r="B75"/>
      <c r="C75"/>
      <c r="D75"/>
      <c r="E75"/>
    </row>
    <row r="76" spans="1:5">
      <c r="A76"/>
      <c r="B76"/>
      <c r="C76"/>
      <c r="D76"/>
      <c r="E76"/>
    </row>
    <row r="77" spans="1:5">
      <c r="A77"/>
      <c r="B77"/>
      <c r="C77"/>
      <c r="D77"/>
      <c r="E77"/>
    </row>
    <row r="78" spans="1:5">
      <c r="A78"/>
      <c r="B78"/>
      <c r="C78"/>
      <c r="D78"/>
      <c r="E78"/>
    </row>
    <row r="79" spans="1:5">
      <c r="A79"/>
      <c r="B79"/>
      <c r="C79"/>
      <c r="D79"/>
      <c r="E79"/>
    </row>
    <row r="80" spans="1:5">
      <c r="A80"/>
      <c r="B80"/>
      <c r="C80"/>
      <c r="D80"/>
      <c r="E80"/>
    </row>
    <row r="81" spans="1:5">
      <c r="A81"/>
      <c r="B81"/>
      <c r="C81"/>
      <c r="D81"/>
      <c r="E81"/>
    </row>
    <row r="82" spans="1:5">
      <c r="A82"/>
      <c r="B82"/>
      <c r="C82"/>
      <c r="D82"/>
      <c r="E82"/>
    </row>
    <row r="83" spans="1:5">
      <c r="A83"/>
      <c r="B83"/>
      <c r="C83"/>
      <c r="D83"/>
      <c r="E83"/>
    </row>
    <row r="84" spans="1:5">
      <c r="A84"/>
      <c r="B84"/>
      <c r="C84"/>
      <c r="D84"/>
      <c r="E84"/>
    </row>
    <row r="85" spans="1:5">
      <c r="A85"/>
      <c r="B85"/>
      <c r="C85"/>
      <c r="D85"/>
      <c r="E85"/>
    </row>
    <row r="86" spans="1:5">
      <c r="A86"/>
      <c r="B86"/>
      <c r="C86"/>
      <c r="D86"/>
      <c r="E86"/>
    </row>
    <row r="87" spans="1:5">
      <c r="A87"/>
      <c r="B87"/>
      <c r="C87"/>
      <c r="D87"/>
      <c r="E87"/>
    </row>
    <row r="88" spans="1:5">
      <c r="A88"/>
      <c r="B88"/>
      <c r="C88"/>
      <c r="D88"/>
      <c r="E88"/>
    </row>
    <row r="89" spans="1:5">
      <c r="A89"/>
      <c r="B89"/>
      <c r="C89"/>
      <c r="D89"/>
      <c r="E89"/>
    </row>
    <row r="90" spans="1:5">
      <c r="A90"/>
      <c r="B90"/>
      <c r="C90"/>
      <c r="D90"/>
      <c r="E90"/>
    </row>
    <row r="91" spans="1:5">
      <c r="A91"/>
      <c r="B91"/>
      <c r="C91"/>
      <c r="D91"/>
      <c r="E91"/>
    </row>
    <row r="92" spans="1:5">
      <c r="A92"/>
      <c r="B92"/>
      <c r="C92"/>
      <c r="D92"/>
      <c r="E92"/>
    </row>
    <row r="93" spans="1:5">
      <c r="A93"/>
      <c r="B93"/>
      <c r="C93"/>
      <c r="D93"/>
      <c r="E93"/>
    </row>
    <row r="94" spans="1:5">
      <c r="A94"/>
      <c r="B94"/>
      <c r="C94"/>
      <c r="D94"/>
      <c r="E94"/>
    </row>
    <row r="95" spans="1:5">
      <c r="A95"/>
      <c r="B95"/>
      <c r="C95"/>
      <c r="D95"/>
      <c r="E95"/>
    </row>
    <row r="96" spans="1:5">
      <c r="A96"/>
      <c r="B96"/>
      <c r="C96"/>
      <c r="D96"/>
      <c r="E96"/>
    </row>
    <row r="97" spans="1:5">
      <c r="A97"/>
      <c r="B97"/>
      <c r="C97"/>
      <c r="D97"/>
      <c r="E97"/>
    </row>
    <row r="98" spans="1:5">
      <c r="A98"/>
      <c r="B98"/>
      <c r="C98"/>
      <c r="D98"/>
      <c r="E98"/>
    </row>
    <row r="99" spans="1:5">
      <c r="A99"/>
      <c r="B99"/>
      <c r="C99"/>
      <c r="D99"/>
      <c r="E99"/>
    </row>
    <row r="100" spans="1:5">
      <c r="A100"/>
      <c r="B100"/>
      <c r="C100"/>
      <c r="D100"/>
      <c r="E100"/>
    </row>
    <row r="101" spans="1:5">
      <c r="A101"/>
      <c r="B101"/>
      <c r="C101"/>
      <c r="D101"/>
      <c r="E101"/>
    </row>
    <row r="102" spans="1:5">
      <c r="A102"/>
      <c r="B102"/>
      <c r="C102"/>
      <c r="D102"/>
      <c r="E102"/>
    </row>
    <row r="103" spans="1:5">
      <c r="A103"/>
      <c r="B103"/>
      <c r="C103"/>
      <c r="D103"/>
      <c r="E103"/>
    </row>
    <row r="104" spans="1:5">
      <c r="A104"/>
      <c r="B104"/>
      <c r="C104"/>
      <c r="D104"/>
      <c r="E104"/>
    </row>
    <row r="105" spans="1:5">
      <c r="A105"/>
      <c r="B105"/>
      <c r="C105"/>
      <c r="D105"/>
      <c r="E105"/>
    </row>
    <row r="106" spans="1:5">
      <c r="A106"/>
      <c r="B106"/>
      <c r="C106"/>
      <c r="D106"/>
      <c r="E106"/>
    </row>
    <row r="107" spans="1:5">
      <c r="A107"/>
      <c r="B107"/>
      <c r="C107"/>
      <c r="D107"/>
      <c r="E107"/>
    </row>
    <row r="108" spans="1:5">
      <c r="A108"/>
      <c r="B108"/>
      <c r="C108"/>
      <c r="D108"/>
      <c r="E108"/>
    </row>
    <row r="109" spans="1:5">
      <c r="A109"/>
      <c r="B109"/>
      <c r="C109"/>
      <c r="D109"/>
      <c r="E109"/>
    </row>
    <row r="110" spans="1:5">
      <c r="A110"/>
      <c r="B110"/>
      <c r="C110"/>
      <c r="D110"/>
      <c r="E110"/>
    </row>
    <row r="111" spans="1:5">
      <c r="A111"/>
      <c r="B111"/>
      <c r="C111"/>
      <c r="D111"/>
      <c r="E111"/>
    </row>
    <row r="112" spans="1:5">
      <c r="A112"/>
      <c r="B112"/>
      <c r="C112"/>
      <c r="D112"/>
      <c r="E112"/>
    </row>
    <row r="113" spans="1:5">
      <c r="A113"/>
      <c r="B113"/>
      <c r="C113"/>
      <c r="D113"/>
      <c r="E113"/>
    </row>
    <row r="114" spans="1:5">
      <c r="A114"/>
      <c r="B114"/>
      <c r="C114"/>
      <c r="D114"/>
      <c r="E114"/>
    </row>
    <row r="115" spans="1:5">
      <c r="A115"/>
      <c r="B115"/>
      <c r="C115"/>
      <c r="D115"/>
      <c r="E115"/>
    </row>
    <row r="116" spans="1:5">
      <c r="A116"/>
      <c r="B116"/>
      <c r="C116"/>
      <c r="D116"/>
      <c r="E116"/>
    </row>
    <row r="117" spans="1:5">
      <c r="A117"/>
      <c r="B117"/>
      <c r="C117"/>
      <c r="D117"/>
      <c r="E117"/>
    </row>
    <row r="118" spans="1:5">
      <c r="A118"/>
      <c r="B118"/>
      <c r="C118"/>
      <c r="D118"/>
      <c r="E118"/>
    </row>
    <row r="119" spans="1:5">
      <c r="A119"/>
      <c r="B119"/>
      <c r="C119"/>
      <c r="D119"/>
      <c r="E119"/>
    </row>
    <row r="120" spans="1:5">
      <c r="A120"/>
      <c r="B120"/>
      <c r="C120"/>
      <c r="D120"/>
      <c r="E120"/>
    </row>
    <row r="121" spans="1:5">
      <c r="A121"/>
      <c r="B121"/>
      <c r="C121"/>
      <c r="D121"/>
      <c r="E121"/>
    </row>
    <row r="122" spans="1:5">
      <c r="A122"/>
      <c r="B122"/>
      <c r="C122"/>
      <c r="D122"/>
      <c r="E122"/>
    </row>
    <row r="123" spans="1:5">
      <c r="A123"/>
      <c r="B123"/>
      <c r="C123"/>
      <c r="D123"/>
      <c r="E123"/>
    </row>
    <row r="124" spans="1:5">
      <c r="A124"/>
      <c r="B124"/>
      <c r="C124"/>
      <c r="D124"/>
      <c r="E124"/>
    </row>
    <row r="125" spans="1:5">
      <c r="A125"/>
      <c r="B125"/>
      <c r="C125"/>
      <c r="D125"/>
      <c r="E125"/>
    </row>
    <row r="126" spans="1:5">
      <c r="A126"/>
      <c r="B126"/>
      <c r="C126"/>
      <c r="D126"/>
      <c r="E126"/>
    </row>
    <row r="127" spans="1:5">
      <c r="A127"/>
      <c r="B127"/>
      <c r="C127"/>
      <c r="D127"/>
      <c r="E127"/>
    </row>
    <row r="128" spans="1:5">
      <c r="A128"/>
      <c r="B128"/>
      <c r="C128"/>
      <c r="D128"/>
      <c r="E128"/>
    </row>
    <row r="129" spans="1:5">
      <c r="A129"/>
      <c r="B129"/>
      <c r="C129"/>
      <c r="D129"/>
      <c r="E129"/>
    </row>
    <row r="130" spans="1:5">
      <c r="A130"/>
      <c r="B130"/>
      <c r="C130"/>
      <c r="D130"/>
      <c r="E130"/>
    </row>
    <row r="131" spans="1:5">
      <c r="A131"/>
      <c r="B131"/>
      <c r="C131"/>
      <c r="D131"/>
      <c r="E131"/>
    </row>
    <row r="132" spans="1:5">
      <c r="A132"/>
      <c r="B132"/>
      <c r="C132"/>
      <c r="D132"/>
      <c r="E132"/>
    </row>
    <row r="133" spans="1:5">
      <c r="A133"/>
      <c r="B133"/>
      <c r="C133"/>
      <c r="D133"/>
      <c r="E133"/>
    </row>
    <row r="134" spans="1:5">
      <c r="A134"/>
      <c r="B134"/>
      <c r="C134"/>
      <c r="D134"/>
      <c r="E134"/>
    </row>
    <row r="135" spans="1:5">
      <c r="A135"/>
      <c r="B135"/>
      <c r="C135"/>
      <c r="D135"/>
      <c r="E135"/>
    </row>
    <row r="136" spans="1:5">
      <c r="A136"/>
      <c r="B136"/>
      <c r="C136"/>
      <c r="D136"/>
      <c r="E136"/>
    </row>
    <row r="137" spans="1:5">
      <c r="A137"/>
      <c r="B137"/>
      <c r="C137"/>
      <c r="D137"/>
      <c r="E137"/>
    </row>
    <row r="138" spans="1:5">
      <c r="A138"/>
      <c r="B138"/>
      <c r="C138"/>
      <c r="D138"/>
      <c r="E138"/>
    </row>
    <row r="139" spans="1:5">
      <c r="A139"/>
      <c r="B139"/>
      <c r="C139"/>
      <c r="D139"/>
      <c r="E139"/>
    </row>
    <row r="140" spans="1:5">
      <c r="A140"/>
      <c r="B140"/>
      <c r="C140"/>
      <c r="D140"/>
      <c r="E140"/>
    </row>
    <row r="141" spans="1:5">
      <c r="A141"/>
      <c r="B141"/>
      <c r="C141"/>
      <c r="D141"/>
      <c r="E141"/>
    </row>
    <row r="142" spans="1:5">
      <c r="A142"/>
      <c r="B142"/>
      <c r="C142"/>
      <c r="D142"/>
      <c r="E142"/>
    </row>
    <row r="143" spans="1:5">
      <c r="A143"/>
      <c r="B143"/>
      <c r="C143"/>
      <c r="D143"/>
      <c r="E143"/>
    </row>
    <row r="144" spans="1:5">
      <c r="A144"/>
      <c r="B144"/>
      <c r="C144"/>
      <c r="D144"/>
      <c r="E144"/>
    </row>
    <row r="145" spans="1:5">
      <c r="A145"/>
      <c r="B145"/>
      <c r="C145"/>
      <c r="D145"/>
      <c r="E145"/>
    </row>
    <row r="146" spans="1:5">
      <c r="A146"/>
      <c r="B146"/>
      <c r="C146"/>
      <c r="D146"/>
      <c r="E146"/>
    </row>
    <row r="147" spans="1:5">
      <c r="A147"/>
      <c r="B147"/>
      <c r="C147"/>
      <c r="D147"/>
      <c r="E147"/>
    </row>
    <row r="148" spans="1:5">
      <c r="A148"/>
      <c r="B148"/>
      <c r="C148"/>
      <c r="D148"/>
      <c r="E148"/>
    </row>
    <row r="149" spans="1:5">
      <c r="A149"/>
      <c r="B149"/>
      <c r="C149"/>
      <c r="D149"/>
      <c r="E149"/>
    </row>
    <row r="150" spans="1:5">
      <c r="A150"/>
      <c r="B150"/>
      <c r="C150"/>
      <c r="D150"/>
      <c r="E150"/>
    </row>
    <row r="151" spans="1:5">
      <c r="A151"/>
      <c r="B151"/>
      <c r="C151"/>
      <c r="D151"/>
      <c r="E151"/>
    </row>
    <row r="152" spans="1:5">
      <c r="A152"/>
      <c r="B152"/>
      <c r="C152"/>
      <c r="D152"/>
      <c r="E152"/>
    </row>
    <row r="153" spans="1:5">
      <c r="A153"/>
      <c r="B153"/>
      <c r="C153"/>
      <c r="D153"/>
      <c r="E153"/>
    </row>
    <row r="154" spans="1:5">
      <c r="A154"/>
      <c r="B154"/>
      <c r="C154"/>
      <c r="D154"/>
      <c r="E154"/>
    </row>
    <row r="155" spans="1:5">
      <c r="A155"/>
      <c r="B155"/>
      <c r="C155"/>
      <c r="D155"/>
      <c r="E155"/>
    </row>
    <row r="156" spans="1:5">
      <c r="A156"/>
      <c r="B156"/>
      <c r="C156"/>
      <c r="D156"/>
      <c r="E156"/>
    </row>
    <row r="157" spans="1:5">
      <c r="A157"/>
      <c r="B157"/>
      <c r="C157"/>
      <c r="D157"/>
      <c r="E157"/>
    </row>
    <row r="158" spans="1:5">
      <c r="A158"/>
      <c r="B158"/>
      <c r="C158"/>
      <c r="D158"/>
      <c r="E158"/>
    </row>
    <row r="159" spans="1:5">
      <c r="A159"/>
      <c r="B159"/>
      <c r="C159"/>
      <c r="D159"/>
      <c r="E159"/>
    </row>
    <row r="160" spans="1:5">
      <c r="A160"/>
      <c r="B160"/>
      <c r="C160"/>
      <c r="D160"/>
      <c r="E160"/>
    </row>
    <row r="161" spans="1:5">
      <c r="A161"/>
      <c r="B161"/>
      <c r="C161"/>
      <c r="D161"/>
      <c r="E161"/>
    </row>
    <row r="162" spans="1:5">
      <c r="A162"/>
      <c r="B162"/>
      <c r="C162"/>
      <c r="D162"/>
      <c r="E162"/>
    </row>
    <row r="163" spans="1:5">
      <c r="A163"/>
      <c r="B163"/>
      <c r="C163"/>
      <c r="D163"/>
      <c r="E163"/>
    </row>
    <row r="164" spans="1:5">
      <c r="A164"/>
      <c r="B164"/>
      <c r="C164"/>
      <c r="D164"/>
      <c r="E164"/>
    </row>
    <row r="165" spans="1:5">
      <c r="A165"/>
      <c r="B165"/>
      <c r="C165"/>
      <c r="D165"/>
      <c r="E165"/>
    </row>
    <row r="166" spans="1:5">
      <c r="A166"/>
      <c r="B166"/>
      <c r="C166"/>
      <c r="D166"/>
      <c r="E166"/>
    </row>
    <row r="167" spans="1:5">
      <c r="A167"/>
      <c r="B167"/>
      <c r="C167"/>
      <c r="D167"/>
      <c r="E167"/>
    </row>
    <row r="168" spans="1:5">
      <c r="A168"/>
      <c r="B168"/>
      <c r="C168"/>
      <c r="D168"/>
      <c r="E168"/>
    </row>
    <row r="169" spans="1:5">
      <c r="A169"/>
      <c r="B169"/>
      <c r="C169"/>
      <c r="D169"/>
      <c r="E169"/>
    </row>
    <row r="170" spans="1:5">
      <c r="A170"/>
      <c r="B170"/>
      <c r="C170"/>
      <c r="D170"/>
      <c r="E170"/>
    </row>
    <row r="171" spans="1:5">
      <c r="A171"/>
      <c r="B171"/>
      <c r="C171"/>
      <c r="D171"/>
      <c r="E171"/>
    </row>
    <row r="172" spans="1:5">
      <c r="A172"/>
      <c r="B172"/>
      <c r="C172"/>
      <c r="D172"/>
      <c r="E172"/>
    </row>
    <row r="173" spans="1:5">
      <c r="A173"/>
      <c r="B173"/>
      <c r="C173"/>
      <c r="D173"/>
      <c r="E173"/>
    </row>
    <row r="174" spans="1:5">
      <c r="A174"/>
      <c r="B174"/>
      <c r="C174"/>
      <c r="D174"/>
      <c r="E174"/>
    </row>
    <row r="175" spans="1:5">
      <c r="A175"/>
      <c r="B175"/>
      <c r="C175"/>
      <c r="D175"/>
      <c r="E175"/>
    </row>
    <row r="176" spans="1:5">
      <c r="A176"/>
      <c r="B176"/>
      <c r="C176"/>
      <c r="D176"/>
      <c r="E176"/>
    </row>
    <row r="177" spans="1:5">
      <c r="A177"/>
      <c r="B177"/>
      <c r="C177"/>
      <c r="D177"/>
      <c r="E177"/>
    </row>
    <row r="178" spans="1:5">
      <c r="A178"/>
      <c r="B178"/>
      <c r="C178"/>
      <c r="D178"/>
      <c r="E178"/>
    </row>
    <row r="179" spans="1:5">
      <c r="A179"/>
      <c r="B179"/>
      <c r="C179"/>
      <c r="D179"/>
      <c r="E179"/>
    </row>
    <row r="180" spans="1:5">
      <c r="A180"/>
      <c r="B180"/>
      <c r="C180"/>
      <c r="D180"/>
      <c r="E180"/>
    </row>
    <row r="181" spans="1:5">
      <c r="A181"/>
      <c r="B181"/>
      <c r="C181"/>
      <c r="D181"/>
      <c r="E181"/>
    </row>
    <row r="182" spans="1:5">
      <c r="A182"/>
      <c r="B182"/>
      <c r="C182"/>
      <c r="D182"/>
      <c r="E182"/>
    </row>
    <row r="183" spans="1:5">
      <c r="A183"/>
      <c r="B183"/>
      <c r="C183"/>
      <c r="D183"/>
      <c r="E183"/>
    </row>
    <row r="184" spans="1:5">
      <c r="A184"/>
      <c r="B184"/>
      <c r="C184"/>
      <c r="D184"/>
      <c r="E184"/>
    </row>
    <row r="185" spans="1:5">
      <c r="A185"/>
      <c r="B185"/>
      <c r="C185"/>
      <c r="D185"/>
      <c r="E185"/>
    </row>
    <row r="186" spans="1:5">
      <c r="A186"/>
      <c r="B186"/>
      <c r="C186"/>
      <c r="D186"/>
      <c r="E186"/>
    </row>
    <row r="187" spans="1:5">
      <c r="A187"/>
      <c r="B187"/>
      <c r="C187"/>
      <c r="D187"/>
      <c r="E187"/>
    </row>
    <row r="188" spans="1:5">
      <c r="A188"/>
      <c r="B188"/>
      <c r="C188"/>
      <c r="D188"/>
      <c r="E188"/>
    </row>
    <row r="189" spans="1:5">
      <c r="A189"/>
      <c r="B189"/>
      <c r="C189"/>
      <c r="D189"/>
      <c r="E189"/>
    </row>
    <row r="190" spans="1:5">
      <c r="A190"/>
      <c r="B190"/>
      <c r="C190"/>
      <c r="D190"/>
      <c r="E190"/>
    </row>
    <row r="191" spans="1:5">
      <c r="A191"/>
      <c r="B191"/>
      <c r="C191"/>
      <c r="D191"/>
      <c r="E191"/>
    </row>
    <row r="192" spans="1:5">
      <c r="A192"/>
      <c r="B192"/>
      <c r="C192"/>
      <c r="D192"/>
      <c r="E192"/>
    </row>
    <row r="193" spans="1:5">
      <c r="A193"/>
      <c r="B193"/>
      <c r="C193"/>
      <c r="D193"/>
      <c r="E193"/>
    </row>
    <row r="194" spans="1:5">
      <c r="A194"/>
      <c r="B194"/>
      <c r="C194"/>
      <c r="D194"/>
      <c r="E194"/>
    </row>
    <row r="195" spans="1:5">
      <c r="A195"/>
      <c r="B195"/>
      <c r="C195"/>
      <c r="D195"/>
      <c r="E195"/>
    </row>
    <row r="196" spans="1:5">
      <c r="A196"/>
      <c r="B196"/>
      <c r="C196"/>
      <c r="D196"/>
      <c r="E196"/>
    </row>
    <row r="197" spans="1:5">
      <c r="A197"/>
      <c r="B197"/>
      <c r="C197"/>
      <c r="D197"/>
      <c r="E197"/>
    </row>
    <row r="198" spans="1:5">
      <c r="A198"/>
      <c r="B198"/>
      <c r="C198"/>
      <c r="D198"/>
      <c r="E198"/>
    </row>
    <row r="199" spans="1:5">
      <c r="A199"/>
      <c r="B199"/>
      <c r="C199"/>
      <c r="D199"/>
      <c r="E199"/>
    </row>
    <row r="200" spans="1:5">
      <c r="A200"/>
      <c r="B200"/>
      <c r="C200"/>
      <c r="D200"/>
      <c r="E200"/>
    </row>
    <row r="201" spans="1:5">
      <c r="A201"/>
      <c r="B201"/>
      <c r="C201"/>
      <c r="D201"/>
      <c r="E201"/>
    </row>
    <row r="202" spans="1:5">
      <c r="A202"/>
      <c r="B202"/>
      <c r="C202"/>
      <c r="D202"/>
      <c r="E202"/>
    </row>
    <row r="203" spans="1:5">
      <c r="A203"/>
      <c r="B203"/>
      <c r="C203"/>
      <c r="D203"/>
      <c r="E203"/>
    </row>
    <row r="204" spans="1:5">
      <c r="A204"/>
      <c r="B204"/>
      <c r="C204"/>
      <c r="D204"/>
      <c r="E204"/>
    </row>
    <row r="205" spans="1:5">
      <c r="A205"/>
      <c r="B205"/>
      <c r="C205"/>
      <c r="D205"/>
      <c r="E205"/>
    </row>
    <row r="206" spans="1:5">
      <c r="A206"/>
      <c r="B206"/>
      <c r="C206"/>
      <c r="D206"/>
      <c r="E206"/>
    </row>
    <row r="207" spans="1:5">
      <c r="A207"/>
      <c r="B207"/>
      <c r="C207"/>
      <c r="D207"/>
      <c r="E207"/>
    </row>
    <row r="208" spans="1:5">
      <c r="A208"/>
      <c r="B208"/>
      <c r="C208"/>
      <c r="D208"/>
      <c r="E208"/>
    </row>
    <row r="209" spans="1:5">
      <c r="A209"/>
      <c r="B209"/>
      <c r="C209"/>
      <c r="D209"/>
      <c r="E209"/>
    </row>
    <row r="210" spans="1:5">
      <c r="A210"/>
      <c r="B210"/>
      <c r="C210"/>
      <c r="D210"/>
      <c r="E210"/>
    </row>
    <row r="211" spans="1:5">
      <c r="A211"/>
      <c r="B211"/>
      <c r="C211"/>
      <c r="D211"/>
      <c r="E211"/>
    </row>
    <row r="212" spans="1:5">
      <c r="A212"/>
      <c r="B212"/>
      <c r="C212"/>
      <c r="D212"/>
      <c r="E212"/>
    </row>
    <row r="213" spans="1:5">
      <c r="A213"/>
      <c r="B213"/>
      <c r="C213"/>
      <c r="D213"/>
      <c r="E213"/>
    </row>
    <row r="214" spans="1:5">
      <c r="A214"/>
      <c r="B214"/>
      <c r="C214"/>
      <c r="D214"/>
      <c r="E214"/>
    </row>
    <row r="215" spans="1:5">
      <c r="A215"/>
      <c r="B215"/>
      <c r="C215"/>
      <c r="D215"/>
      <c r="E215"/>
    </row>
    <row r="216" spans="1:5">
      <c r="A216"/>
      <c r="B216"/>
      <c r="C216"/>
      <c r="D216"/>
      <c r="E216"/>
    </row>
    <row r="217" spans="1:5">
      <c r="A217"/>
      <c r="B217"/>
      <c r="C217"/>
      <c r="D217"/>
      <c r="E217"/>
    </row>
    <row r="218" spans="1:5">
      <c r="A218"/>
      <c r="B218"/>
      <c r="C218"/>
      <c r="D218"/>
      <c r="E218"/>
    </row>
    <row r="219" spans="1:5">
      <c r="A219"/>
      <c r="B219"/>
      <c r="C219"/>
      <c r="D219"/>
      <c r="E219"/>
    </row>
    <row r="220" spans="1:5">
      <c r="A220"/>
      <c r="B220"/>
      <c r="C220"/>
      <c r="D220"/>
      <c r="E220"/>
    </row>
    <row r="221" spans="1:5">
      <c r="A221"/>
      <c r="B221"/>
      <c r="C221"/>
      <c r="D221"/>
      <c r="E221"/>
    </row>
    <row r="222" spans="1:5">
      <c r="A222"/>
      <c r="B222"/>
      <c r="C222"/>
      <c r="D222"/>
      <c r="E222"/>
    </row>
    <row r="223" spans="1:5">
      <c r="A223"/>
      <c r="B223"/>
      <c r="C223"/>
      <c r="D223"/>
      <c r="E223"/>
    </row>
    <row r="224" spans="1:5">
      <c r="A224"/>
      <c r="B224"/>
      <c r="C224"/>
      <c r="D224"/>
      <c r="E224"/>
    </row>
    <row r="225" spans="1:5">
      <c r="A225"/>
      <c r="B225"/>
      <c r="C225"/>
      <c r="D225"/>
      <c r="E225"/>
    </row>
    <row r="226" spans="1:5">
      <c r="A226"/>
      <c r="B226"/>
      <c r="C226"/>
      <c r="D226"/>
      <c r="E226"/>
    </row>
    <row r="227" spans="1:5">
      <c r="A227"/>
      <c r="B227"/>
      <c r="C227"/>
      <c r="D227"/>
      <c r="E227"/>
    </row>
    <row r="228" spans="1:5">
      <c r="A228"/>
      <c r="B228"/>
      <c r="C228"/>
      <c r="D228"/>
      <c r="E228"/>
    </row>
    <row r="229" spans="1:5">
      <c r="A229"/>
      <c r="B229"/>
      <c r="C229"/>
      <c r="D229"/>
      <c r="E229"/>
    </row>
    <row r="230" spans="1:5">
      <c r="A230"/>
      <c r="B230"/>
      <c r="C230"/>
      <c r="D230"/>
      <c r="E230"/>
    </row>
    <row r="231" spans="1:5">
      <c r="A231"/>
      <c r="B231"/>
      <c r="C231"/>
      <c r="D231"/>
      <c r="E231"/>
    </row>
    <row r="232" spans="1:5">
      <c r="A232"/>
      <c r="B232"/>
      <c r="C232"/>
      <c r="D232"/>
      <c r="E232"/>
    </row>
    <row r="233" spans="1:5">
      <c r="A233"/>
      <c r="B233"/>
      <c r="C233"/>
      <c r="D233"/>
      <c r="E233"/>
    </row>
    <row r="234" spans="1:5">
      <c r="A234"/>
      <c r="B234"/>
      <c r="C234"/>
      <c r="D234"/>
      <c r="E234"/>
    </row>
    <row r="235" spans="1:5">
      <c r="A235"/>
      <c r="B235"/>
      <c r="C235"/>
      <c r="D235"/>
      <c r="E235"/>
    </row>
    <row r="236" spans="1:5">
      <c r="A236"/>
      <c r="B236"/>
      <c r="C236"/>
      <c r="D236"/>
      <c r="E236"/>
    </row>
    <row r="237" spans="1:5">
      <c r="A237"/>
      <c r="B237"/>
      <c r="C237"/>
      <c r="D237"/>
      <c r="E237"/>
    </row>
    <row r="238" spans="1:5">
      <c r="A238"/>
      <c r="B238"/>
      <c r="C238"/>
      <c r="D238"/>
      <c r="E238"/>
    </row>
    <row r="239" spans="1:5">
      <c r="A239"/>
      <c r="B239"/>
      <c r="C239"/>
      <c r="D239"/>
      <c r="E239"/>
    </row>
    <row r="240" spans="1:5">
      <c r="A240"/>
      <c r="B240"/>
      <c r="C240"/>
      <c r="D240"/>
      <c r="E240"/>
    </row>
    <row r="241" spans="1:5">
      <c r="A241"/>
      <c r="B241"/>
      <c r="C241"/>
      <c r="D241"/>
      <c r="E241"/>
    </row>
    <row r="242" spans="1:5">
      <c r="A242"/>
      <c r="B242"/>
      <c r="C242"/>
      <c r="D242"/>
      <c r="E242"/>
    </row>
    <row r="243" spans="1:5">
      <c r="A243"/>
      <c r="B243"/>
      <c r="C243"/>
      <c r="D243"/>
      <c r="E243"/>
    </row>
    <row r="244" spans="1:5">
      <c r="A244"/>
      <c r="B244"/>
      <c r="C244"/>
      <c r="D244"/>
      <c r="E244"/>
    </row>
    <row r="245" spans="1:5">
      <c r="A245"/>
      <c r="B245"/>
      <c r="C245"/>
      <c r="D245"/>
      <c r="E245"/>
    </row>
    <row r="246" spans="1:5">
      <c r="A246"/>
      <c r="B246"/>
      <c r="C246"/>
      <c r="D246"/>
      <c r="E246"/>
    </row>
    <row r="247" spans="1:5">
      <c r="A247"/>
      <c r="B247"/>
      <c r="C247"/>
      <c r="D247"/>
      <c r="E247"/>
    </row>
    <row r="248" spans="1:5">
      <c r="A248"/>
      <c r="B248"/>
      <c r="C248"/>
      <c r="D248"/>
      <c r="E248"/>
    </row>
    <row r="249" spans="1:5">
      <c r="A249"/>
      <c r="B249"/>
      <c r="C249"/>
      <c r="D249"/>
      <c r="E249"/>
    </row>
    <row r="250" spans="1:5">
      <c r="A250"/>
      <c r="B250"/>
      <c r="C250"/>
      <c r="D250"/>
      <c r="E250"/>
    </row>
    <row r="251" spans="1:5">
      <c r="A251"/>
      <c r="B251"/>
      <c r="C251"/>
      <c r="D251"/>
      <c r="E251"/>
    </row>
    <row r="252" spans="1:5">
      <c r="A252"/>
      <c r="B252"/>
      <c r="C252"/>
      <c r="D252"/>
      <c r="E252"/>
    </row>
    <row r="253" spans="1:5">
      <c r="A253"/>
      <c r="B253"/>
      <c r="C253"/>
      <c r="D253"/>
      <c r="E253"/>
    </row>
    <row r="254" spans="1:5">
      <c r="A254"/>
      <c r="B254"/>
      <c r="C254"/>
      <c r="D254"/>
      <c r="E254"/>
    </row>
    <row r="255" spans="1:5">
      <c r="A255"/>
      <c r="B255"/>
      <c r="C255"/>
      <c r="D255"/>
      <c r="E255"/>
    </row>
    <row r="256" spans="1:5">
      <c r="A256"/>
      <c r="B256"/>
      <c r="C256"/>
      <c r="D256"/>
      <c r="E256"/>
    </row>
    <row r="257" spans="1:5">
      <c r="A257"/>
      <c r="B257"/>
      <c r="C257"/>
      <c r="D257"/>
      <c r="E257"/>
    </row>
    <row r="258" spans="1:5">
      <c r="A258"/>
      <c r="B258"/>
      <c r="C258"/>
      <c r="D258"/>
      <c r="E258"/>
    </row>
    <row r="259" spans="1:5">
      <c r="A259"/>
      <c r="B259"/>
      <c r="C259"/>
      <c r="D259"/>
      <c r="E259"/>
    </row>
    <row r="260" spans="1:5">
      <c r="A260"/>
      <c r="B260"/>
      <c r="C260"/>
      <c r="D260"/>
      <c r="E260"/>
    </row>
    <row r="261" spans="1:5">
      <c r="A261"/>
      <c r="B261"/>
      <c r="C261"/>
      <c r="D261"/>
      <c r="E261"/>
    </row>
    <row r="262" spans="1:5">
      <c r="A262"/>
      <c r="B262"/>
      <c r="C262"/>
      <c r="D262"/>
      <c r="E262"/>
    </row>
    <row r="263" spans="1:5">
      <c r="A263"/>
      <c r="B263"/>
      <c r="C263"/>
      <c r="D263"/>
      <c r="E263"/>
    </row>
    <row r="264" spans="1:5">
      <c r="A264"/>
      <c r="B264"/>
      <c r="C264"/>
      <c r="D264"/>
      <c r="E264"/>
    </row>
    <row r="265" spans="1:5">
      <c r="A265"/>
      <c r="B265"/>
      <c r="C265"/>
      <c r="D265"/>
      <c r="E265"/>
    </row>
    <row r="266" spans="1:5">
      <c r="A266"/>
      <c r="B266"/>
      <c r="C266"/>
      <c r="D266"/>
      <c r="E266"/>
    </row>
    <row r="267" spans="1:5">
      <c r="A267"/>
      <c r="B267"/>
      <c r="C267"/>
      <c r="D267"/>
      <c r="E267"/>
    </row>
    <row r="268" spans="1:5">
      <c r="A268"/>
      <c r="B268"/>
      <c r="C268"/>
      <c r="D268"/>
      <c r="E268"/>
    </row>
    <row r="269" spans="1:5">
      <c r="A269"/>
      <c r="B269"/>
      <c r="C269"/>
      <c r="D269"/>
      <c r="E269"/>
    </row>
    <row r="270" spans="1:5">
      <c r="A270"/>
      <c r="B270"/>
      <c r="C270"/>
      <c r="D270"/>
      <c r="E270"/>
    </row>
    <row r="271" spans="1:5">
      <c r="A271"/>
      <c r="B271"/>
      <c r="C271"/>
      <c r="D271"/>
      <c r="E271"/>
    </row>
    <row r="272" spans="1:5">
      <c r="A272"/>
      <c r="B272"/>
      <c r="C272"/>
      <c r="D272"/>
      <c r="E272"/>
    </row>
    <row r="273" spans="1:5">
      <c r="A273"/>
      <c r="B273"/>
      <c r="C273"/>
      <c r="D273"/>
      <c r="E273"/>
    </row>
    <row r="274" spans="1:5">
      <c r="A274"/>
      <c r="B274"/>
      <c r="C274"/>
      <c r="D274"/>
      <c r="E274"/>
    </row>
    <row r="275" spans="1:5">
      <c r="A275"/>
      <c r="B275"/>
      <c r="C275"/>
      <c r="D275"/>
      <c r="E275"/>
    </row>
    <row r="276" spans="1:5">
      <c r="A276"/>
      <c r="B276"/>
      <c r="C276"/>
      <c r="D276"/>
      <c r="E276"/>
    </row>
    <row r="277" spans="1:5">
      <c r="A277"/>
      <c r="B277"/>
      <c r="C277"/>
      <c r="D277"/>
      <c r="E277"/>
    </row>
    <row r="278" spans="1:5">
      <c r="A278"/>
      <c r="B278"/>
      <c r="C278"/>
      <c r="D278"/>
      <c r="E278"/>
    </row>
    <row r="279" spans="1:5">
      <c r="A279"/>
      <c r="B279"/>
      <c r="C279"/>
      <c r="D279"/>
      <c r="E279"/>
    </row>
    <row r="280" spans="1:5">
      <c r="A280"/>
      <c r="B280"/>
      <c r="C280"/>
      <c r="D280"/>
      <c r="E280"/>
    </row>
    <row r="281" spans="1:5">
      <c r="A281"/>
      <c r="B281"/>
      <c r="C281"/>
      <c r="D281"/>
      <c r="E281"/>
    </row>
    <row r="282" spans="1:5">
      <c r="A282"/>
      <c r="B282"/>
      <c r="C282"/>
      <c r="D282"/>
      <c r="E282"/>
    </row>
    <row r="283" spans="1:5">
      <c r="A283"/>
      <c r="B283"/>
      <c r="C283"/>
      <c r="D283"/>
      <c r="E283"/>
    </row>
    <row r="284" spans="1:5">
      <c r="A284"/>
      <c r="B284"/>
      <c r="C284"/>
      <c r="D284"/>
      <c r="E284"/>
    </row>
    <row r="285" spans="1:5">
      <c r="A285"/>
      <c r="B285"/>
      <c r="C285"/>
      <c r="D285"/>
      <c r="E285"/>
    </row>
    <row r="286" spans="1:5">
      <c r="A286"/>
      <c r="B286"/>
      <c r="C286"/>
      <c r="D286"/>
      <c r="E286"/>
    </row>
    <row r="287" spans="1:5">
      <c r="A287"/>
      <c r="B287"/>
      <c r="C287"/>
      <c r="D287"/>
      <c r="E287"/>
    </row>
    <row r="288" spans="1:5">
      <c r="A288"/>
      <c r="B288"/>
      <c r="C288"/>
      <c r="D288"/>
      <c r="E288"/>
    </row>
    <row r="289" spans="1:5">
      <c r="A289"/>
      <c r="B289"/>
      <c r="C289"/>
      <c r="D289"/>
      <c r="E289"/>
    </row>
    <row r="290" spans="1:5">
      <c r="A290"/>
      <c r="B290"/>
      <c r="C290"/>
      <c r="D290"/>
      <c r="E290"/>
    </row>
    <row r="291" spans="1:5">
      <c r="A291"/>
      <c r="B291"/>
      <c r="C291"/>
      <c r="D291"/>
      <c r="E291"/>
    </row>
    <row r="292" spans="1:5">
      <c r="A292"/>
      <c r="B292"/>
      <c r="C292"/>
      <c r="D292"/>
      <c r="E292"/>
    </row>
    <row r="293" spans="1:5">
      <c r="A293"/>
      <c r="B293"/>
      <c r="C293"/>
      <c r="D293"/>
      <c r="E293"/>
    </row>
    <row r="294" spans="1:5">
      <c r="A294"/>
      <c r="B294"/>
      <c r="C294"/>
      <c r="D294"/>
      <c r="E294"/>
    </row>
    <row r="295" spans="1:5">
      <c r="A295"/>
      <c r="B295"/>
      <c r="C295"/>
      <c r="D295"/>
      <c r="E295"/>
    </row>
    <row r="296" spans="1:5">
      <c r="A296"/>
      <c r="B296"/>
      <c r="C296"/>
      <c r="D296"/>
      <c r="E296"/>
    </row>
    <row r="297" spans="1:5">
      <c r="A297"/>
      <c r="B297"/>
      <c r="C297"/>
      <c r="D297"/>
      <c r="E297"/>
    </row>
    <row r="298" spans="1:5">
      <c r="A298"/>
      <c r="B298"/>
      <c r="C298"/>
      <c r="D298"/>
      <c r="E298"/>
    </row>
    <row r="299" spans="1:5">
      <c r="A299"/>
      <c r="B299"/>
      <c r="C299"/>
      <c r="D299"/>
      <c r="E299"/>
    </row>
    <row r="300" spans="1:5">
      <c r="A300"/>
      <c r="B300"/>
      <c r="C300"/>
      <c r="D300"/>
      <c r="E300"/>
    </row>
    <row r="301" spans="1:5">
      <c r="A301"/>
      <c r="B301"/>
      <c r="C301"/>
      <c r="D301"/>
      <c r="E301"/>
    </row>
    <row r="302" spans="1:5">
      <c r="A302"/>
      <c r="B302"/>
      <c r="C302"/>
      <c r="D302"/>
      <c r="E302"/>
    </row>
    <row r="303" spans="1:5">
      <c r="A303"/>
      <c r="B303"/>
      <c r="C303"/>
      <c r="D303"/>
      <c r="E303"/>
    </row>
    <row r="304" spans="1:5">
      <c r="A304"/>
      <c r="B304"/>
      <c r="C304"/>
      <c r="D304"/>
      <c r="E304"/>
    </row>
    <row r="305" spans="1:5">
      <c r="A305"/>
      <c r="B305"/>
      <c r="C305"/>
      <c r="D305"/>
      <c r="E305"/>
    </row>
    <row r="306" spans="1:5">
      <c r="A306"/>
      <c r="B306"/>
      <c r="C306"/>
      <c r="D306"/>
      <c r="E306"/>
    </row>
    <row r="307" spans="1:5">
      <c r="A307"/>
      <c r="B307"/>
      <c r="C307"/>
      <c r="D307"/>
      <c r="E307"/>
    </row>
    <row r="308" spans="1:5">
      <c r="A308"/>
      <c r="B308"/>
      <c r="C308"/>
      <c r="D308"/>
      <c r="E308"/>
    </row>
    <row r="309" spans="1:5">
      <c r="A309"/>
      <c r="B309"/>
      <c r="C309"/>
      <c r="D309"/>
      <c r="E309"/>
    </row>
    <row r="310" spans="1:5">
      <c r="A310"/>
      <c r="B310"/>
      <c r="C310"/>
      <c r="D310"/>
      <c r="E310"/>
    </row>
    <row r="311" spans="1:5">
      <c r="A311"/>
      <c r="B311"/>
      <c r="C311"/>
      <c r="D311"/>
      <c r="E311"/>
    </row>
    <row r="312" spans="1:5">
      <c r="A312"/>
      <c r="B312"/>
      <c r="C312"/>
      <c r="D312"/>
      <c r="E312"/>
    </row>
    <row r="313" spans="1:5">
      <c r="A313"/>
      <c r="B313"/>
      <c r="C313"/>
      <c r="D313"/>
      <c r="E313"/>
    </row>
    <row r="314" spans="1:5">
      <c r="A314"/>
      <c r="B314"/>
      <c r="C314"/>
      <c r="D314"/>
      <c r="E314"/>
    </row>
    <row r="315" spans="1:5">
      <c r="A315"/>
      <c r="B315"/>
      <c r="C315"/>
      <c r="D315"/>
      <c r="E315"/>
    </row>
    <row r="316" spans="1:5">
      <c r="A316"/>
      <c r="B316"/>
      <c r="C316"/>
      <c r="D316"/>
      <c r="E316"/>
    </row>
    <row r="317" spans="1:5">
      <c r="A317"/>
      <c r="B317"/>
      <c r="C317"/>
      <c r="D317"/>
      <c r="E317"/>
    </row>
    <row r="318" spans="1:5">
      <c r="A318"/>
      <c r="B318"/>
      <c r="C318"/>
      <c r="D318"/>
      <c r="E318"/>
    </row>
    <row r="319" spans="1:5">
      <c r="A319"/>
      <c r="B319"/>
      <c r="C319"/>
      <c r="D319"/>
      <c r="E319"/>
    </row>
    <row r="320" spans="1:5">
      <c r="A320"/>
      <c r="B320"/>
      <c r="C320"/>
      <c r="D320"/>
      <c r="E320"/>
    </row>
    <row r="321" spans="1:5">
      <c r="A321"/>
      <c r="B321"/>
      <c r="C321"/>
      <c r="D321"/>
      <c r="E321"/>
    </row>
    <row r="322" spans="1:5">
      <c r="A322"/>
      <c r="B322"/>
      <c r="C322"/>
      <c r="D322"/>
      <c r="E322"/>
    </row>
    <row r="323" spans="1:5">
      <c r="A323"/>
      <c r="B323"/>
      <c r="C323"/>
      <c r="D323"/>
      <c r="E323"/>
    </row>
    <row r="324" spans="1:5">
      <c r="A324"/>
      <c r="B324"/>
      <c r="C324"/>
      <c r="D324"/>
      <c r="E324"/>
    </row>
    <row r="325" spans="1:5">
      <c r="A325"/>
      <c r="B325"/>
      <c r="C325"/>
      <c r="D325"/>
      <c r="E325"/>
    </row>
    <row r="326" spans="1:5">
      <c r="A326"/>
      <c r="B326"/>
      <c r="C326"/>
      <c r="D326"/>
      <c r="E326"/>
    </row>
    <row r="327" spans="1:5">
      <c r="A327"/>
      <c r="B327"/>
      <c r="C327"/>
      <c r="D327"/>
      <c r="E327"/>
    </row>
    <row r="328" spans="1:5">
      <c r="A328"/>
      <c r="B328"/>
      <c r="C328"/>
      <c r="D328"/>
      <c r="E328"/>
    </row>
    <row r="329" spans="1:5">
      <c r="A329"/>
      <c r="B329"/>
      <c r="C329"/>
      <c r="D329"/>
      <c r="E329"/>
    </row>
    <row r="330" spans="1:5">
      <c r="A330"/>
      <c r="B330"/>
      <c r="C330"/>
      <c r="D330"/>
      <c r="E330"/>
    </row>
    <row r="331" spans="1:5">
      <c r="A331"/>
      <c r="B331"/>
      <c r="C331"/>
      <c r="D331"/>
      <c r="E331"/>
    </row>
    <row r="332" spans="1:5">
      <c r="A332"/>
      <c r="B332"/>
      <c r="C332"/>
      <c r="D332"/>
      <c r="E332"/>
    </row>
    <row r="333" spans="1:5">
      <c r="A333"/>
      <c r="B333"/>
      <c r="C333"/>
      <c r="D333"/>
      <c r="E333"/>
    </row>
    <row r="334" spans="1:5">
      <c r="A334"/>
      <c r="B334"/>
      <c r="C334"/>
      <c r="D334"/>
      <c r="E334"/>
    </row>
    <row r="335" spans="1:5">
      <c r="A335"/>
      <c r="B335"/>
      <c r="C335"/>
      <c r="D335"/>
      <c r="E335"/>
    </row>
    <row r="336" spans="1:5">
      <c r="A336"/>
      <c r="B336"/>
      <c r="C336"/>
      <c r="D336"/>
      <c r="E336"/>
    </row>
    <row r="337" spans="1:5">
      <c r="A337"/>
      <c r="B337"/>
      <c r="C337"/>
      <c r="D337"/>
      <c r="E337"/>
    </row>
    <row r="338" spans="1:5">
      <c r="A338"/>
      <c r="B338"/>
      <c r="C338"/>
      <c r="D338"/>
      <c r="E338"/>
    </row>
    <row r="339" spans="1:5">
      <c r="A339"/>
      <c r="B339"/>
      <c r="C339"/>
      <c r="D339"/>
      <c r="E339"/>
    </row>
    <row r="340" spans="1:5">
      <c r="A340"/>
      <c r="B340"/>
      <c r="C340"/>
      <c r="D340"/>
      <c r="E340"/>
    </row>
    <row r="341" spans="1:5">
      <c r="A341"/>
      <c r="B341"/>
      <c r="C341"/>
      <c r="D341"/>
      <c r="E341"/>
    </row>
    <row r="342" spans="1:5">
      <c r="A342"/>
      <c r="B342"/>
      <c r="C342"/>
      <c r="D342"/>
      <c r="E342"/>
    </row>
    <row r="343" spans="1:5">
      <c r="A343"/>
      <c r="B343"/>
      <c r="C343"/>
      <c r="D343"/>
      <c r="E343"/>
    </row>
    <row r="344" spans="1:5">
      <c r="A344"/>
      <c r="B344"/>
      <c r="C344"/>
      <c r="D344"/>
      <c r="E344"/>
    </row>
    <row r="345" spans="1:5">
      <c r="A345"/>
      <c r="B345"/>
      <c r="C345"/>
      <c r="D345"/>
      <c r="E345"/>
    </row>
    <row r="346" spans="1:5">
      <c r="A346"/>
      <c r="B346"/>
      <c r="C346"/>
      <c r="D346"/>
      <c r="E346"/>
    </row>
    <row r="347" spans="1:5">
      <c r="A347"/>
      <c r="B347"/>
      <c r="C347"/>
      <c r="D347"/>
      <c r="E347"/>
    </row>
    <row r="348" spans="1:5">
      <c r="A348"/>
      <c r="B348"/>
      <c r="C348"/>
      <c r="D348"/>
      <c r="E348"/>
    </row>
    <row r="349" spans="1:5">
      <c r="A349"/>
      <c r="B349"/>
      <c r="C349"/>
      <c r="D349"/>
      <c r="E349"/>
    </row>
    <row r="350" spans="1:5">
      <c r="A350"/>
      <c r="B350"/>
      <c r="C350"/>
      <c r="D350"/>
      <c r="E350"/>
    </row>
    <row r="351" spans="1:5">
      <c r="A351"/>
      <c r="B351"/>
      <c r="C351"/>
      <c r="D351"/>
      <c r="E351"/>
    </row>
    <row r="352" spans="1:5">
      <c r="A352"/>
      <c r="B352"/>
      <c r="C352"/>
      <c r="D352"/>
      <c r="E352"/>
    </row>
    <row r="353" spans="1:5">
      <c r="A353"/>
      <c r="B353"/>
      <c r="C353"/>
      <c r="D353"/>
      <c r="E353"/>
    </row>
    <row r="354" spans="1:5">
      <c r="A354"/>
      <c r="B354"/>
      <c r="C354"/>
      <c r="D354"/>
      <c r="E354"/>
    </row>
    <row r="355" spans="1:5">
      <c r="A355"/>
      <c r="B355"/>
      <c r="C355"/>
      <c r="D355"/>
      <c r="E355"/>
    </row>
    <row r="356" spans="1:5">
      <c r="A356"/>
      <c r="B356"/>
      <c r="C356"/>
      <c r="D356"/>
      <c r="E356"/>
    </row>
    <row r="357" spans="1:5">
      <c r="A357"/>
      <c r="B357"/>
      <c r="C357"/>
      <c r="D357"/>
      <c r="E357"/>
    </row>
    <row r="358" spans="1:5">
      <c r="A358"/>
      <c r="B358"/>
      <c r="C358"/>
      <c r="D358"/>
      <c r="E358"/>
    </row>
    <row r="359" spans="1:5">
      <c r="A359"/>
      <c r="B359"/>
      <c r="C359"/>
      <c r="D359"/>
      <c r="E359"/>
    </row>
    <row r="360" spans="1:5">
      <c r="A360"/>
      <c r="B360"/>
      <c r="C360"/>
      <c r="D360"/>
      <c r="E360"/>
    </row>
    <row r="361" spans="1:5">
      <c r="A361"/>
      <c r="B361"/>
      <c r="C361"/>
      <c r="D361"/>
      <c r="E361"/>
    </row>
    <row r="362" spans="1:5">
      <c r="A362"/>
      <c r="B362"/>
      <c r="C362"/>
      <c r="D362"/>
      <c r="E362"/>
    </row>
    <row r="363" spans="1:5">
      <c r="A363"/>
      <c r="B363"/>
      <c r="C363"/>
      <c r="D363"/>
      <c r="E363"/>
    </row>
    <row r="364" spans="1:5">
      <c r="A364"/>
      <c r="B364"/>
      <c r="C364"/>
      <c r="D364"/>
      <c r="E364"/>
    </row>
    <row r="365" spans="1:5">
      <c r="A365"/>
      <c r="B365"/>
      <c r="C365"/>
      <c r="D365"/>
      <c r="E365"/>
    </row>
    <row r="366" spans="1:5">
      <c r="A366"/>
      <c r="B366"/>
      <c r="C366"/>
      <c r="D366"/>
      <c r="E366"/>
    </row>
    <row r="367" spans="1:5">
      <c r="A367"/>
      <c r="B367"/>
      <c r="C367"/>
      <c r="D367"/>
      <c r="E367"/>
    </row>
    <row r="368" spans="1:5">
      <c r="A368"/>
      <c r="B368"/>
      <c r="C368"/>
      <c r="D368"/>
      <c r="E368"/>
    </row>
    <row r="369" spans="1:5">
      <c r="A369"/>
      <c r="B369"/>
      <c r="C369"/>
      <c r="D369"/>
      <c r="E369"/>
    </row>
    <row r="370" spans="1:5">
      <c r="A370"/>
      <c r="B370"/>
      <c r="C370"/>
      <c r="D370"/>
      <c r="E370"/>
    </row>
    <row r="371" spans="1:5">
      <c r="A371"/>
      <c r="B371"/>
      <c r="C371"/>
      <c r="D371"/>
      <c r="E371"/>
    </row>
    <row r="372" spans="1:5">
      <c r="A372"/>
      <c r="B372"/>
      <c r="C372"/>
      <c r="D372"/>
      <c r="E372"/>
    </row>
    <row r="373" spans="1:5">
      <c r="A373"/>
      <c r="B373"/>
      <c r="C373"/>
      <c r="D373"/>
      <c r="E373"/>
    </row>
    <row r="374" spans="1:5">
      <c r="A374"/>
      <c r="B374"/>
      <c r="C374"/>
      <c r="D374"/>
      <c r="E374"/>
    </row>
    <row r="375" spans="1:5">
      <c r="A375"/>
      <c r="B375"/>
      <c r="C375"/>
      <c r="D375"/>
      <c r="E375"/>
    </row>
    <row r="376" spans="1:5">
      <c r="A376"/>
      <c r="B376"/>
      <c r="C376"/>
      <c r="D376"/>
      <c r="E376"/>
    </row>
    <row r="377" spans="1:5">
      <c r="A377"/>
      <c r="B377"/>
      <c r="C377"/>
      <c r="D377"/>
      <c r="E377"/>
    </row>
    <row r="378" spans="1:5">
      <c r="A378"/>
      <c r="B378"/>
      <c r="C378"/>
      <c r="D378"/>
      <c r="E378"/>
    </row>
    <row r="379" spans="1:5">
      <c r="A379"/>
      <c r="B379"/>
      <c r="C379"/>
      <c r="D379"/>
      <c r="E379"/>
    </row>
    <row r="380" spans="1:5">
      <c r="A380"/>
      <c r="B380"/>
      <c r="C380"/>
      <c r="D380"/>
      <c r="E380"/>
    </row>
    <row r="381" spans="1:5">
      <c r="A381"/>
      <c r="B381"/>
      <c r="C381"/>
      <c r="D381"/>
      <c r="E381"/>
    </row>
    <row r="382" spans="1:5">
      <c r="A382"/>
      <c r="B382"/>
      <c r="C382"/>
      <c r="D382"/>
      <c r="E382"/>
    </row>
    <row r="383" spans="1:5">
      <c r="A383"/>
      <c r="B383"/>
      <c r="C383"/>
      <c r="D383"/>
      <c r="E383"/>
    </row>
    <row r="384" spans="1:5">
      <c r="A384"/>
      <c r="B384"/>
      <c r="C384"/>
      <c r="D384"/>
      <c r="E384"/>
    </row>
    <row r="385" spans="1:5">
      <c r="A385"/>
      <c r="B385"/>
      <c r="C385"/>
      <c r="D385"/>
      <c r="E385"/>
    </row>
    <row r="386" spans="1:5">
      <c r="A386"/>
      <c r="B386"/>
      <c r="C386"/>
      <c r="D386"/>
      <c r="E386"/>
    </row>
    <row r="387" spans="1:5">
      <c r="A387"/>
      <c r="B387"/>
      <c r="C387"/>
      <c r="D387"/>
      <c r="E387"/>
    </row>
    <row r="388" spans="1:5">
      <c r="A388"/>
      <c r="B388"/>
      <c r="C388"/>
      <c r="D388"/>
      <c r="E388"/>
    </row>
    <row r="389" spans="1:5">
      <c r="A389"/>
      <c r="B389"/>
      <c r="C389"/>
      <c r="D389"/>
      <c r="E389"/>
    </row>
    <row r="390" spans="1:5">
      <c r="A390"/>
      <c r="B390"/>
      <c r="C390"/>
      <c r="D390"/>
      <c r="E390"/>
    </row>
    <row r="391" spans="1:5">
      <c r="A391"/>
      <c r="B391"/>
      <c r="C391"/>
      <c r="D391"/>
      <c r="E391"/>
    </row>
    <row r="392" spans="1:5">
      <c r="A392"/>
      <c r="B392"/>
      <c r="C392"/>
      <c r="D392"/>
      <c r="E392"/>
    </row>
    <row r="393" spans="1:5">
      <c r="A393"/>
      <c r="B393"/>
      <c r="C393"/>
      <c r="D393"/>
      <c r="E393"/>
    </row>
    <row r="394" spans="1:5">
      <c r="A394"/>
      <c r="B394"/>
      <c r="C394"/>
      <c r="D394"/>
      <c r="E394"/>
    </row>
    <row r="395" spans="1:5">
      <c r="A395"/>
      <c r="B395"/>
      <c r="C395"/>
      <c r="D395"/>
      <c r="E395"/>
    </row>
    <row r="396" spans="1:5">
      <c r="A396"/>
      <c r="B396"/>
      <c r="C396"/>
      <c r="D396"/>
      <c r="E396"/>
    </row>
    <row r="397" spans="1:5">
      <c r="A397"/>
      <c r="B397"/>
      <c r="C397"/>
      <c r="D397"/>
      <c r="E397"/>
    </row>
    <row r="398" spans="1:5">
      <c r="A398"/>
      <c r="B398"/>
      <c r="C398"/>
      <c r="D398"/>
      <c r="E398"/>
    </row>
    <row r="399" spans="1:5">
      <c r="A399"/>
      <c r="B399"/>
      <c r="C399"/>
      <c r="D399"/>
      <c r="E399"/>
    </row>
    <row r="400" spans="1:5">
      <c r="A400"/>
      <c r="B400"/>
      <c r="C400"/>
      <c r="D400"/>
      <c r="E400"/>
    </row>
    <row r="401" spans="1:5">
      <c r="A401"/>
      <c r="B401"/>
      <c r="C401"/>
      <c r="D401"/>
      <c r="E401"/>
    </row>
    <row r="402" spans="1:5">
      <c r="A402"/>
      <c r="B402"/>
      <c r="C402"/>
      <c r="D402"/>
      <c r="E402"/>
    </row>
    <row r="403" spans="1:5">
      <c r="A403"/>
      <c r="B403"/>
      <c r="C403"/>
      <c r="D403"/>
      <c r="E403"/>
    </row>
    <row r="404" spans="1:5">
      <c r="A404"/>
      <c r="B404"/>
      <c r="C404"/>
      <c r="D404"/>
      <c r="E404"/>
    </row>
    <row r="405" spans="1:5">
      <c r="A405"/>
      <c r="B405"/>
      <c r="C405"/>
      <c r="D405"/>
      <c r="E405"/>
    </row>
    <row r="406" spans="1:5">
      <c r="A406"/>
      <c r="B406"/>
      <c r="C406"/>
      <c r="D406"/>
      <c r="E406"/>
    </row>
    <row r="407" spans="1:5">
      <c r="A407"/>
      <c r="B407"/>
      <c r="C407"/>
      <c r="D407"/>
      <c r="E407"/>
    </row>
    <row r="408" spans="1:5">
      <c r="A408"/>
      <c r="B408"/>
      <c r="C408"/>
      <c r="D408"/>
      <c r="E408"/>
    </row>
    <row r="409" spans="1:5">
      <c r="A409"/>
      <c r="B409"/>
      <c r="C409"/>
      <c r="D409"/>
      <c r="E409"/>
    </row>
    <row r="410" spans="1:5">
      <c r="A410"/>
      <c r="B410"/>
      <c r="C410"/>
      <c r="D410"/>
      <c r="E410"/>
    </row>
    <row r="411" spans="1:5">
      <c r="A411"/>
      <c r="B411"/>
      <c r="C411"/>
      <c r="D411"/>
      <c r="E411"/>
    </row>
    <row r="412" spans="1:5">
      <c r="A412"/>
      <c r="B412"/>
      <c r="C412"/>
      <c r="D412"/>
      <c r="E412"/>
    </row>
    <row r="413" spans="1:5">
      <c r="A413"/>
      <c r="B413"/>
      <c r="C413"/>
      <c r="D413"/>
      <c r="E413"/>
    </row>
    <row r="414" spans="1:5">
      <c r="A414"/>
      <c r="B414"/>
      <c r="C414"/>
      <c r="D414"/>
      <c r="E414"/>
    </row>
    <row r="415" spans="1:5">
      <c r="A415"/>
      <c r="B415"/>
      <c r="C415"/>
      <c r="D415"/>
      <c r="E415"/>
    </row>
    <row r="416" spans="1:5">
      <c r="A416"/>
      <c r="B416"/>
      <c r="C416"/>
      <c r="D416"/>
      <c r="E416"/>
    </row>
    <row r="417" spans="1:5">
      <c r="A417"/>
      <c r="B417"/>
      <c r="C417"/>
      <c r="D417"/>
      <c r="E417"/>
    </row>
    <row r="418" spans="1:5">
      <c r="A418"/>
      <c r="B418"/>
      <c r="C418"/>
      <c r="D418"/>
      <c r="E418"/>
    </row>
    <row r="419" spans="1:5">
      <c r="A419"/>
      <c r="B419"/>
      <c r="C419"/>
      <c r="D419"/>
      <c r="E419"/>
    </row>
    <row r="420" spans="1:5">
      <c r="A420"/>
      <c r="B420"/>
      <c r="C420"/>
      <c r="D420"/>
      <c r="E420"/>
    </row>
    <row r="421" spans="1:5">
      <c r="A421"/>
      <c r="B421"/>
      <c r="C421"/>
      <c r="D421"/>
      <c r="E421"/>
    </row>
    <row r="422" spans="1:5">
      <c r="A422"/>
      <c r="B422"/>
      <c r="C422"/>
      <c r="D422"/>
      <c r="E422"/>
    </row>
    <row r="423" spans="1:5">
      <c r="A423"/>
      <c r="B423"/>
      <c r="C423"/>
      <c r="D423"/>
      <c r="E423"/>
    </row>
    <row r="424" spans="1:5">
      <c r="A424"/>
      <c r="B424"/>
      <c r="C424"/>
      <c r="D424"/>
      <c r="E424"/>
    </row>
    <row r="425" spans="1:5">
      <c r="A425"/>
      <c r="B425"/>
      <c r="C425"/>
      <c r="D425"/>
      <c r="E425"/>
    </row>
    <row r="426" spans="1:5">
      <c r="A426"/>
      <c r="B426"/>
      <c r="C426"/>
      <c r="D426"/>
      <c r="E426"/>
    </row>
    <row r="427" spans="1:5">
      <c r="A427"/>
      <c r="B427"/>
      <c r="C427"/>
      <c r="D427"/>
      <c r="E427"/>
    </row>
    <row r="428" spans="1:5">
      <c r="A428"/>
      <c r="B428"/>
      <c r="C428"/>
      <c r="D428"/>
      <c r="E428"/>
    </row>
    <row r="429" spans="1:5">
      <c r="A429"/>
      <c r="B429"/>
      <c r="C429"/>
      <c r="D429"/>
      <c r="E429"/>
    </row>
    <row r="430" spans="1:5">
      <c r="A430"/>
      <c r="B430"/>
      <c r="C430"/>
      <c r="D430"/>
      <c r="E430"/>
    </row>
    <row r="431" spans="1:5">
      <c r="A431"/>
      <c r="B431"/>
      <c r="C431"/>
      <c r="D431"/>
      <c r="E431"/>
    </row>
    <row r="432" spans="1:5">
      <c r="A432"/>
      <c r="B432"/>
      <c r="C432"/>
      <c r="D432"/>
      <c r="E432"/>
    </row>
    <row r="433" spans="1:5">
      <c r="A433"/>
      <c r="B433"/>
      <c r="C433"/>
      <c r="D433"/>
      <c r="E433"/>
    </row>
    <row r="434" spans="1:5">
      <c r="A434"/>
      <c r="B434"/>
      <c r="C434"/>
      <c r="D434"/>
      <c r="E434"/>
    </row>
    <row r="435" spans="1:5">
      <c r="A435"/>
      <c r="B435"/>
      <c r="C435"/>
      <c r="D435"/>
      <c r="E435"/>
    </row>
    <row r="436" spans="1:5">
      <c r="A436"/>
      <c r="B436"/>
      <c r="C436"/>
      <c r="D436"/>
      <c r="E436"/>
    </row>
    <row r="437" spans="1:5">
      <c r="A437"/>
      <c r="B437"/>
      <c r="C437"/>
      <c r="D437"/>
      <c r="E437"/>
    </row>
    <row r="438" spans="1:5">
      <c r="A438"/>
      <c r="B438"/>
      <c r="C438"/>
      <c r="D438"/>
      <c r="E438"/>
    </row>
    <row r="439" spans="1:5">
      <c r="A439"/>
      <c r="B439"/>
      <c r="C439"/>
      <c r="D439"/>
      <c r="E439"/>
    </row>
    <row r="440" spans="1:5">
      <c r="A440"/>
      <c r="B440"/>
      <c r="C440"/>
      <c r="D440"/>
      <c r="E440"/>
    </row>
    <row r="441" spans="1:5">
      <c r="A441"/>
      <c r="B441"/>
      <c r="C441"/>
      <c r="D441"/>
      <c r="E441"/>
    </row>
    <row r="442" spans="1:5">
      <c r="A442"/>
      <c r="B442"/>
      <c r="C442"/>
      <c r="D442"/>
      <c r="E442"/>
    </row>
    <row r="443" spans="1:5">
      <c r="A443"/>
      <c r="B443"/>
      <c r="C443"/>
      <c r="D443"/>
      <c r="E443"/>
    </row>
    <row r="444" spans="1:5">
      <c r="A444"/>
      <c r="B444"/>
      <c r="C444"/>
      <c r="D444"/>
      <c r="E444"/>
    </row>
    <row r="445" spans="1:5">
      <c r="A445"/>
      <c r="B445"/>
      <c r="C445"/>
      <c r="D445"/>
      <c r="E445"/>
    </row>
    <row r="446" spans="1:5">
      <c r="A446"/>
      <c r="B446"/>
      <c r="C446"/>
      <c r="D446"/>
      <c r="E446"/>
    </row>
    <row r="447" spans="1:5">
      <c r="A447"/>
      <c r="B447"/>
      <c r="C447"/>
      <c r="D447"/>
      <c r="E447"/>
    </row>
    <row r="448" spans="1:5">
      <c r="A448"/>
      <c r="B448"/>
      <c r="C448"/>
      <c r="D448"/>
      <c r="E448"/>
    </row>
    <row r="449" spans="1:5">
      <c r="A449"/>
      <c r="B449"/>
      <c r="C449"/>
      <c r="D449"/>
      <c r="E449"/>
    </row>
    <row r="450" spans="1:5">
      <c r="A450"/>
      <c r="B450"/>
      <c r="C450"/>
      <c r="D450"/>
      <c r="E450"/>
    </row>
    <row r="451" spans="1:5">
      <c r="A451"/>
      <c r="B451"/>
      <c r="C451"/>
      <c r="D451"/>
      <c r="E451"/>
    </row>
    <row r="452" spans="1:5">
      <c r="A452"/>
      <c r="B452"/>
      <c r="C452"/>
      <c r="D452"/>
      <c r="E452"/>
    </row>
    <row r="453" spans="1:5">
      <c r="A453"/>
      <c r="B453"/>
      <c r="C453"/>
      <c r="D453"/>
      <c r="E453"/>
    </row>
    <row r="454" spans="1:5">
      <c r="A454"/>
      <c r="B454"/>
      <c r="C454"/>
      <c r="D454"/>
      <c r="E454"/>
    </row>
    <row r="455" spans="1:5">
      <c r="A455"/>
      <c r="B455"/>
      <c r="C455"/>
      <c r="D455"/>
      <c r="E455"/>
    </row>
    <row r="456" spans="1:5">
      <c r="A456"/>
      <c r="B456"/>
      <c r="C456"/>
      <c r="D456"/>
      <c r="E456"/>
    </row>
    <row r="457" spans="1:5">
      <c r="A457"/>
      <c r="B457"/>
      <c r="C457"/>
      <c r="D457"/>
      <c r="E457"/>
    </row>
    <row r="458" spans="1:5">
      <c r="A458"/>
      <c r="B458"/>
      <c r="C458"/>
      <c r="D458"/>
      <c r="E458"/>
    </row>
    <row r="459" spans="1:5">
      <c r="A459"/>
      <c r="B459"/>
      <c r="C459"/>
      <c r="D459"/>
      <c r="E459"/>
    </row>
    <row r="460" spans="1:5">
      <c r="A460"/>
      <c r="B460"/>
      <c r="C460"/>
      <c r="D460"/>
      <c r="E460"/>
    </row>
    <row r="461" spans="1:5">
      <c r="A461"/>
      <c r="B461"/>
      <c r="C461"/>
      <c r="D461"/>
      <c r="E461"/>
    </row>
    <row r="462" spans="1:5">
      <c r="A462"/>
      <c r="B462"/>
      <c r="C462"/>
      <c r="D462"/>
      <c r="E462"/>
    </row>
    <row r="463" spans="1:5">
      <c r="A463"/>
      <c r="B463"/>
      <c r="C463"/>
      <c r="D463"/>
      <c r="E463"/>
    </row>
    <row r="464" spans="1:5">
      <c r="A464"/>
      <c r="B464"/>
      <c r="C464"/>
      <c r="D464"/>
      <c r="E464"/>
    </row>
    <row r="465" spans="1:5">
      <c r="A465"/>
      <c r="B465"/>
      <c r="C465"/>
      <c r="D465"/>
      <c r="E465"/>
    </row>
    <row r="466" spans="1:5">
      <c r="A466"/>
      <c r="B466"/>
      <c r="C466"/>
      <c r="D466"/>
      <c r="E466"/>
    </row>
    <row r="467" spans="1:5">
      <c r="A467"/>
      <c r="B467"/>
      <c r="C467"/>
      <c r="D467"/>
      <c r="E467"/>
    </row>
    <row r="468" spans="1:5">
      <c r="A468"/>
      <c r="B468"/>
      <c r="C468"/>
      <c r="D468"/>
      <c r="E468"/>
    </row>
    <row r="469" spans="1:5">
      <c r="A469"/>
      <c r="B469"/>
      <c r="C469"/>
      <c r="D469"/>
      <c r="E469"/>
    </row>
    <row r="470" spans="1:5">
      <c r="A470"/>
      <c r="B470"/>
      <c r="C470"/>
      <c r="D470"/>
      <c r="E470"/>
    </row>
    <row r="471" spans="1:5">
      <c r="A471"/>
      <c r="B471"/>
      <c r="C471"/>
      <c r="D471"/>
      <c r="E471"/>
    </row>
    <row r="472" spans="1:5">
      <c r="A472"/>
      <c r="B472"/>
      <c r="C472"/>
      <c r="D472"/>
      <c r="E472"/>
    </row>
    <row r="473" spans="1:5">
      <c r="A473"/>
      <c r="B473"/>
      <c r="C473"/>
      <c r="D473"/>
      <c r="E473"/>
    </row>
    <row r="474" spans="1:5">
      <c r="A474"/>
      <c r="B474"/>
      <c r="C474"/>
      <c r="D474"/>
      <c r="E474"/>
    </row>
    <row r="475" spans="1:5">
      <c r="A475"/>
      <c r="B475"/>
      <c r="C475"/>
      <c r="D475"/>
      <c r="E475"/>
    </row>
    <row r="476" spans="1:5">
      <c r="A476"/>
      <c r="B476"/>
      <c r="C476"/>
      <c r="D476"/>
      <c r="E476"/>
    </row>
    <row r="477" spans="1:5">
      <c r="A477"/>
      <c r="B477"/>
      <c r="C477"/>
      <c r="D477"/>
      <c r="E477"/>
    </row>
    <row r="478" spans="1:5">
      <c r="A478"/>
      <c r="B478"/>
      <c r="C478"/>
      <c r="D478"/>
      <c r="E478"/>
    </row>
    <row r="479" spans="1:5">
      <c r="A479"/>
      <c r="B479"/>
      <c r="C479"/>
      <c r="D479"/>
      <c r="E479"/>
    </row>
    <row r="480" spans="1:5">
      <c r="A480"/>
      <c r="B480"/>
      <c r="C480"/>
      <c r="D480"/>
      <c r="E480"/>
    </row>
    <row r="481" spans="1:5">
      <c r="A481"/>
      <c r="B481"/>
      <c r="C481"/>
      <c r="D481"/>
      <c r="E481"/>
    </row>
    <row r="482" spans="1:5">
      <c r="A482"/>
      <c r="B482"/>
      <c r="C482"/>
      <c r="D482"/>
      <c r="E482"/>
    </row>
    <row r="483" spans="1:5">
      <c r="A483"/>
      <c r="B483"/>
      <c r="C483"/>
      <c r="D483"/>
      <c r="E483"/>
    </row>
    <row r="484" spans="1:5">
      <c r="A484"/>
      <c r="B484"/>
      <c r="C484"/>
      <c r="D484"/>
      <c r="E484"/>
    </row>
    <row r="485" spans="1:5">
      <c r="A485"/>
      <c r="B485"/>
      <c r="C485"/>
      <c r="D485"/>
      <c r="E485"/>
    </row>
    <row r="486" spans="1:5">
      <c r="A486"/>
      <c r="B486"/>
      <c r="C486"/>
      <c r="D486"/>
      <c r="E486"/>
    </row>
    <row r="487" spans="1:5">
      <c r="A487"/>
      <c r="B487"/>
      <c r="C487"/>
      <c r="D487"/>
      <c r="E487"/>
    </row>
    <row r="488" spans="1:5">
      <c r="A488"/>
      <c r="B488"/>
      <c r="C488"/>
      <c r="D488"/>
      <c r="E488"/>
    </row>
    <row r="489" spans="1:5">
      <c r="A489"/>
      <c r="B489"/>
      <c r="C489"/>
      <c r="D489"/>
      <c r="E489"/>
    </row>
    <row r="490" spans="1:5">
      <c r="A490"/>
      <c r="B490"/>
      <c r="C490"/>
      <c r="D490"/>
      <c r="E490"/>
    </row>
    <row r="491" spans="1:5">
      <c r="A491"/>
      <c r="B491"/>
      <c r="C491"/>
      <c r="D491"/>
      <c r="E491"/>
    </row>
    <row r="492" spans="1:5">
      <c r="A492"/>
      <c r="B492"/>
      <c r="C492"/>
      <c r="D492"/>
      <c r="E492"/>
    </row>
    <row r="493" spans="1:5">
      <c r="A493"/>
      <c r="B493"/>
      <c r="C493"/>
      <c r="D493"/>
      <c r="E493"/>
    </row>
    <row r="494" spans="1:5">
      <c r="A494"/>
      <c r="B494"/>
      <c r="C494"/>
      <c r="D494"/>
      <c r="E494"/>
    </row>
    <row r="495" spans="1:5">
      <c r="A495"/>
      <c r="B495"/>
      <c r="C495"/>
      <c r="D495"/>
      <c r="E495"/>
    </row>
    <row r="496" spans="1:5">
      <c r="A496"/>
      <c r="B496"/>
      <c r="C496"/>
      <c r="D496"/>
      <c r="E496"/>
    </row>
    <row r="497" spans="1:5">
      <c r="A497"/>
      <c r="B497"/>
      <c r="C497"/>
      <c r="D497"/>
      <c r="E497"/>
    </row>
    <row r="498" spans="1:5">
      <c r="A498"/>
      <c r="B498"/>
      <c r="C498"/>
      <c r="D498"/>
      <c r="E498"/>
    </row>
    <row r="499" spans="1:5">
      <c r="A499"/>
      <c r="B499"/>
      <c r="C499"/>
      <c r="D499"/>
      <c r="E499"/>
    </row>
    <row r="500" spans="1:5">
      <c r="A500"/>
      <c r="B500"/>
      <c r="C500"/>
      <c r="D500"/>
      <c r="E500"/>
    </row>
    <row r="501" spans="1:5">
      <c r="A501"/>
      <c r="B501"/>
      <c r="C501"/>
      <c r="D501"/>
      <c r="E501"/>
    </row>
    <row r="502" spans="1:5">
      <c r="A502"/>
      <c r="B502"/>
      <c r="C502"/>
      <c r="D502"/>
      <c r="E502"/>
    </row>
    <row r="503" spans="1:5">
      <c r="A503"/>
      <c r="B503"/>
      <c r="C503"/>
      <c r="D503"/>
      <c r="E503"/>
    </row>
    <row r="504" spans="1:5">
      <c r="A504"/>
      <c r="B504"/>
      <c r="C504"/>
      <c r="D504"/>
      <c r="E504"/>
    </row>
    <row r="505" spans="1:5">
      <c r="A505"/>
      <c r="B505"/>
      <c r="C505"/>
      <c r="D505"/>
      <c r="E505"/>
    </row>
    <row r="506" spans="1:5">
      <c r="A506"/>
      <c r="B506"/>
      <c r="C506"/>
      <c r="D506"/>
      <c r="E506"/>
    </row>
    <row r="507" spans="1:5">
      <c r="A507"/>
      <c r="B507"/>
      <c r="C507"/>
      <c r="D507"/>
      <c r="E507"/>
    </row>
    <row r="508" spans="1:5">
      <c r="A508"/>
      <c r="B508"/>
      <c r="C508"/>
      <c r="D508"/>
      <c r="E508"/>
    </row>
    <row r="509" spans="1:5">
      <c r="A509"/>
      <c r="B509"/>
      <c r="C509"/>
      <c r="D509"/>
      <c r="E509"/>
    </row>
    <row r="510" spans="1:5">
      <c r="A510"/>
      <c r="B510"/>
      <c r="C510"/>
      <c r="D510"/>
      <c r="E510"/>
    </row>
    <row r="511" spans="1:5">
      <c r="A511"/>
      <c r="B511"/>
      <c r="C511"/>
      <c r="D511"/>
      <c r="E511"/>
    </row>
    <row r="512" spans="1:5">
      <c r="A512"/>
      <c r="B512"/>
      <c r="C512"/>
      <c r="D512"/>
      <c r="E512"/>
    </row>
    <row r="513" spans="1:5">
      <c r="A513"/>
      <c r="B513"/>
      <c r="C513"/>
      <c r="D513"/>
      <c r="E513"/>
    </row>
    <row r="514" spans="1:5">
      <c r="A514"/>
      <c r="B514"/>
      <c r="C514"/>
      <c r="D514"/>
      <c r="E514"/>
    </row>
    <row r="515" spans="1:5">
      <c r="A515"/>
      <c r="B515"/>
      <c r="C515"/>
      <c r="D515"/>
      <c r="E515"/>
    </row>
    <row r="516" spans="1:5">
      <c r="A516"/>
      <c r="B516"/>
      <c r="C516"/>
      <c r="D516"/>
      <c r="E516"/>
    </row>
    <row r="517" spans="1:5">
      <c r="A517"/>
      <c r="B517"/>
      <c r="C517"/>
      <c r="D517"/>
      <c r="E517"/>
    </row>
    <row r="518" spans="1:5">
      <c r="A518"/>
      <c r="B518"/>
      <c r="C518"/>
      <c r="D518"/>
      <c r="E518"/>
    </row>
    <row r="519" spans="1:5">
      <c r="A519"/>
      <c r="B519"/>
      <c r="C519"/>
      <c r="D519"/>
      <c r="E519"/>
    </row>
    <row r="520" spans="1:5">
      <c r="A520"/>
      <c r="B520"/>
      <c r="C520"/>
      <c r="D520"/>
      <c r="E520"/>
    </row>
    <row r="521" spans="1:5">
      <c r="A521"/>
      <c r="B521"/>
      <c r="C521"/>
      <c r="D521"/>
      <c r="E521"/>
    </row>
    <row r="522" spans="1:5">
      <c r="A522"/>
      <c r="B522"/>
      <c r="C522"/>
      <c r="D522"/>
      <c r="E522"/>
    </row>
    <row r="523" spans="1:5">
      <c r="A523"/>
      <c r="B523"/>
      <c r="C523"/>
      <c r="D523"/>
      <c r="E523"/>
    </row>
    <row r="524" spans="1:5">
      <c r="A524"/>
      <c r="B524"/>
      <c r="C524"/>
      <c r="D524"/>
      <c r="E524"/>
    </row>
    <row r="525" spans="1:5">
      <c r="A525"/>
      <c r="B525"/>
      <c r="C525"/>
      <c r="D525"/>
      <c r="E525"/>
    </row>
    <row r="526" spans="1:5">
      <c r="A526"/>
      <c r="B526"/>
      <c r="C526"/>
      <c r="D526"/>
      <c r="E526"/>
    </row>
    <row r="527" spans="1:5">
      <c r="A527"/>
      <c r="B527"/>
      <c r="C527"/>
      <c r="D527"/>
      <c r="E527"/>
    </row>
    <row r="528" spans="1:5">
      <c r="A528"/>
      <c r="B528"/>
      <c r="C528"/>
      <c r="D528"/>
      <c r="E528"/>
    </row>
  </sheetData>
  <sortState xmlns:xlrd2="http://schemas.microsoft.com/office/spreadsheetml/2017/richdata2" ref="K4:K11">
    <sortCondition ref="K11"/>
  </sortState>
  <pageMargins left="0.7" right="0.7" top="0.75" bottom="0.75" header="0.3" footer="0.3"/>
  <pageSetup paperSize="9" orientation="landscape" r:id="rId4"/>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X4"/>
  <sheetViews>
    <sheetView zoomScale="96" zoomScaleNormal="85" workbookViewId="0">
      <selection activeCell="V36" sqref="V36"/>
    </sheetView>
  </sheetViews>
  <sheetFormatPr defaultColWidth="8.6640625" defaultRowHeight="14.4"/>
  <cols>
    <col min="1" max="1" width="10" bestFit="1" customWidth="1"/>
  </cols>
  <sheetData>
    <row r="1" spans="1:24" ht="25.8">
      <c r="A1" s="56" t="s">
        <v>864</v>
      </c>
      <c r="B1" s="57"/>
      <c r="C1" s="57"/>
      <c r="D1" s="57"/>
      <c r="E1" s="57"/>
      <c r="F1" s="57"/>
      <c r="G1" s="57"/>
      <c r="S1" s="58" t="s">
        <v>865</v>
      </c>
      <c r="T1" s="58"/>
      <c r="U1" s="58"/>
      <c r="V1" s="58"/>
      <c r="W1" s="58"/>
      <c r="X1" s="58"/>
    </row>
    <row r="2" spans="1:24" ht="15.6">
      <c r="A2" s="8"/>
      <c r="B2" s="8" t="s">
        <v>866</v>
      </c>
      <c r="C2" s="8" t="s">
        <v>867</v>
      </c>
      <c r="D2" s="8" t="s">
        <v>868</v>
      </c>
      <c r="E2" s="8" t="s">
        <v>869</v>
      </c>
      <c r="F2" s="8" t="s">
        <v>870</v>
      </c>
      <c r="G2" s="8" t="s">
        <v>871</v>
      </c>
    </row>
    <row r="3" spans="1:24" ht="15.6">
      <c r="A3" s="8" t="s">
        <v>872</v>
      </c>
      <c r="B3" s="8">
        <v>1312</v>
      </c>
      <c r="C3" s="8">
        <v>925</v>
      </c>
      <c r="D3" s="8">
        <v>1020</v>
      </c>
      <c r="E3" s="8">
        <v>2035</v>
      </c>
      <c r="F3" s="8">
        <v>3200</v>
      </c>
      <c r="G3" s="8">
        <v>800</v>
      </c>
    </row>
    <row r="4" spans="1:24" ht="15.6">
      <c r="A4" s="8" t="s">
        <v>873</v>
      </c>
      <c r="B4" s="8">
        <v>85000</v>
      </c>
      <c r="C4" s="8">
        <v>100000</v>
      </c>
      <c r="D4" s="8">
        <v>93000</v>
      </c>
      <c r="E4" s="8">
        <v>89000</v>
      </c>
      <c r="F4" s="8">
        <v>91000</v>
      </c>
      <c r="G4" s="8">
        <v>94000</v>
      </c>
    </row>
  </sheetData>
  <mergeCells count="2">
    <mergeCell ref="A1:G1"/>
    <mergeCell ref="S1:X1"/>
  </mergeCells>
  <pageMargins left="0.75" right="0.75" top="1" bottom="1" header="0.5" footer="0.5"/>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69"/>
  <sheetViews>
    <sheetView workbookViewId="0">
      <selection activeCell="A49" sqref="A49"/>
    </sheetView>
  </sheetViews>
  <sheetFormatPr defaultColWidth="8.6640625" defaultRowHeight="14.4"/>
  <sheetData>
    <row r="1" spans="1:2">
      <c r="A1" s="6" t="s">
        <v>1</v>
      </c>
      <c r="B1" s="7" t="s">
        <v>874</v>
      </c>
    </row>
    <row r="2" spans="1:2">
      <c r="A2" s="6" t="s">
        <v>11</v>
      </c>
      <c r="B2" s="7">
        <v>59</v>
      </c>
    </row>
    <row r="3" spans="1:2">
      <c r="A3" s="6" t="s">
        <v>12</v>
      </c>
      <c r="B3" s="7">
        <v>68</v>
      </c>
    </row>
    <row r="4" spans="1:2">
      <c r="A4" s="6" t="s">
        <v>13</v>
      </c>
      <c r="B4" s="7">
        <v>66</v>
      </c>
    </row>
    <row r="5" spans="1:2">
      <c r="A5" s="6" t="s">
        <v>14</v>
      </c>
      <c r="B5" s="7">
        <v>84</v>
      </c>
    </row>
    <row r="6" spans="1:2">
      <c r="A6" s="6" t="s">
        <v>15</v>
      </c>
      <c r="B6" s="7">
        <v>50</v>
      </c>
    </row>
    <row r="7" spans="1:2">
      <c r="A7" s="6" t="s">
        <v>16</v>
      </c>
      <c r="B7" s="7">
        <v>65</v>
      </c>
    </row>
    <row r="8" spans="1:2">
      <c r="A8" s="6" t="s">
        <v>17</v>
      </c>
      <c r="B8" s="7">
        <v>84</v>
      </c>
    </row>
    <row r="9" spans="1:2">
      <c r="A9" s="6" t="s">
        <v>18</v>
      </c>
      <c r="B9" s="7">
        <v>59</v>
      </c>
    </row>
    <row r="10" spans="1:2">
      <c r="A10" s="6" t="s">
        <v>19</v>
      </c>
      <c r="B10" s="7">
        <v>68</v>
      </c>
    </row>
    <row r="11" spans="1:2">
      <c r="A11" s="6" t="s">
        <v>20</v>
      </c>
      <c r="B11" s="7">
        <v>71</v>
      </c>
    </row>
    <row r="12" spans="1:2">
      <c r="A12" s="6" t="s">
        <v>21</v>
      </c>
      <c r="B12" s="7">
        <v>78</v>
      </c>
    </row>
    <row r="13" spans="1:2">
      <c r="A13" s="6" t="s">
        <v>22</v>
      </c>
      <c r="B13" s="7">
        <v>71</v>
      </c>
    </row>
    <row r="14" spans="1:2">
      <c r="A14" s="6" t="s">
        <v>23</v>
      </c>
      <c r="B14" s="7">
        <v>69</v>
      </c>
    </row>
    <row r="15" spans="1:2">
      <c r="A15" s="6" t="s">
        <v>24</v>
      </c>
      <c r="B15" s="7">
        <v>75</v>
      </c>
    </row>
    <row r="16" spans="1:2">
      <c r="A16" s="6" t="s">
        <v>25</v>
      </c>
      <c r="B16" s="7">
        <v>65</v>
      </c>
    </row>
    <row r="17" spans="1:2">
      <c r="A17" s="6" t="s">
        <v>26</v>
      </c>
      <c r="B17" s="7">
        <v>69</v>
      </c>
    </row>
    <row r="18" spans="1:2">
      <c r="A18" s="6" t="s">
        <v>27</v>
      </c>
      <c r="B18" s="7">
        <v>70</v>
      </c>
    </row>
    <row r="19" spans="1:2">
      <c r="A19" s="6" t="s">
        <v>28</v>
      </c>
      <c r="B19" s="7">
        <v>76</v>
      </c>
    </row>
    <row r="20" spans="1:2">
      <c r="A20" s="6" t="s">
        <v>29</v>
      </c>
      <c r="B20" s="7">
        <v>56</v>
      </c>
    </row>
    <row r="21" spans="1:2">
      <c r="A21" s="6" t="s">
        <v>30</v>
      </c>
      <c r="B21" s="7">
        <v>57</v>
      </c>
    </row>
    <row r="22" spans="1:2">
      <c r="A22" s="6" t="s">
        <v>31</v>
      </c>
      <c r="B22" s="7">
        <v>80</v>
      </c>
    </row>
    <row r="23" spans="1:2">
      <c r="A23" s="6" t="s">
        <v>32</v>
      </c>
      <c r="B23" s="7">
        <v>65</v>
      </c>
    </row>
    <row r="24" spans="1:2">
      <c r="A24" s="6" t="s">
        <v>33</v>
      </c>
      <c r="B24" s="7">
        <v>84</v>
      </c>
    </row>
    <row r="25" spans="1:2">
      <c r="A25" s="6" t="s">
        <v>34</v>
      </c>
      <c r="B25" s="7">
        <v>60</v>
      </c>
    </row>
    <row r="26" spans="1:2">
      <c r="A26" s="6" t="s">
        <v>35</v>
      </c>
      <c r="B26" s="7">
        <v>85</v>
      </c>
    </row>
    <row r="27" spans="1:2">
      <c r="A27" s="6" t="s">
        <v>36</v>
      </c>
      <c r="B27" s="7">
        <v>69</v>
      </c>
    </row>
    <row r="28" spans="1:2">
      <c r="A28" s="6" t="s">
        <v>37</v>
      </c>
      <c r="B28" s="7">
        <v>87</v>
      </c>
    </row>
    <row r="29" spans="1:2">
      <c r="A29" s="6" t="s">
        <v>38</v>
      </c>
      <c r="B29" s="7">
        <v>72</v>
      </c>
    </row>
    <row r="30" spans="1:2">
      <c r="A30" s="6" t="s">
        <v>39</v>
      </c>
      <c r="B30" s="7">
        <v>50</v>
      </c>
    </row>
    <row r="31" spans="1:2">
      <c r="A31" s="6" t="s">
        <v>40</v>
      </c>
      <c r="B31" s="7">
        <v>60</v>
      </c>
    </row>
    <row r="32" spans="1:2">
      <c r="A32" s="6" t="s">
        <v>41</v>
      </c>
      <c r="B32" s="7">
        <v>57</v>
      </c>
    </row>
    <row r="33" spans="1:2">
      <c r="A33" s="6" t="s">
        <v>42</v>
      </c>
      <c r="B33" s="7">
        <v>59</v>
      </c>
    </row>
    <row r="34" spans="1:2">
      <c r="A34" s="6" t="s">
        <v>43</v>
      </c>
      <c r="B34" s="7">
        <v>88</v>
      </c>
    </row>
    <row r="35" spans="1:2">
      <c r="A35" s="6" t="s">
        <v>44</v>
      </c>
      <c r="B35" s="7">
        <v>70</v>
      </c>
    </row>
    <row r="36" spans="1:2">
      <c r="A36" s="6" t="s">
        <v>45</v>
      </c>
      <c r="B36" s="7">
        <v>77</v>
      </c>
    </row>
    <row r="37" spans="1:2">
      <c r="A37" s="6" t="s">
        <v>46</v>
      </c>
      <c r="B37" s="7">
        <v>78</v>
      </c>
    </row>
    <row r="38" spans="1:2">
      <c r="A38" s="6" t="s">
        <v>47</v>
      </c>
      <c r="B38" s="7">
        <v>56</v>
      </c>
    </row>
    <row r="39" spans="1:2">
      <c r="A39" s="6" t="s">
        <v>48</v>
      </c>
      <c r="B39" s="7">
        <v>60</v>
      </c>
    </row>
    <row r="40" spans="1:2">
      <c r="A40" s="6" t="s">
        <v>49</v>
      </c>
      <c r="B40" s="7">
        <v>86</v>
      </c>
    </row>
    <row r="41" spans="1:2">
      <c r="A41" s="6" t="s">
        <v>50</v>
      </c>
      <c r="B41" s="7">
        <v>88</v>
      </c>
    </row>
    <row r="42" spans="1:2">
      <c r="A42" s="6" t="s">
        <v>51</v>
      </c>
      <c r="B42" s="7">
        <v>72</v>
      </c>
    </row>
    <row r="43" spans="1:2">
      <c r="A43" s="6" t="s">
        <v>52</v>
      </c>
      <c r="B43" s="7">
        <v>53</v>
      </c>
    </row>
    <row r="44" spans="1:2">
      <c r="A44" s="6" t="s">
        <v>53</v>
      </c>
      <c r="B44" s="7">
        <v>50</v>
      </c>
    </row>
    <row r="45" spans="1:2">
      <c r="A45" s="6" t="s">
        <v>54</v>
      </c>
      <c r="B45" s="7">
        <v>60</v>
      </c>
    </row>
    <row r="46" spans="1:2">
      <c r="A46" s="6" t="s">
        <v>55</v>
      </c>
      <c r="B46" s="7">
        <v>73</v>
      </c>
    </row>
    <row r="47" spans="1:2">
      <c r="A47" s="6" t="s">
        <v>56</v>
      </c>
      <c r="B47" s="7">
        <v>62</v>
      </c>
    </row>
    <row r="48" spans="1:2">
      <c r="A48" s="6" t="s">
        <v>57</v>
      </c>
      <c r="B48" s="7">
        <v>62</v>
      </c>
    </row>
    <row r="49" spans="1:2">
      <c r="A49" s="6" t="s">
        <v>58</v>
      </c>
      <c r="B49" s="7">
        <v>75</v>
      </c>
    </row>
    <row r="50" spans="1:2">
      <c r="A50" s="6" t="s">
        <v>59</v>
      </c>
      <c r="B50" s="7">
        <v>55</v>
      </c>
    </row>
    <row r="51" spans="1:2">
      <c r="A51" s="6" t="s">
        <v>60</v>
      </c>
      <c r="B51" s="7">
        <v>57</v>
      </c>
    </row>
    <row r="52" spans="1:2">
      <c r="A52" s="6" t="s">
        <v>61</v>
      </c>
      <c r="B52" s="7">
        <v>77</v>
      </c>
    </row>
    <row r="53" spans="1:2">
      <c r="A53" s="6" t="s">
        <v>62</v>
      </c>
      <c r="B53" s="7">
        <v>59</v>
      </c>
    </row>
    <row r="54" spans="1:2">
      <c r="A54" s="6" t="s">
        <v>63</v>
      </c>
      <c r="B54" s="7">
        <v>70</v>
      </c>
    </row>
    <row r="55" spans="1:2">
      <c r="A55" s="6" t="s">
        <v>64</v>
      </c>
      <c r="B55" s="7">
        <v>55</v>
      </c>
    </row>
    <row r="56" spans="1:2">
      <c r="A56" s="6" t="s">
        <v>65</v>
      </c>
      <c r="B56" s="7">
        <v>57</v>
      </c>
    </row>
    <row r="57" spans="1:2">
      <c r="A57" s="6" t="s">
        <v>66</v>
      </c>
      <c r="B57" s="7">
        <v>53</v>
      </c>
    </row>
    <row r="58" spans="1:2">
      <c r="A58" s="6" t="s">
        <v>67</v>
      </c>
      <c r="B58" s="7">
        <v>61</v>
      </c>
    </row>
    <row r="59" spans="1:2">
      <c r="A59" s="6" t="s">
        <v>68</v>
      </c>
      <c r="B59" s="7">
        <v>67</v>
      </c>
    </row>
    <row r="60" spans="1:2">
      <c r="A60" s="6" t="s">
        <v>69</v>
      </c>
      <c r="B60" s="7">
        <v>71</v>
      </c>
    </row>
    <row r="61" spans="1:2">
      <c r="A61" s="6" t="s">
        <v>70</v>
      </c>
      <c r="B61" s="7">
        <v>72</v>
      </c>
    </row>
    <row r="62" spans="1:2">
      <c r="A62" s="6" t="s">
        <v>71</v>
      </c>
      <c r="B62" s="7">
        <v>78</v>
      </c>
    </row>
    <row r="63" spans="1:2">
      <c r="A63" s="6" t="s">
        <v>72</v>
      </c>
      <c r="B63" s="7">
        <v>84</v>
      </c>
    </row>
    <row r="64" spans="1:2">
      <c r="A64" s="6" t="s">
        <v>73</v>
      </c>
      <c r="B64" s="7">
        <v>63</v>
      </c>
    </row>
    <row r="65" spans="1:2">
      <c r="A65" s="6" t="s">
        <v>74</v>
      </c>
      <c r="B65" s="7">
        <v>58</v>
      </c>
    </row>
    <row r="66" spans="1:2">
      <c r="A66" s="6" t="s">
        <v>75</v>
      </c>
      <c r="B66" s="7">
        <v>60</v>
      </c>
    </row>
    <row r="67" spans="1:2">
      <c r="A67" s="6" t="s">
        <v>76</v>
      </c>
      <c r="B67" s="7">
        <v>68</v>
      </c>
    </row>
    <row r="68" spans="1:2">
      <c r="A68" s="6" t="s">
        <v>77</v>
      </c>
      <c r="B68" s="7">
        <v>85</v>
      </c>
    </row>
    <row r="69" spans="1:2">
      <c r="A69" s="6" t="s">
        <v>78</v>
      </c>
      <c r="B69" s="7">
        <v>52</v>
      </c>
    </row>
  </sheetData>
  <pageMargins left="0.75" right="0.75" top="1" bottom="1" header="0.5" footer="0.5"/>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M256"/>
  <sheetViews>
    <sheetView topLeftCell="A231" workbookViewId="0">
      <selection activeCell="K233" sqref="K233"/>
    </sheetView>
  </sheetViews>
  <sheetFormatPr defaultColWidth="8.6640625" defaultRowHeight="14.4"/>
  <cols>
    <col min="1" max="1" width="11.109375" customWidth="1"/>
    <col min="2" max="2" width="11.5546875" customWidth="1"/>
    <col min="3" max="3" width="5.88671875" customWidth="1"/>
    <col min="5" max="5" width="10.33203125" customWidth="1"/>
  </cols>
  <sheetData>
    <row r="1" spans="1:13" ht="15.6">
      <c r="A1" s="4" t="s">
        <v>83</v>
      </c>
      <c r="B1" s="4" t="s">
        <v>875</v>
      </c>
      <c r="C1" s="4" t="s">
        <v>89</v>
      </c>
      <c r="D1" s="4" t="s">
        <v>84</v>
      </c>
      <c r="E1" s="4" t="s">
        <v>876</v>
      </c>
    </row>
    <row r="2" spans="1:13" ht="15.6">
      <c r="A2" s="4" t="s">
        <v>117</v>
      </c>
      <c r="B2" s="4" t="s">
        <v>877</v>
      </c>
      <c r="C2" s="4" t="s">
        <v>859</v>
      </c>
      <c r="D2" s="4" t="s">
        <v>96</v>
      </c>
      <c r="E2" s="4" t="s">
        <v>847</v>
      </c>
    </row>
    <row r="3" spans="1:13" ht="15.6">
      <c r="A3" s="4" t="s">
        <v>150</v>
      </c>
      <c r="B3" s="4" t="s">
        <v>877</v>
      </c>
      <c r="C3" s="4" t="s">
        <v>859</v>
      </c>
      <c r="D3" s="4" t="s">
        <v>100</v>
      </c>
      <c r="E3" s="4" t="s">
        <v>847</v>
      </c>
      <c r="M3" s="4"/>
    </row>
    <row r="4" spans="1:13" ht="15.6">
      <c r="A4" s="4" t="s">
        <v>157</v>
      </c>
      <c r="B4" s="4" t="s">
        <v>878</v>
      </c>
      <c r="C4" s="4" t="s">
        <v>859</v>
      </c>
      <c r="D4" s="4" t="s">
        <v>101</v>
      </c>
      <c r="E4" s="4" t="s">
        <v>847</v>
      </c>
      <c r="M4" s="4"/>
    </row>
    <row r="5" spans="1:13" ht="15.6">
      <c r="A5" s="4" t="s">
        <v>160</v>
      </c>
      <c r="B5" s="4" t="s">
        <v>879</v>
      </c>
      <c r="C5" s="4" t="s">
        <v>859</v>
      </c>
      <c r="D5" s="4" t="s">
        <v>106</v>
      </c>
      <c r="E5" s="4" t="s">
        <v>847</v>
      </c>
      <c r="M5" s="4"/>
    </row>
    <row r="6" spans="1:13" ht="15.6">
      <c r="A6" s="4" t="s">
        <v>190</v>
      </c>
      <c r="B6" s="4" t="s">
        <v>879</v>
      </c>
      <c r="C6" s="4" t="s">
        <v>859</v>
      </c>
      <c r="D6" s="4" t="s">
        <v>109</v>
      </c>
      <c r="E6" s="4" t="s">
        <v>848</v>
      </c>
      <c r="M6" s="4"/>
    </row>
    <row r="7" spans="1:13" ht="15.6">
      <c r="A7" s="4" t="s">
        <v>210</v>
      </c>
      <c r="B7" s="4" t="s">
        <v>877</v>
      </c>
      <c r="C7" s="4" t="s">
        <v>859</v>
      </c>
      <c r="D7" s="4" t="s">
        <v>110</v>
      </c>
      <c r="E7" s="4" t="s">
        <v>849</v>
      </c>
      <c r="M7" s="4"/>
    </row>
    <row r="8" spans="1:13" ht="15.6">
      <c r="A8" s="4" t="s">
        <v>218</v>
      </c>
      <c r="B8" s="4" t="s">
        <v>877</v>
      </c>
      <c r="C8" s="4" t="s">
        <v>859</v>
      </c>
      <c r="D8" s="4" t="s">
        <v>111</v>
      </c>
      <c r="E8" s="4" t="s">
        <v>847</v>
      </c>
      <c r="M8" s="4"/>
    </row>
    <row r="9" spans="1:13" ht="15.6">
      <c r="A9" s="4" t="s">
        <v>243</v>
      </c>
      <c r="B9" s="4" t="s">
        <v>877</v>
      </c>
      <c r="C9" s="4" t="s">
        <v>859</v>
      </c>
      <c r="D9" s="4" t="s">
        <v>112</v>
      </c>
      <c r="E9" s="4" t="s">
        <v>847</v>
      </c>
      <c r="M9" s="4"/>
    </row>
    <row r="10" spans="1:13" ht="15.6">
      <c r="A10" s="4" t="s">
        <v>253</v>
      </c>
      <c r="B10" s="4" t="s">
        <v>877</v>
      </c>
      <c r="C10" s="4" t="s">
        <v>859</v>
      </c>
      <c r="D10" s="4" t="s">
        <v>118</v>
      </c>
      <c r="E10" s="4" t="s">
        <v>848</v>
      </c>
      <c r="M10" s="4"/>
    </row>
    <row r="11" spans="1:13" ht="15.6">
      <c r="A11" s="4" t="s">
        <v>258</v>
      </c>
      <c r="B11" s="4" t="s">
        <v>878</v>
      </c>
      <c r="C11" s="4" t="s">
        <v>859</v>
      </c>
      <c r="D11" s="4" t="s">
        <v>121</v>
      </c>
      <c r="E11" s="4" t="s">
        <v>848</v>
      </c>
      <c r="M11" s="4"/>
    </row>
    <row r="12" spans="1:13" ht="15.6">
      <c r="A12" s="4" t="s">
        <v>264</v>
      </c>
      <c r="B12" s="4" t="s">
        <v>879</v>
      </c>
      <c r="C12" s="4" t="s">
        <v>859</v>
      </c>
      <c r="D12" s="4" t="s">
        <v>122</v>
      </c>
      <c r="E12" s="4" t="s">
        <v>848</v>
      </c>
      <c r="M12" s="4"/>
    </row>
    <row r="13" spans="1:13" ht="15.6">
      <c r="A13" s="4" t="s">
        <v>266</v>
      </c>
      <c r="B13" s="4" t="s">
        <v>878</v>
      </c>
      <c r="C13" s="4" t="s">
        <v>859</v>
      </c>
      <c r="D13" s="4" t="s">
        <v>125</v>
      </c>
      <c r="E13" s="4" t="s">
        <v>847</v>
      </c>
      <c r="M13" s="4"/>
    </row>
    <row r="14" spans="1:13" ht="15.6">
      <c r="A14" s="4" t="s">
        <v>277</v>
      </c>
      <c r="B14" s="4" t="s">
        <v>879</v>
      </c>
      <c r="C14" s="4" t="s">
        <v>859</v>
      </c>
      <c r="D14" s="4" t="s">
        <v>130</v>
      </c>
      <c r="E14" s="4" t="s">
        <v>849</v>
      </c>
      <c r="M14" s="4"/>
    </row>
    <row r="15" spans="1:13" ht="15.6">
      <c r="A15" s="4" t="s">
        <v>307</v>
      </c>
      <c r="B15" s="4" t="s">
        <v>877</v>
      </c>
      <c r="C15" s="4" t="s">
        <v>859</v>
      </c>
      <c r="D15" s="4" t="s">
        <v>131</v>
      </c>
      <c r="E15" s="4" t="s">
        <v>849</v>
      </c>
      <c r="M15" s="4"/>
    </row>
    <row r="16" spans="1:13" ht="15.6">
      <c r="A16" s="4" t="s">
        <v>319</v>
      </c>
      <c r="B16" s="4" t="s">
        <v>879</v>
      </c>
      <c r="C16" s="4" t="s">
        <v>859</v>
      </c>
      <c r="D16" s="4" t="s">
        <v>135</v>
      </c>
      <c r="E16" s="4" t="s">
        <v>847</v>
      </c>
      <c r="M16" s="4"/>
    </row>
    <row r="17" spans="1:13" ht="15.6">
      <c r="A17" s="4" t="s">
        <v>323</v>
      </c>
      <c r="B17" s="4" t="s">
        <v>879</v>
      </c>
      <c r="C17" s="4" t="s">
        <v>859</v>
      </c>
      <c r="D17" s="4" t="s">
        <v>141</v>
      </c>
      <c r="E17" s="4" t="s">
        <v>847</v>
      </c>
      <c r="M17" s="4"/>
    </row>
    <row r="18" spans="1:13" ht="15.6">
      <c r="A18" s="4" t="s">
        <v>330</v>
      </c>
      <c r="B18" s="4" t="s">
        <v>879</v>
      </c>
      <c r="C18" s="4" t="s">
        <v>859</v>
      </c>
      <c r="D18" s="4" t="s">
        <v>144</v>
      </c>
      <c r="E18" s="4" t="s">
        <v>849</v>
      </c>
      <c r="M18" s="4"/>
    </row>
    <row r="19" spans="1:13" ht="15.6">
      <c r="A19" s="4" t="s">
        <v>339</v>
      </c>
      <c r="B19" s="4" t="s">
        <v>877</v>
      </c>
      <c r="C19" s="4" t="s">
        <v>859</v>
      </c>
      <c r="M19" s="4"/>
    </row>
    <row r="20" spans="1:13" ht="15.6">
      <c r="A20" s="4" t="s">
        <v>387</v>
      </c>
      <c r="B20" s="4" t="s">
        <v>878</v>
      </c>
      <c r="C20" s="4" t="s">
        <v>859</v>
      </c>
      <c r="M20" s="4"/>
    </row>
    <row r="21" spans="1:13" ht="15.6">
      <c r="A21" s="4" t="s">
        <v>392</v>
      </c>
      <c r="B21" s="4" t="s">
        <v>877</v>
      </c>
      <c r="C21" s="4" t="s">
        <v>859</v>
      </c>
      <c r="M21" s="4"/>
    </row>
    <row r="22" spans="1:13" ht="15.6">
      <c r="A22" s="4" t="s">
        <v>400</v>
      </c>
      <c r="B22" s="4" t="s">
        <v>879</v>
      </c>
      <c r="C22" s="4" t="s">
        <v>859</v>
      </c>
      <c r="M22" s="4"/>
    </row>
    <row r="23" spans="1:13" ht="15.6">
      <c r="A23" s="4" t="s">
        <v>411</v>
      </c>
      <c r="B23" s="4" t="s">
        <v>878</v>
      </c>
      <c r="C23" s="4" t="s">
        <v>859</v>
      </c>
      <c r="M23" s="4"/>
    </row>
    <row r="24" spans="1:13" ht="15.6">
      <c r="A24" s="4" t="s">
        <v>425</v>
      </c>
      <c r="B24" s="4" t="s">
        <v>877</v>
      </c>
      <c r="C24" s="4" t="s">
        <v>859</v>
      </c>
      <c r="M24" s="4"/>
    </row>
    <row r="25" spans="1:13" ht="15.6">
      <c r="A25" s="4" t="s">
        <v>435</v>
      </c>
      <c r="B25" s="4" t="s">
        <v>877</v>
      </c>
      <c r="C25" s="4" t="s">
        <v>859</v>
      </c>
      <c r="M25" s="4"/>
    </row>
    <row r="26" spans="1:13" ht="15.6">
      <c r="A26" s="4" t="s">
        <v>437</v>
      </c>
      <c r="B26" s="4" t="s">
        <v>879</v>
      </c>
      <c r="C26" s="4" t="s">
        <v>859</v>
      </c>
      <c r="M26" s="4"/>
    </row>
    <row r="27" spans="1:13" ht="15.6">
      <c r="A27" s="4" t="s">
        <v>439</v>
      </c>
      <c r="B27" s="4" t="s">
        <v>879</v>
      </c>
      <c r="C27" s="4" t="s">
        <v>859</v>
      </c>
      <c r="M27" s="4"/>
    </row>
    <row r="28" spans="1:13" ht="15.6">
      <c r="A28" s="4" t="s">
        <v>442</v>
      </c>
      <c r="B28" s="4" t="s">
        <v>877</v>
      </c>
      <c r="C28" s="4" t="s">
        <v>859</v>
      </c>
      <c r="M28" s="4"/>
    </row>
    <row r="29" spans="1:13" ht="15.6">
      <c r="A29" s="4" t="s">
        <v>455</v>
      </c>
      <c r="B29" s="4" t="s">
        <v>877</v>
      </c>
      <c r="C29" s="4" t="s">
        <v>859</v>
      </c>
      <c r="M29" s="4"/>
    </row>
    <row r="30" spans="1:13" ht="15.6">
      <c r="A30" s="4" t="s">
        <v>354</v>
      </c>
      <c r="B30" s="4" t="s">
        <v>877</v>
      </c>
      <c r="C30" s="4" t="s">
        <v>859</v>
      </c>
      <c r="M30" s="4"/>
    </row>
    <row r="31" spans="1:13" ht="15.6">
      <c r="A31" s="4" t="s">
        <v>458</v>
      </c>
      <c r="B31" s="4" t="s">
        <v>877</v>
      </c>
      <c r="C31" s="4" t="s">
        <v>859</v>
      </c>
      <c r="M31" s="4"/>
    </row>
    <row r="32" spans="1:13" ht="15.6">
      <c r="A32" s="4" t="s">
        <v>470</v>
      </c>
      <c r="B32" s="4" t="s">
        <v>879</v>
      </c>
      <c r="C32" s="4" t="s">
        <v>859</v>
      </c>
      <c r="M32" s="4"/>
    </row>
    <row r="33" spans="1:13" ht="15.6">
      <c r="A33" s="4" t="s">
        <v>491</v>
      </c>
      <c r="B33" s="4" t="s">
        <v>878</v>
      </c>
      <c r="C33" s="4" t="s">
        <v>859</v>
      </c>
      <c r="M33" s="4"/>
    </row>
    <row r="34" spans="1:13" ht="15.6">
      <c r="A34" s="4" t="s">
        <v>502</v>
      </c>
      <c r="B34" s="4" t="s">
        <v>877</v>
      </c>
      <c r="C34" s="4" t="s">
        <v>859</v>
      </c>
      <c r="M34" s="4"/>
    </row>
    <row r="35" spans="1:13" ht="15.6">
      <c r="A35" s="4" t="s">
        <v>505</v>
      </c>
      <c r="B35" s="4" t="s">
        <v>877</v>
      </c>
      <c r="C35" s="4" t="s">
        <v>859</v>
      </c>
      <c r="M35" s="4"/>
    </row>
    <row r="36" spans="1:13" ht="15.6">
      <c r="A36" s="4" t="s">
        <v>527</v>
      </c>
      <c r="B36" s="4" t="s">
        <v>878</v>
      </c>
      <c r="C36" s="4" t="s">
        <v>859</v>
      </c>
      <c r="M36" s="4"/>
    </row>
    <row r="37" spans="1:13" ht="15.6">
      <c r="A37" s="4" t="s">
        <v>529</v>
      </c>
      <c r="B37" s="4" t="s">
        <v>878</v>
      </c>
      <c r="C37" s="4" t="s">
        <v>859</v>
      </c>
      <c r="M37" s="4"/>
    </row>
    <row r="38" spans="1:13" ht="15.6">
      <c r="A38" s="4" t="s">
        <v>540</v>
      </c>
      <c r="B38" s="4" t="s">
        <v>878</v>
      </c>
      <c r="C38" s="4" t="s">
        <v>859</v>
      </c>
      <c r="M38" s="4"/>
    </row>
    <row r="39" spans="1:13" ht="15.6">
      <c r="A39" s="4" t="s">
        <v>605</v>
      </c>
      <c r="B39" s="4" t="s">
        <v>877</v>
      </c>
      <c r="C39" s="4" t="s">
        <v>859</v>
      </c>
      <c r="M39" s="4"/>
    </row>
    <row r="40" spans="1:13" ht="15.6">
      <c r="A40" s="4" t="s">
        <v>619</v>
      </c>
      <c r="B40" s="4" t="s">
        <v>877</v>
      </c>
      <c r="C40" s="4" t="s">
        <v>859</v>
      </c>
      <c r="M40" s="4"/>
    </row>
    <row r="41" spans="1:13" ht="15.6">
      <c r="A41" s="4" t="s">
        <v>627</v>
      </c>
      <c r="B41" s="4" t="s">
        <v>879</v>
      </c>
      <c r="C41" s="4" t="s">
        <v>859</v>
      </c>
      <c r="M41" s="4"/>
    </row>
    <row r="42" spans="1:13" ht="15.6">
      <c r="A42" s="4" t="s">
        <v>645</v>
      </c>
      <c r="B42" s="4" t="s">
        <v>877</v>
      </c>
      <c r="C42" s="4" t="s">
        <v>859</v>
      </c>
      <c r="M42" s="4"/>
    </row>
    <row r="43" spans="1:13" ht="15.6">
      <c r="A43" s="4" t="s">
        <v>671</v>
      </c>
      <c r="B43" s="4" t="s">
        <v>879</v>
      </c>
      <c r="C43" s="4" t="s">
        <v>859</v>
      </c>
      <c r="M43" s="4"/>
    </row>
    <row r="44" spans="1:13" ht="15.6">
      <c r="A44" s="4" t="s">
        <v>693</v>
      </c>
      <c r="B44" s="4" t="s">
        <v>878</v>
      </c>
      <c r="C44" s="4" t="s">
        <v>859</v>
      </c>
      <c r="M44" s="4"/>
    </row>
    <row r="45" spans="1:13" ht="15.6">
      <c r="A45" s="4" t="s">
        <v>711</v>
      </c>
      <c r="B45" s="4" t="s">
        <v>878</v>
      </c>
      <c r="C45" s="4" t="s">
        <v>859</v>
      </c>
      <c r="M45" s="4"/>
    </row>
    <row r="46" spans="1:13" ht="15.6">
      <c r="A46" s="4" t="s">
        <v>713</v>
      </c>
      <c r="B46" s="4" t="s">
        <v>879</v>
      </c>
      <c r="C46" s="4" t="s">
        <v>859</v>
      </c>
      <c r="M46" s="4"/>
    </row>
    <row r="47" spans="1:13" ht="15.6">
      <c r="A47" s="4" t="s">
        <v>755</v>
      </c>
      <c r="B47" s="4" t="s">
        <v>878</v>
      </c>
      <c r="C47" s="4" t="s">
        <v>859</v>
      </c>
      <c r="M47" s="4"/>
    </row>
    <row r="48" spans="1:13" ht="15.6">
      <c r="A48" s="4" t="s">
        <v>824</v>
      </c>
      <c r="B48" s="4" t="s">
        <v>877</v>
      </c>
      <c r="C48" s="4" t="s">
        <v>859</v>
      </c>
      <c r="M48" s="4"/>
    </row>
    <row r="49" spans="1:13" ht="15.6">
      <c r="A49" s="4" t="s">
        <v>828</v>
      </c>
      <c r="B49" s="4" t="s">
        <v>877</v>
      </c>
      <c r="C49" s="4" t="s">
        <v>859</v>
      </c>
      <c r="M49" s="4"/>
    </row>
    <row r="50" spans="1:13" ht="15.6">
      <c r="A50" s="4" t="s">
        <v>134</v>
      </c>
      <c r="B50" s="4" t="s">
        <v>880</v>
      </c>
      <c r="C50" s="4" t="s">
        <v>860</v>
      </c>
      <c r="M50" s="4"/>
    </row>
    <row r="51" spans="1:13" ht="15.6">
      <c r="A51" s="4" t="s">
        <v>181</v>
      </c>
      <c r="B51" s="4" t="s">
        <v>181</v>
      </c>
      <c r="C51" s="4" t="s">
        <v>860</v>
      </c>
      <c r="M51" s="4"/>
    </row>
    <row r="52" spans="1:13" ht="15.6">
      <c r="A52" s="4" t="s">
        <v>207</v>
      </c>
      <c r="B52" s="4" t="s">
        <v>207</v>
      </c>
      <c r="C52" s="4" t="s">
        <v>860</v>
      </c>
      <c r="M52" s="4"/>
    </row>
    <row r="53" spans="1:13" ht="15.6">
      <c r="A53" s="4" t="s">
        <v>271</v>
      </c>
      <c r="B53" s="4" t="s">
        <v>881</v>
      </c>
      <c r="C53" s="4" t="s">
        <v>860</v>
      </c>
      <c r="M53" s="4"/>
    </row>
    <row r="54" spans="1:13" ht="15.6">
      <c r="A54" s="4" t="s">
        <v>284</v>
      </c>
      <c r="B54" s="4" t="s">
        <v>880</v>
      </c>
      <c r="C54" s="4" t="s">
        <v>860</v>
      </c>
      <c r="M54" s="4"/>
    </row>
    <row r="55" spans="1:13" ht="15.6">
      <c r="A55" s="4" t="s">
        <v>286</v>
      </c>
      <c r="B55" s="4" t="s">
        <v>882</v>
      </c>
      <c r="C55" s="4" t="s">
        <v>860</v>
      </c>
      <c r="M55" s="4"/>
    </row>
    <row r="56" spans="1:13" ht="15.6">
      <c r="A56" s="4" t="s">
        <v>294</v>
      </c>
      <c r="B56" s="4" t="s">
        <v>880</v>
      </c>
      <c r="C56" s="4" t="s">
        <v>860</v>
      </c>
      <c r="M56" s="4"/>
    </row>
    <row r="57" spans="1:13" ht="15.6">
      <c r="A57" s="4" t="s">
        <v>297</v>
      </c>
      <c r="B57" s="4" t="s">
        <v>882</v>
      </c>
      <c r="C57" s="4" t="s">
        <v>860</v>
      </c>
      <c r="M57" s="4"/>
    </row>
    <row r="58" spans="1:13" ht="15.6">
      <c r="A58" s="4" t="s">
        <v>311</v>
      </c>
      <c r="B58" s="4" t="s">
        <v>882</v>
      </c>
      <c r="C58" s="4" t="s">
        <v>860</v>
      </c>
      <c r="M58" s="4"/>
    </row>
    <row r="59" spans="1:13" ht="15.6">
      <c r="A59" s="4" t="s">
        <v>316</v>
      </c>
      <c r="B59" s="4" t="s">
        <v>880</v>
      </c>
      <c r="C59" s="4" t="s">
        <v>860</v>
      </c>
      <c r="M59" s="4"/>
    </row>
    <row r="60" spans="1:13" ht="15.6">
      <c r="A60" s="4" t="s">
        <v>321</v>
      </c>
      <c r="B60" s="4" t="s">
        <v>881</v>
      </c>
      <c r="C60" s="4" t="s">
        <v>860</v>
      </c>
      <c r="M60" s="4"/>
    </row>
    <row r="61" spans="1:13" ht="15.6">
      <c r="A61" s="4" t="s">
        <v>325</v>
      </c>
      <c r="B61" s="4" t="s">
        <v>882</v>
      </c>
      <c r="C61" s="4" t="s">
        <v>860</v>
      </c>
      <c r="M61" s="4"/>
    </row>
    <row r="62" spans="1:13" ht="15.6">
      <c r="A62" s="4" t="s">
        <v>374</v>
      </c>
      <c r="B62" s="4" t="s">
        <v>880</v>
      </c>
      <c r="C62" s="4" t="s">
        <v>860</v>
      </c>
      <c r="M62" s="4"/>
    </row>
    <row r="63" spans="1:13" ht="15.6">
      <c r="A63" s="4" t="s">
        <v>376</v>
      </c>
      <c r="B63" s="4" t="s">
        <v>207</v>
      </c>
      <c r="C63" s="4" t="s">
        <v>860</v>
      </c>
      <c r="M63" s="4"/>
    </row>
    <row r="64" spans="1:13" ht="15.6">
      <c r="A64" s="4" t="s">
        <v>378</v>
      </c>
      <c r="B64" s="4" t="s">
        <v>880</v>
      </c>
      <c r="C64" s="4" t="s">
        <v>860</v>
      </c>
      <c r="M64" s="4"/>
    </row>
    <row r="65" spans="1:13" ht="15.6">
      <c r="A65" s="4" t="s">
        <v>390</v>
      </c>
      <c r="B65" s="4" t="s">
        <v>880</v>
      </c>
      <c r="C65" s="4" t="s">
        <v>860</v>
      </c>
      <c r="M65" s="4"/>
    </row>
    <row r="66" spans="1:13" ht="15.6">
      <c r="A66" s="4" t="s">
        <v>474</v>
      </c>
      <c r="B66" s="4" t="s">
        <v>881</v>
      </c>
      <c r="C66" s="4" t="s">
        <v>860</v>
      </c>
      <c r="M66" s="4"/>
    </row>
    <row r="67" spans="1:13" ht="15.6">
      <c r="A67" s="4" t="s">
        <v>487</v>
      </c>
      <c r="B67" s="4" t="s">
        <v>880</v>
      </c>
      <c r="C67" s="4" t="s">
        <v>860</v>
      </c>
      <c r="M67" s="4"/>
    </row>
    <row r="68" spans="1:13" ht="15.6">
      <c r="A68" s="4" t="s">
        <v>516</v>
      </c>
      <c r="B68" s="4" t="s">
        <v>881</v>
      </c>
      <c r="C68" s="4" t="s">
        <v>860</v>
      </c>
      <c r="M68" s="4"/>
    </row>
    <row r="69" spans="1:13" ht="15.6">
      <c r="A69" s="4" t="s">
        <v>588</v>
      </c>
      <c r="B69" s="4" t="s">
        <v>882</v>
      </c>
      <c r="C69" s="4" t="s">
        <v>860</v>
      </c>
      <c r="M69" s="4"/>
    </row>
    <row r="70" spans="1:13" ht="15.6">
      <c r="A70" s="4" t="s">
        <v>635</v>
      </c>
      <c r="B70" s="4" t="s">
        <v>880</v>
      </c>
      <c r="C70" s="4" t="s">
        <v>860</v>
      </c>
      <c r="M70" s="4"/>
    </row>
    <row r="71" spans="1:13" ht="15.6">
      <c r="A71" s="4" t="s">
        <v>639</v>
      </c>
      <c r="B71" s="4" t="s">
        <v>181</v>
      </c>
      <c r="C71" s="4" t="s">
        <v>860</v>
      </c>
      <c r="M71" s="4"/>
    </row>
    <row r="72" spans="1:13" ht="15.6">
      <c r="A72" s="4" t="s">
        <v>695</v>
      </c>
      <c r="B72" s="4" t="s">
        <v>181</v>
      </c>
      <c r="C72" s="4" t="s">
        <v>860</v>
      </c>
      <c r="M72" s="4"/>
    </row>
    <row r="73" spans="1:13" ht="15.6">
      <c r="A73" s="4" t="s">
        <v>709</v>
      </c>
      <c r="B73" s="4" t="s">
        <v>882</v>
      </c>
      <c r="C73" s="4" t="s">
        <v>860</v>
      </c>
      <c r="M73" s="4"/>
    </row>
    <row r="74" spans="1:13" ht="15.6">
      <c r="A74" s="4" t="s">
        <v>720</v>
      </c>
      <c r="B74" s="4" t="s">
        <v>882</v>
      </c>
      <c r="C74" s="4" t="s">
        <v>860</v>
      </c>
      <c r="M74" s="4"/>
    </row>
    <row r="75" spans="1:13" ht="15.6">
      <c r="A75" s="4" t="s">
        <v>737</v>
      </c>
      <c r="B75" s="4" t="s">
        <v>881</v>
      </c>
      <c r="C75" s="4" t="s">
        <v>860</v>
      </c>
      <c r="M75" s="4"/>
    </row>
    <row r="76" spans="1:13" ht="15.6">
      <c r="A76" s="4" t="s">
        <v>746</v>
      </c>
      <c r="B76" s="4" t="s">
        <v>207</v>
      </c>
      <c r="C76" s="4" t="s">
        <v>860</v>
      </c>
      <c r="M76" s="4"/>
    </row>
    <row r="77" spans="1:13" ht="15.6">
      <c r="A77" s="4" t="s">
        <v>762</v>
      </c>
      <c r="B77" s="4" t="s">
        <v>881</v>
      </c>
      <c r="C77" s="4" t="s">
        <v>860</v>
      </c>
      <c r="M77" s="4"/>
    </row>
    <row r="78" spans="1:13" ht="15.6">
      <c r="A78" s="4" t="s">
        <v>765</v>
      </c>
      <c r="B78" s="4" t="s">
        <v>881</v>
      </c>
      <c r="C78" s="4" t="s">
        <v>860</v>
      </c>
      <c r="M78" s="4"/>
    </row>
    <row r="79" spans="1:13" ht="15.6">
      <c r="A79" s="4" t="s">
        <v>771</v>
      </c>
      <c r="B79" s="4" t="s">
        <v>881</v>
      </c>
      <c r="C79" s="4" t="s">
        <v>860</v>
      </c>
      <c r="M79" s="4"/>
    </row>
    <row r="80" spans="1:13" ht="15.6">
      <c r="A80" s="4" t="s">
        <v>806</v>
      </c>
      <c r="B80" s="4" t="s">
        <v>880</v>
      </c>
      <c r="C80" s="4" t="s">
        <v>860</v>
      </c>
      <c r="M80" s="4"/>
    </row>
    <row r="81" spans="1:13" ht="15.6">
      <c r="A81" s="4" t="s">
        <v>95</v>
      </c>
      <c r="B81" s="4" t="s">
        <v>883</v>
      </c>
      <c r="C81" s="4" t="s">
        <v>855</v>
      </c>
      <c r="M81" s="4"/>
    </row>
    <row r="82" spans="1:13" ht="15.6">
      <c r="A82" s="4" t="s">
        <v>103</v>
      </c>
      <c r="B82" s="4" t="s">
        <v>884</v>
      </c>
      <c r="C82" s="4" t="s">
        <v>855</v>
      </c>
      <c r="M82" s="4"/>
    </row>
    <row r="83" spans="1:13" ht="15.6">
      <c r="A83" s="4" t="s">
        <v>108</v>
      </c>
      <c r="B83" s="4" t="s">
        <v>885</v>
      </c>
      <c r="C83" s="4" t="s">
        <v>855</v>
      </c>
      <c r="M83" s="4"/>
    </row>
    <row r="84" spans="1:13" ht="15.6">
      <c r="A84" s="4" t="s">
        <v>120</v>
      </c>
      <c r="B84" s="4" t="s">
        <v>886</v>
      </c>
      <c r="C84" s="4" t="s">
        <v>855</v>
      </c>
      <c r="M84" s="4"/>
    </row>
    <row r="85" spans="1:13" ht="15.6">
      <c r="A85" s="4" t="s">
        <v>124</v>
      </c>
      <c r="B85" s="4" t="s">
        <v>884</v>
      </c>
      <c r="C85" s="4" t="s">
        <v>855</v>
      </c>
      <c r="M85" s="4"/>
    </row>
    <row r="86" spans="1:13" ht="15.6">
      <c r="A86" s="4" t="s">
        <v>127</v>
      </c>
      <c r="B86" s="4" t="s">
        <v>127</v>
      </c>
      <c r="C86" s="4" t="s">
        <v>855</v>
      </c>
      <c r="M86" s="4"/>
    </row>
    <row r="87" spans="1:13" ht="15.6">
      <c r="A87" s="4" t="s">
        <v>129</v>
      </c>
      <c r="B87" s="4" t="s">
        <v>883</v>
      </c>
      <c r="C87" s="4" t="s">
        <v>855</v>
      </c>
      <c r="M87" s="4"/>
    </row>
    <row r="88" spans="1:13" ht="15.6">
      <c r="A88" s="4" t="s">
        <v>137</v>
      </c>
      <c r="B88" s="4" t="s">
        <v>883</v>
      </c>
      <c r="C88" s="4" t="s">
        <v>855</v>
      </c>
      <c r="M88" s="4"/>
    </row>
    <row r="89" spans="1:13" ht="15.6">
      <c r="A89" s="4" t="s">
        <v>140</v>
      </c>
      <c r="B89" s="4" t="s">
        <v>887</v>
      </c>
      <c r="C89" s="4" t="s">
        <v>855</v>
      </c>
      <c r="M89" s="4"/>
    </row>
    <row r="90" spans="1:13" ht="15.6">
      <c r="A90" s="4" t="s">
        <v>143</v>
      </c>
      <c r="B90" s="4" t="s">
        <v>888</v>
      </c>
      <c r="C90" s="4" t="s">
        <v>855</v>
      </c>
      <c r="M90" s="4"/>
    </row>
    <row r="91" spans="1:13" ht="15.6">
      <c r="A91" s="4" t="s">
        <v>148</v>
      </c>
      <c r="B91" s="4" t="s">
        <v>884</v>
      </c>
      <c r="C91" s="4" t="s">
        <v>855</v>
      </c>
      <c r="M91" s="4"/>
    </row>
    <row r="92" spans="1:13" ht="15.6">
      <c r="A92" s="4" t="s">
        <v>152</v>
      </c>
      <c r="B92" s="4" t="s">
        <v>885</v>
      </c>
      <c r="C92" s="4" t="s">
        <v>855</v>
      </c>
      <c r="M92" s="4"/>
    </row>
    <row r="93" spans="1:13" ht="15.6">
      <c r="A93" s="4" t="s">
        <v>154</v>
      </c>
      <c r="B93" s="4" t="s">
        <v>888</v>
      </c>
      <c r="C93" s="4" t="s">
        <v>855</v>
      </c>
      <c r="M93" s="4"/>
    </row>
    <row r="94" spans="1:13" ht="15.6">
      <c r="A94" s="4" t="s">
        <v>170</v>
      </c>
      <c r="B94" s="4" t="s">
        <v>886</v>
      </c>
      <c r="C94" s="4" t="s">
        <v>855</v>
      </c>
      <c r="M94" s="4"/>
    </row>
    <row r="95" spans="1:13" ht="15.6">
      <c r="A95" s="4" t="s">
        <v>179</v>
      </c>
      <c r="B95" s="4" t="s">
        <v>886</v>
      </c>
      <c r="C95" s="4" t="s">
        <v>855</v>
      </c>
      <c r="M95" s="4"/>
    </row>
    <row r="96" spans="1:13" ht="15.6">
      <c r="A96" s="4" t="s">
        <v>185</v>
      </c>
      <c r="B96" s="4" t="s">
        <v>883</v>
      </c>
      <c r="C96" s="4" t="s">
        <v>855</v>
      </c>
      <c r="M96" s="4"/>
    </row>
    <row r="97" spans="1:13" ht="15.6">
      <c r="A97" s="4" t="s">
        <v>201</v>
      </c>
      <c r="B97" s="4" t="s">
        <v>884</v>
      </c>
      <c r="C97" s="4" t="s">
        <v>855</v>
      </c>
      <c r="M97" s="4"/>
    </row>
    <row r="98" spans="1:13" ht="15.6">
      <c r="A98" s="4" t="s">
        <v>205</v>
      </c>
      <c r="B98" s="4" t="s">
        <v>887</v>
      </c>
      <c r="C98" s="4" t="s">
        <v>855</v>
      </c>
      <c r="M98" s="4"/>
    </row>
    <row r="99" spans="1:13" ht="15.6">
      <c r="A99" s="4" t="s">
        <v>213</v>
      </c>
      <c r="B99" s="4" t="s">
        <v>884</v>
      </c>
      <c r="C99" s="4" t="s">
        <v>855</v>
      </c>
      <c r="M99" s="4"/>
    </row>
    <row r="100" spans="1:13" ht="15.6">
      <c r="A100" s="4" t="s">
        <v>220</v>
      </c>
      <c r="B100" s="4" t="s">
        <v>886</v>
      </c>
      <c r="C100" s="4" t="s">
        <v>855</v>
      </c>
      <c r="M100" s="4"/>
    </row>
    <row r="101" spans="1:13" ht="15.6">
      <c r="A101" s="4" t="s">
        <v>222</v>
      </c>
      <c r="B101" s="4" t="s">
        <v>884</v>
      </c>
      <c r="C101" s="4" t="s">
        <v>855</v>
      </c>
      <c r="M101" s="4"/>
    </row>
    <row r="102" spans="1:13" ht="15.6">
      <c r="A102" s="4" t="s">
        <v>235</v>
      </c>
      <c r="B102" s="4" t="s">
        <v>884</v>
      </c>
      <c r="C102" s="4" t="s">
        <v>855</v>
      </c>
      <c r="M102" s="4"/>
    </row>
    <row r="103" spans="1:13" ht="15.6">
      <c r="A103" s="4" t="s">
        <v>237</v>
      </c>
      <c r="B103" s="4" t="s">
        <v>884</v>
      </c>
      <c r="C103" s="4" t="s">
        <v>855</v>
      </c>
      <c r="M103" s="4"/>
    </row>
    <row r="104" spans="1:13" ht="15.6">
      <c r="A104" s="4" t="s">
        <v>245</v>
      </c>
      <c r="B104" s="4" t="s">
        <v>886</v>
      </c>
      <c r="C104" s="4" t="s">
        <v>855</v>
      </c>
      <c r="M104" s="4"/>
    </row>
    <row r="105" spans="1:13" ht="15.6">
      <c r="A105" s="4" t="s">
        <v>256</v>
      </c>
      <c r="B105" s="4" t="s">
        <v>883</v>
      </c>
      <c r="C105" s="4" t="s">
        <v>855</v>
      </c>
      <c r="M105" s="4"/>
    </row>
    <row r="106" spans="1:13" ht="15.6">
      <c r="A106" s="4" t="s">
        <v>262</v>
      </c>
      <c r="B106" s="4" t="s">
        <v>886</v>
      </c>
      <c r="C106" s="4" t="s">
        <v>855</v>
      </c>
      <c r="M106" s="4"/>
    </row>
    <row r="107" spans="1:13" ht="15.6">
      <c r="A107" s="4" t="s">
        <v>290</v>
      </c>
      <c r="B107" s="4" t="s">
        <v>884</v>
      </c>
      <c r="C107" s="4" t="s">
        <v>855</v>
      </c>
      <c r="M107" s="4"/>
    </row>
    <row r="108" spans="1:13" ht="15.6">
      <c r="A108" s="4" t="s">
        <v>302</v>
      </c>
      <c r="B108" s="4" t="s">
        <v>886</v>
      </c>
      <c r="C108" s="4" t="s">
        <v>855</v>
      </c>
      <c r="M108" s="4"/>
    </row>
    <row r="109" spans="1:13" ht="15.6">
      <c r="A109" s="4" t="s">
        <v>328</v>
      </c>
      <c r="B109" s="4" t="s">
        <v>886</v>
      </c>
      <c r="C109" s="4" t="s">
        <v>855</v>
      </c>
      <c r="M109" s="4"/>
    </row>
    <row r="110" spans="1:13" ht="15.6">
      <c r="A110" s="4" t="s">
        <v>341</v>
      </c>
      <c r="B110" s="4" t="s">
        <v>884</v>
      </c>
      <c r="C110" s="4" t="s">
        <v>855</v>
      </c>
      <c r="M110" s="4"/>
    </row>
    <row r="111" spans="1:13" ht="15.6">
      <c r="A111" s="4" t="s">
        <v>343</v>
      </c>
      <c r="B111" s="4" t="s">
        <v>888</v>
      </c>
      <c r="C111" s="4" t="s">
        <v>855</v>
      </c>
      <c r="M111" s="4"/>
    </row>
    <row r="112" spans="1:13" ht="15.6">
      <c r="A112" s="4" t="s">
        <v>349</v>
      </c>
      <c r="B112" s="4" t="s">
        <v>884</v>
      </c>
      <c r="C112" s="4" t="s">
        <v>855</v>
      </c>
      <c r="M112" s="4"/>
    </row>
    <row r="113" spans="1:13" ht="15.6">
      <c r="A113" s="4" t="s">
        <v>354</v>
      </c>
      <c r="B113" s="4" t="s">
        <v>885</v>
      </c>
      <c r="C113" s="4" t="s">
        <v>855</v>
      </c>
      <c r="M113" s="4"/>
    </row>
    <row r="114" spans="1:13" ht="15.6">
      <c r="A114" s="4" t="s">
        <v>357</v>
      </c>
      <c r="B114" s="4" t="s">
        <v>883</v>
      </c>
      <c r="C114" s="4" t="s">
        <v>855</v>
      </c>
      <c r="M114" s="4"/>
    </row>
    <row r="115" spans="1:13" ht="15.6">
      <c r="A115" s="4" t="s">
        <v>372</v>
      </c>
      <c r="B115" s="4" t="s">
        <v>888</v>
      </c>
      <c r="C115" s="4" t="s">
        <v>855</v>
      </c>
      <c r="M115" s="4"/>
    </row>
    <row r="116" spans="1:13" ht="15.6">
      <c r="A116" s="4" t="s">
        <v>397</v>
      </c>
      <c r="B116" s="4" t="s">
        <v>883</v>
      </c>
      <c r="C116" s="4" t="s">
        <v>855</v>
      </c>
      <c r="M116" s="4"/>
    </row>
    <row r="117" spans="1:13" ht="15.6">
      <c r="A117" s="4" t="s">
        <v>407</v>
      </c>
      <c r="B117" s="4" t="s">
        <v>886</v>
      </c>
      <c r="C117" s="4" t="s">
        <v>855</v>
      </c>
      <c r="M117" s="4"/>
    </row>
    <row r="118" spans="1:13" ht="15.6">
      <c r="A118" s="4" t="s">
        <v>416</v>
      </c>
      <c r="B118" s="4" t="s">
        <v>883</v>
      </c>
      <c r="C118" s="4" t="s">
        <v>855</v>
      </c>
      <c r="M118" s="4"/>
    </row>
    <row r="119" spans="1:13" ht="15.6">
      <c r="A119" s="4" t="s">
        <v>418</v>
      </c>
      <c r="B119" s="4" t="s">
        <v>886</v>
      </c>
      <c r="C119" s="4" t="s">
        <v>855</v>
      </c>
      <c r="M119" s="4"/>
    </row>
    <row r="120" spans="1:13" ht="15.6">
      <c r="A120" s="4" t="s">
        <v>432</v>
      </c>
      <c r="B120" s="4" t="s">
        <v>884</v>
      </c>
      <c r="C120" s="4" t="s">
        <v>855</v>
      </c>
      <c r="M120" s="4"/>
    </row>
    <row r="121" spans="1:13" ht="15.6">
      <c r="A121" s="4" t="s">
        <v>472</v>
      </c>
      <c r="B121" s="4" t="s">
        <v>883</v>
      </c>
      <c r="C121" s="4" t="s">
        <v>855</v>
      </c>
      <c r="M121" s="4"/>
    </row>
    <row r="122" spans="1:13" ht="15.6">
      <c r="A122" s="4" t="s">
        <v>476</v>
      </c>
      <c r="B122" s="4" t="s">
        <v>886</v>
      </c>
      <c r="C122" s="4" t="s">
        <v>855</v>
      </c>
      <c r="M122" s="4"/>
    </row>
    <row r="123" spans="1:13" ht="15.6">
      <c r="A123" s="4" t="s">
        <v>481</v>
      </c>
      <c r="B123" s="4" t="s">
        <v>888</v>
      </c>
      <c r="C123" s="4" t="s">
        <v>855</v>
      </c>
      <c r="M123" s="4"/>
    </row>
    <row r="124" spans="1:13" ht="15.6">
      <c r="A124" s="4" t="s">
        <v>496</v>
      </c>
      <c r="B124" s="4" t="s">
        <v>886</v>
      </c>
      <c r="C124" s="4" t="s">
        <v>855</v>
      </c>
      <c r="M124" s="4"/>
    </row>
    <row r="125" spans="1:13" ht="15.6">
      <c r="A125" s="4" t="s">
        <v>500</v>
      </c>
      <c r="B125" s="4" t="s">
        <v>884</v>
      </c>
      <c r="C125" s="4" t="s">
        <v>855</v>
      </c>
      <c r="M125" s="4"/>
    </row>
    <row r="126" spans="1:13" ht="15.6">
      <c r="A126" s="4" t="s">
        <v>509</v>
      </c>
      <c r="B126" s="4" t="s">
        <v>886</v>
      </c>
      <c r="C126" s="4" t="s">
        <v>855</v>
      </c>
      <c r="M126" s="4"/>
    </row>
    <row r="127" spans="1:13" ht="15.6">
      <c r="A127" s="4" t="s">
        <v>524</v>
      </c>
      <c r="B127" s="4" t="s">
        <v>886</v>
      </c>
      <c r="C127" s="4" t="s">
        <v>855</v>
      </c>
      <c r="M127" s="4"/>
    </row>
    <row r="128" spans="1:13" ht="15.6">
      <c r="A128" s="4" t="s">
        <v>533</v>
      </c>
      <c r="B128" s="4" t="s">
        <v>887</v>
      </c>
      <c r="C128" s="4" t="s">
        <v>855</v>
      </c>
      <c r="M128" s="4"/>
    </row>
    <row r="129" spans="1:13" ht="15.6">
      <c r="A129" s="4" t="s">
        <v>547</v>
      </c>
      <c r="B129" s="4" t="s">
        <v>884</v>
      </c>
      <c r="C129" s="4" t="s">
        <v>855</v>
      </c>
      <c r="M129" s="4"/>
    </row>
    <row r="130" spans="1:13" ht="15.6">
      <c r="A130" s="4" t="s">
        <v>556</v>
      </c>
      <c r="B130" s="4" t="s">
        <v>886</v>
      </c>
      <c r="C130" s="4" t="s">
        <v>855</v>
      </c>
      <c r="M130" s="4"/>
    </row>
    <row r="131" spans="1:13" ht="15.6">
      <c r="A131" s="4" t="s">
        <v>568</v>
      </c>
      <c r="B131" s="4" t="s">
        <v>884</v>
      </c>
      <c r="C131" s="4" t="s">
        <v>855</v>
      </c>
      <c r="M131" s="4"/>
    </row>
    <row r="132" spans="1:13" ht="15.6">
      <c r="A132" s="4" t="s">
        <v>571</v>
      </c>
      <c r="B132" s="4" t="s">
        <v>886</v>
      </c>
      <c r="C132" s="4" t="s">
        <v>855</v>
      </c>
      <c r="M132" s="4"/>
    </row>
    <row r="133" spans="1:13" ht="15.6">
      <c r="A133" s="4" t="s">
        <v>580</v>
      </c>
      <c r="B133" s="4" t="s">
        <v>887</v>
      </c>
      <c r="C133" s="4" t="s">
        <v>855</v>
      </c>
      <c r="M133" s="4"/>
    </row>
    <row r="134" spans="1:13" ht="15.6">
      <c r="A134" s="4" t="s">
        <v>590</v>
      </c>
      <c r="B134" s="4" t="s">
        <v>884</v>
      </c>
      <c r="C134" s="4" t="s">
        <v>855</v>
      </c>
      <c r="M134" s="4"/>
    </row>
    <row r="135" spans="1:13" ht="15.6">
      <c r="A135" s="4" t="s">
        <v>597</v>
      </c>
      <c r="B135" s="4" t="s">
        <v>887</v>
      </c>
      <c r="C135" s="4" t="s">
        <v>855</v>
      </c>
      <c r="M135" s="4"/>
    </row>
    <row r="136" spans="1:13" ht="15.6">
      <c r="A136" s="4" t="s">
        <v>600</v>
      </c>
      <c r="B136" s="4" t="s">
        <v>886</v>
      </c>
      <c r="C136" s="4" t="s">
        <v>855</v>
      </c>
      <c r="M136" s="4"/>
    </row>
    <row r="137" spans="1:13" ht="15.6">
      <c r="A137" s="4" t="s">
        <v>603</v>
      </c>
      <c r="B137" s="4" t="s">
        <v>886</v>
      </c>
      <c r="C137" s="4" t="s">
        <v>855</v>
      </c>
      <c r="M137" s="4"/>
    </row>
    <row r="138" spans="1:13" ht="15.6">
      <c r="A138" s="4" t="s">
        <v>624</v>
      </c>
      <c r="B138" s="4" t="s">
        <v>884</v>
      </c>
      <c r="C138" s="4" t="s">
        <v>855</v>
      </c>
      <c r="M138" s="4"/>
    </row>
    <row r="139" spans="1:13" ht="15.6">
      <c r="A139" s="4" t="s">
        <v>667</v>
      </c>
      <c r="B139" s="4" t="s">
        <v>883</v>
      </c>
      <c r="C139" s="4" t="s">
        <v>855</v>
      </c>
      <c r="M139" s="4"/>
    </row>
    <row r="140" spans="1:13" ht="15.6">
      <c r="A140" s="4" t="s">
        <v>677</v>
      </c>
      <c r="B140" s="4" t="s">
        <v>886</v>
      </c>
      <c r="C140" s="4" t="s">
        <v>855</v>
      </c>
      <c r="M140" s="4"/>
    </row>
    <row r="141" spans="1:13" ht="15.6">
      <c r="A141" s="4" t="s">
        <v>297</v>
      </c>
      <c r="B141" s="4" t="s">
        <v>886</v>
      </c>
      <c r="C141" s="4" t="s">
        <v>855</v>
      </c>
      <c r="M141" s="4"/>
    </row>
    <row r="142" spans="1:13" ht="15.6">
      <c r="A142" s="4" t="s">
        <v>686</v>
      </c>
      <c r="B142" s="4" t="s">
        <v>888</v>
      </c>
      <c r="C142" s="4" t="s">
        <v>855</v>
      </c>
      <c r="M142" s="4"/>
    </row>
    <row r="143" spans="1:13" ht="15.6">
      <c r="A143" s="4" t="s">
        <v>689</v>
      </c>
      <c r="B143" s="4" t="s">
        <v>887</v>
      </c>
      <c r="C143" s="4" t="s">
        <v>855</v>
      </c>
      <c r="M143" s="4"/>
    </row>
    <row r="144" spans="1:13" ht="15.6">
      <c r="A144" s="4" t="s">
        <v>704</v>
      </c>
      <c r="B144" s="4" t="s">
        <v>885</v>
      </c>
      <c r="C144" s="4" t="s">
        <v>855</v>
      </c>
      <c r="M144" s="4"/>
    </row>
    <row r="145" spans="1:13" ht="15.6">
      <c r="A145" s="4" t="s">
        <v>744</v>
      </c>
      <c r="B145" s="4" t="s">
        <v>884</v>
      </c>
      <c r="C145" s="4" t="s">
        <v>855</v>
      </c>
      <c r="M145" s="4"/>
    </row>
    <row r="146" spans="1:13" ht="15.6">
      <c r="A146" s="4" t="s">
        <v>752</v>
      </c>
      <c r="B146" s="4" t="s">
        <v>883</v>
      </c>
      <c r="C146" s="4" t="s">
        <v>855</v>
      </c>
      <c r="M146" s="4"/>
    </row>
    <row r="147" spans="1:13" ht="15.6">
      <c r="A147" s="4" t="s">
        <v>789</v>
      </c>
      <c r="B147" s="4" t="s">
        <v>886</v>
      </c>
      <c r="C147" s="4" t="s">
        <v>855</v>
      </c>
      <c r="M147" s="4"/>
    </row>
    <row r="148" spans="1:13" ht="15.6">
      <c r="A148" s="4" t="s">
        <v>793</v>
      </c>
      <c r="B148" s="4" t="s">
        <v>888</v>
      </c>
      <c r="C148" s="4" t="s">
        <v>855</v>
      </c>
      <c r="M148" s="4"/>
    </row>
    <row r="149" spans="1:13" ht="15.6">
      <c r="A149" s="4" t="s">
        <v>799</v>
      </c>
      <c r="B149" s="4" t="s">
        <v>885</v>
      </c>
      <c r="C149" s="4" t="s">
        <v>855</v>
      </c>
      <c r="M149" s="4"/>
    </row>
    <row r="150" spans="1:13" ht="15.6">
      <c r="A150" s="4" t="s">
        <v>808</v>
      </c>
      <c r="B150" s="4" t="s">
        <v>888</v>
      </c>
      <c r="C150" s="4" t="s">
        <v>855</v>
      </c>
      <c r="M150" s="4"/>
    </row>
    <row r="151" spans="1:13" ht="15.6">
      <c r="A151" s="4" t="s">
        <v>810</v>
      </c>
      <c r="B151" s="4" t="s">
        <v>886</v>
      </c>
      <c r="C151" s="4" t="s">
        <v>855</v>
      </c>
      <c r="M151" s="4"/>
    </row>
    <row r="152" spans="1:13" ht="15.6">
      <c r="A152" s="4" t="s">
        <v>834</v>
      </c>
      <c r="B152" s="4" t="s">
        <v>886</v>
      </c>
      <c r="C152" s="4" t="s">
        <v>855</v>
      </c>
      <c r="M152" s="4"/>
    </row>
    <row r="153" spans="1:13" ht="15.6">
      <c r="A153" s="4" t="s">
        <v>841</v>
      </c>
      <c r="B153" s="4" t="s">
        <v>886</v>
      </c>
      <c r="C153" s="4" t="s">
        <v>855</v>
      </c>
      <c r="M153" s="4"/>
    </row>
    <row r="154" spans="1:13" ht="15.6">
      <c r="A154" s="4" t="s">
        <v>115</v>
      </c>
      <c r="B154" s="4" t="s">
        <v>889</v>
      </c>
      <c r="C154" s="4" t="s">
        <v>858</v>
      </c>
      <c r="M154" s="4"/>
    </row>
    <row r="155" spans="1:13" ht="15.6">
      <c r="A155" s="4" t="s">
        <v>146</v>
      </c>
      <c r="B155" s="4" t="s">
        <v>890</v>
      </c>
      <c r="C155" s="4" t="s">
        <v>858</v>
      </c>
      <c r="M155" s="4"/>
    </row>
    <row r="156" spans="1:13" ht="15.6">
      <c r="A156" s="4" t="s">
        <v>164</v>
      </c>
      <c r="B156" s="4" t="s">
        <v>889</v>
      </c>
      <c r="C156" s="4" t="s">
        <v>858</v>
      </c>
      <c r="M156" s="4"/>
    </row>
    <row r="157" spans="1:13" ht="15.6">
      <c r="A157" s="4" t="s">
        <v>193</v>
      </c>
      <c r="B157" s="4" t="s">
        <v>891</v>
      </c>
      <c r="C157" s="4" t="s">
        <v>858</v>
      </c>
      <c r="M157" s="4"/>
    </row>
    <row r="158" spans="1:13" ht="15.6">
      <c r="A158" s="4" t="s">
        <v>199</v>
      </c>
      <c r="B158" s="4" t="s">
        <v>889</v>
      </c>
      <c r="C158" s="4" t="s">
        <v>858</v>
      </c>
      <c r="M158" s="4"/>
    </row>
    <row r="159" spans="1:13" ht="15.6">
      <c r="A159" s="4" t="s">
        <v>233</v>
      </c>
      <c r="B159" s="4" t="s">
        <v>890</v>
      </c>
      <c r="C159" s="4" t="s">
        <v>858</v>
      </c>
      <c r="M159" s="4"/>
    </row>
    <row r="160" spans="1:13" ht="15.6">
      <c r="A160" s="4" t="s">
        <v>468</v>
      </c>
      <c r="B160" s="4" t="s">
        <v>889</v>
      </c>
      <c r="C160" s="4" t="s">
        <v>858</v>
      </c>
      <c r="M160" s="4"/>
    </row>
    <row r="161" spans="1:13" ht="15.6">
      <c r="A161" s="4" t="s">
        <v>553</v>
      </c>
      <c r="B161" s="4" t="s">
        <v>890</v>
      </c>
      <c r="C161" s="4" t="s">
        <v>858</v>
      </c>
      <c r="M161" s="4"/>
    </row>
    <row r="162" spans="1:13" ht="15.6">
      <c r="A162" s="4" t="s">
        <v>582</v>
      </c>
      <c r="B162" s="4" t="s">
        <v>889</v>
      </c>
      <c r="C162" s="4" t="s">
        <v>858</v>
      </c>
      <c r="M162" s="4"/>
    </row>
    <row r="163" spans="1:13" ht="15.6">
      <c r="A163" s="4" t="s">
        <v>585</v>
      </c>
      <c r="B163" s="4" t="s">
        <v>892</v>
      </c>
      <c r="C163" s="4" t="s">
        <v>858</v>
      </c>
      <c r="M163" s="4"/>
    </row>
    <row r="164" spans="1:13" ht="15.6">
      <c r="A164" s="4" t="s">
        <v>633</v>
      </c>
      <c r="B164" s="4" t="s">
        <v>889</v>
      </c>
      <c r="C164" s="4" t="s">
        <v>858</v>
      </c>
      <c r="M164" s="4"/>
    </row>
    <row r="165" spans="1:13" ht="15.6">
      <c r="A165" s="4" t="s">
        <v>739</v>
      </c>
      <c r="B165" s="4" t="s">
        <v>893</v>
      </c>
      <c r="C165" s="4" t="s">
        <v>858</v>
      </c>
      <c r="M165" s="4"/>
    </row>
    <row r="166" spans="1:13" ht="15.6">
      <c r="A166" s="4" t="s">
        <v>783</v>
      </c>
      <c r="B166" s="4" t="s">
        <v>890</v>
      </c>
      <c r="C166" s="4" t="s">
        <v>858</v>
      </c>
      <c r="M166" s="4"/>
    </row>
    <row r="167" spans="1:13" ht="15.6">
      <c r="A167" s="4" t="s">
        <v>99</v>
      </c>
      <c r="B167" s="4" t="s">
        <v>894</v>
      </c>
      <c r="C167" s="4" t="s">
        <v>856</v>
      </c>
      <c r="M167" s="4"/>
    </row>
    <row r="168" spans="1:13" ht="15.6">
      <c r="A168" s="4" t="s">
        <v>183</v>
      </c>
      <c r="B168" s="4" t="s">
        <v>183</v>
      </c>
      <c r="C168" s="4" t="s">
        <v>856</v>
      </c>
      <c r="M168" s="4"/>
    </row>
    <row r="169" spans="1:13" ht="15.6">
      <c r="A169" s="4" t="s">
        <v>195</v>
      </c>
      <c r="B169" s="4" t="s">
        <v>894</v>
      </c>
      <c r="C169" s="4" t="s">
        <v>856</v>
      </c>
      <c r="M169" s="4"/>
    </row>
    <row r="170" spans="1:13" ht="15.6">
      <c r="A170" s="4" t="s">
        <v>241</v>
      </c>
      <c r="B170" s="4" t="s">
        <v>895</v>
      </c>
      <c r="C170" s="4" t="s">
        <v>856</v>
      </c>
      <c r="M170" s="4"/>
    </row>
    <row r="171" spans="1:13" ht="15.6">
      <c r="A171" s="4" t="s">
        <v>248</v>
      </c>
      <c r="B171" s="4" t="s">
        <v>895</v>
      </c>
      <c r="C171" s="4" t="s">
        <v>856</v>
      </c>
      <c r="M171" s="4"/>
    </row>
    <row r="172" spans="1:13" ht="15.6">
      <c r="A172" s="4" t="s">
        <v>260</v>
      </c>
      <c r="B172" s="4" t="s">
        <v>896</v>
      </c>
      <c r="C172" s="4" t="s">
        <v>856</v>
      </c>
      <c r="M172" s="4"/>
    </row>
    <row r="173" spans="1:13" ht="15.6">
      <c r="A173" s="4" t="s">
        <v>269</v>
      </c>
      <c r="B173" s="4" t="s">
        <v>894</v>
      </c>
      <c r="C173" s="4" t="s">
        <v>856</v>
      </c>
      <c r="M173" s="4"/>
    </row>
    <row r="174" spans="1:13" ht="15.6">
      <c r="A174" s="4" t="s">
        <v>292</v>
      </c>
      <c r="B174" s="4" t="s">
        <v>894</v>
      </c>
      <c r="C174" s="4" t="s">
        <v>856</v>
      </c>
      <c r="M174" s="4"/>
    </row>
    <row r="175" spans="1:13" ht="15.6">
      <c r="A175" s="4" t="s">
        <v>314</v>
      </c>
      <c r="B175" s="4" t="s">
        <v>894</v>
      </c>
      <c r="C175" s="4" t="s">
        <v>856</v>
      </c>
      <c r="M175" s="4"/>
    </row>
    <row r="176" spans="1:13" ht="15.6">
      <c r="A176" s="4" t="s">
        <v>337</v>
      </c>
      <c r="B176" s="4" t="s">
        <v>894</v>
      </c>
      <c r="C176" s="4" t="s">
        <v>856</v>
      </c>
      <c r="M176" s="4"/>
    </row>
    <row r="177" spans="1:13" ht="15.6">
      <c r="A177" s="4" t="s">
        <v>361</v>
      </c>
      <c r="B177" s="4" t="s">
        <v>895</v>
      </c>
      <c r="C177" s="4" t="s">
        <v>856</v>
      </c>
      <c r="M177" s="4"/>
    </row>
    <row r="178" spans="1:13" ht="15.6">
      <c r="A178" s="4" t="s">
        <v>403</v>
      </c>
      <c r="B178" s="4" t="s">
        <v>895</v>
      </c>
      <c r="C178" s="4" t="s">
        <v>856</v>
      </c>
      <c r="M178" s="4"/>
    </row>
    <row r="179" spans="1:13" ht="15.6">
      <c r="A179" s="4" t="s">
        <v>409</v>
      </c>
      <c r="B179" s="4" t="s">
        <v>183</v>
      </c>
      <c r="C179" s="4" t="s">
        <v>856</v>
      </c>
      <c r="M179" s="4"/>
    </row>
    <row r="180" spans="1:13" ht="15.6">
      <c r="A180" s="4" t="s">
        <v>429</v>
      </c>
      <c r="B180" s="4" t="s">
        <v>895</v>
      </c>
      <c r="C180" s="4" t="s">
        <v>856</v>
      </c>
      <c r="M180" s="4"/>
    </row>
    <row r="181" spans="1:13" ht="15.6">
      <c r="A181" s="4" t="s">
        <v>452</v>
      </c>
      <c r="B181" s="4" t="s">
        <v>183</v>
      </c>
      <c r="C181" s="4" t="s">
        <v>856</v>
      </c>
      <c r="M181" s="4"/>
    </row>
    <row r="182" spans="1:13" ht="15.6">
      <c r="A182" s="4" t="s">
        <v>479</v>
      </c>
      <c r="B182" s="4" t="s">
        <v>896</v>
      </c>
      <c r="C182" s="4" t="s">
        <v>856</v>
      </c>
      <c r="M182" s="4"/>
    </row>
    <row r="183" spans="1:13" ht="15.6">
      <c r="A183" s="4" t="s">
        <v>559</v>
      </c>
      <c r="B183" s="4" t="s">
        <v>894</v>
      </c>
      <c r="C183" s="4" t="s">
        <v>856</v>
      </c>
      <c r="M183" s="4"/>
    </row>
    <row r="184" spans="1:13" ht="15.6">
      <c r="A184" s="4" t="s">
        <v>562</v>
      </c>
      <c r="B184" s="4" t="s">
        <v>895</v>
      </c>
      <c r="C184" s="4" t="s">
        <v>856</v>
      </c>
      <c r="M184" s="4"/>
    </row>
    <row r="185" spans="1:13" ht="15.6">
      <c r="A185" s="4" t="s">
        <v>564</v>
      </c>
      <c r="B185" s="4" t="s">
        <v>894</v>
      </c>
      <c r="C185" s="4" t="s">
        <v>856</v>
      </c>
      <c r="M185" s="4"/>
    </row>
    <row r="186" spans="1:13" ht="15.6">
      <c r="A186" s="4" t="s">
        <v>659</v>
      </c>
      <c r="B186" s="4" t="s">
        <v>895</v>
      </c>
      <c r="C186" s="4" t="s">
        <v>856</v>
      </c>
      <c r="M186" s="4"/>
    </row>
    <row r="187" spans="1:13" ht="15.6">
      <c r="A187" s="4" t="s">
        <v>664</v>
      </c>
      <c r="B187" s="4" t="s">
        <v>896</v>
      </c>
      <c r="C187" s="4" t="s">
        <v>856</v>
      </c>
      <c r="M187" s="4"/>
    </row>
    <row r="188" spans="1:13" ht="15.6">
      <c r="A188" s="4" t="s">
        <v>716</v>
      </c>
      <c r="B188" s="4" t="s">
        <v>896</v>
      </c>
      <c r="C188" s="4" t="s">
        <v>856</v>
      </c>
      <c r="M188" s="4"/>
    </row>
    <row r="189" spans="1:13" ht="15.6">
      <c r="A189" s="4" t="s">
        <v>725</v>
      </c>
      <c r="B189" s="4" t="s">
        <v>895</v>
      </c>
      <c r="C189" s="4" t="s">
        <v>856</v>
      </c>
      <c r="M189" s="4"/>
    </row>
    <row r="190" spans="1:13" ht="15.6">
      <c r="A190" s="4" t="s">
        <v>787</v>
      </c>
      <c r="B190" s="4" t="s">
        <v>896</v>
      </c>
      <c r="C190" s="4" t="s">
        <v>856</v>
      </c>
      <c r="M190" s="4"/>
    </row>
    <row r="191" spans="1:13" ht="15.6">
      <c r="A191" s="4" t="s">
        <v>804</v>
      </c>
      <c r="B191" s="4" t="s">
        <v>894</v>
      </c>
      <c r="C191" s="4" t="s">
        <v>856</v>
      </c>
      <c r="M191" s="4"/>
    </row>
    <row r="192" spans="1:13" ht="15.6">
      <c r="A192" s="4" t="s">
        <v>814</v>
      </c>
      <c r="B192" s="4" t="s">
        <v>896</v>
      </c>
      <c r="C192" s="4" t="s">
        <v>856</v>
      </c>
      <c r="M192" s="4"/>
    </row>
    <row r="193" spans="1:13" ht="15.6">
      <c r="A193" s="4" t="s">
        <v>105</v>
      </c>
      <c r="B193" s="4" t="s">
        <v>897</v>
      </c>
      <c r="C193" s="4" t="s">
        <v>857</v>
      </c>
      <c r="M193" s="4"/>
    </row>
    <row r="194" spans="1:13" ht="15.6">
      <c r="A194" s="4" t="s">
        <v>162</v>
      </c>
      <c r="B194" s="4" t="s">
        <v>898</v>
      </c>
      <c r="C194" s="4" t="s">
        <v>857</v>
      </c>
      <c r="M194" s="4"/>
    </row>
    <row r="195" spans="1:13" ht="15.6">
      <c r="A195" s="4" t="s">
        <v>166</v>
      </c>
      <c r="B195" s="4" t="s">
        <v>897</v>
      </c>
      <c r="C195" s="4" t="s">
        <v>857</v>
      </c>
      <c r="M195" s="4"/>
    </row>
    <row r="196" spans="1:13" ht="15.6">
      <c r="A196" s="4" t="s">
        <v>168</v>
      </c>
      <c r="B196" s="4" t="s">
        <v>899</v>
      </c>
      <c r="C196" s="4" t="s">
        <v>857</v>
      </c>
      <c r="M196" s="4"/>
    </row>
    <row r="197" spans="1:13" ht="15.6">
      <c r="A197" s="4" t="s">
        <v>172</v>
      </c>
      <c r="B197" s="4" t="s">
        <v>897</v>
      </c>
      <c r="C197" s="4" t="s">
        <v>857</v>
      </c>
      <c r="M197" s="4"/>
    </row>
    <row r="198" spans="1:13" ht="15.6">
      <c r="A198" s="4" t="s">
        <v>174</v>
      </c>
      <c r="B198" s="4" t="s">
        <v>898</v>
      </c>
      <c r="C198" s="4" t="s">
        <v>857</v>
      </c>
      <c r="M198" s="4"/>
    </row>
    <row r="199" spans="1:13" ht="15.6">
      <c r="A199" s="4" t="s">
        <v>176</v>
      </c>
      <c r="B199" s="4" t="s">
        <v>900</v>
      </c>
      <c r="C199" s="4" t="s">
        <v>857</v>
      </c>
      <c r="M199" s="4"/>
    </row>
    <row r="200" spans="1:13" ht="15.6">
      <c r="A200" s="4" t="s">
        <v>197</v>
      </c>
      <c r="B200" s="4" t="s">
        <v>898</v>
      </c>
      <c r="C200" s="4" t="s">
        <v>857</v>
      </c>
      <c r="M200" s="4"/>
    </row>
    <row r="201" spans="1:13" ht="15.6">
      <c r="A201" s="4" t="s">
        <v>203</v>
      </c>
      <c r="B201" s="4" t="s">
        <v>901</v>
      </c>
      <c r="C201" s="4" t="s">
        <v>857</v>
      </c>
      <c r="M201" s="4"/>
    </row>
    <row r="202" spans="1:13" ht="15.6">
      <c r="A202" s="4" t="s">
        <v>216</v>
      </c>
      <c r="B202" s="4" t="s">
        <v>900</v>
      </c>
      <c r="C202" s="4" t="s">
        <v>857</v>
      </c>
      <c r="M202" s="4"/>
    </row>
    <row r="203" spans="1:13" ht="15.6">
      <c r="A203" s="4" t="s">
        <v>227</v>
      </c>
      <c r="B203" s="4" t="s">
        <v>899</v>
      </c>
      <c r="C203" s="4" t="s">
        <v>857</v>
      </c>
      <c r="M203" s="4"/>
    </row>
    <row r="204" spans="1:13" ht="15.6">
      <c r="A204" s="4" t="s">
        <v>230</v>
      </c>
      <c r="B204" s="4" t="s">
        <v>897</v>
      </c>
      <c r="C204" s="4" t="s">
        <v>857</v>
      </c>
      <c r="M204" s="4"/>
    </row>
    <row r="205" spans="1:13" ht="15.6">
      <c r="A205" s="4" t="s">
        <v>239</v>
      </c>
      <c r="B205" s="4" t="s">
        <v>900</v>
      </c>
      <c r="C205" s="4" t="s">
        <v>857</v>
      </c>
      <c r="M205" s="4"/>
    </row>
    <row r="206" spans="1:13" ht="15.6">
      <c r="A206" s="4" t="s">
        <v>251</v>
      </c>
      <c r="B206" s="4" t="s">
        <v>899</v>
      </c>
      <c r="C206" s="4" t="s">
        <v>857</v>
      </c>
      <c r="M206" s="4"/>
    </row>
    <row r="207" spans="1:13" ht="15.6">
      <c r="A207" s="4" t="s">
        <v>273</v>
      </c>
      <c r="B207" s="4" t="s">
        <v>900</v>
      </c>
      <c r="C207" s="4" t="s">
        <v>857</v>
      </c>
      <c r="M207" s="4"/>
    </row>
    <row r="208" spans="1:13" ht="15.6">
      <c r="A208" s="4" t="s">
        <v>279</v>
      </c>
      <c r="B208" s="4" t="s">
        <v>897</v>
      </c>
      <c r="C208" s="4" t="s">
        <v>857</v>
      </c>
      <c r="M208" s="4"/>
    </row>
    <row r="209" spans="1:13" ht="15.6">
      <c r="A209" s="4" t="s">
        <v>282</v>
      </c>
      <c r="B209" s="4" t="s">
        <v>897</v>
      </c>
      <c r="C209" s="4" t="s">
        <v>857</v>
      </c>
      <c r="M209" s="4"/>
    </row>
    <row r="210" spans="1:13" ht="15.6">
      <c r="A210" s="4" t="s">
        <v>299</v>
      </c>
      <c r="B210" s="4" t="s">
        <v>898</v>
      </c>
      <c r="C210" s="4" t="s">
        <v>857</v>
      </c>
      <c r="M210" s="4"/>
    </row>
    <row r="211" spans="1:13" ht="15.6">
      <c r="A211" s="4" t="s">
        <v>305</v>
      </c>
      <c r="B211" s="4" t="s">
        <v>897</v>
      </c>
      <c r="C211" s="4" t="s">
        <v>857</v>
      </c>
      <c r="M211" s="4"/>
    </row>
    <row r="212" spans="1:13" ht="15.6">
      <c r="A212" s="4" t="s">
        <v>309</v>
      </c>
      <c r="B212" s="4" t="s">
        <v>899</v>
      </c>
      <c r="C212" s="4" t="s">
        <v>857</v>
      </c>
      <c r="M212" s="4"/>
    </row>
    <row r="213" spans="1:13" ht="15.6">
      <c r="A213" s="4" t="s">
        <v>332</v>
      </c>
      <c r="B213" s="4" t="s">
        <v>898</v>
      </c>
      <c r="C213" s="4" t="s">
        <v>857</v>
      </c>
      <c r="M213" s="4"/>
    </row>
    <row r="214" spans="1:13" ht="15.6">
      <c r="A214" s="4" t="s">
        <v>366</v>
      </c>
      <c r="B214" s="4" t="s">
        <v>899</v>
      </c>
      <c r="C214" s="4" t="s">
        <v>857</v>
      </c>
      <c r="M214" s="4"/>
    </row>
    <row r="215" spans="1:13" ht="15.6">
      <c r="A215" s="4" t="s">
        <v>368</v>
      </c>
      <c r="B215" s="4" t="s">
        <v>900</v>
      </c>
      <c r="C215" s="4" t="s">
        <v>857</v>
      </c>
      <c r="M215" s="4"/>
    </row>
    <row r="216" spans="1:13" ht="15.6">
      <c r="A216" s="4" t="s">
        <v>380</v>
      </c>
      <c r="B216" s="4" t="s">
        <v>899</v>
      </c>
      <c r="C216" s="4" t="s">
        <v>857</v>
      </c>
      <c r="M216" s="4"/>
    </row>
    <row r="217" spans="1:13" ht="15.6">
      <c r="A217" s="4" t="s">
        <v>382</v>
      </c>
      <c r="B217" s="4" t="s">
        <v>897</v>
      </c>
      <c r="C217" s="4" t="s">
        <v>857</v>
      </c>
      <c r="M217" s="4"/>
    </row>
    <row r="218" spans="1:13" ht="15.6">
      <c r="A218" s="4" t="s">
        <v>385</v>
      </c>
      <c r="B218" s="4" t="s">
        <v>898</v>
      </c>
      <c r="C218" s="4" t="s">
        <v>857</v>
      </c>
      <c r="M218" s="4"/>
    </row>
    <row r="219" spans="1:13" ht="15.6">
      <c r="A219" s="4" t="s">
        <v>423</v>
      </c>
      <c r="B219" s="4" t="s">
        <v>901</v>
      </c>
      <c r="C219" s="4" t="s">
        <v>857</v>
      </c>
      <c r="M219" s="4"/>
    </row>
    <row r="220" spans="1:13" ht="15.6">
      <c r="A220" s="4" t="s">
        <v>427</v>
      </c>
      <c r="B220" s="4" t="s">
        <v>897</v>
      </c>
      <c r="C220" s="4" t="s">
        <v>857</v>
      </c>
      <c r="M220" s="4"/>
    </row>
    <row r="221" spans="1:13" ht="15.6">
      <c r="A221" s="4" t="s">
        <v>444</v>
      </c>
      <c r="B221" s="4" t="s">
        <v>897</v>
      </c>
      <c r="C221" s="4" t="s">
        <v>857</v>
      </c>
      <c r="M221" s="4"/>
    </row>
    <row r="222" spans="1:13" ht="15.6">
      <c r="A222" s="4" t="s">
        <v>449</v>
      </c>
      <c r="B222" s="4" t="s">
        <v>901</v>
      </c>
      <c r="C222" s="4" t="s">
        <v>857</v>
      </c>
      <c r="M222" s="4"/>
    </row>
    <row r="223" spans="1:13" ht="15.6">
      <c r="A223" s="4" t="s">
        <v>462</v>
      </c>
      <c r="B223" s="4" t="s">
        <v>898</v>
      </c>
      <c r="C223" s="4" t="s">
        <v>857</v>
      </c>
      <c r="M223" s="4"/>
    </row>
    <row r="224" spans="1:13" ht="15.6">
      <c r="A224" s="4" t="s">
        <v>466</v>
      </c>
      <c r="B224" s="4" t="s">
        <v>900</v>
      </c>
      <c r="C224" s="4" t="s">
        <v>857</v>
      </c>
      <c r="M224" s="4"/>
    </row>
    <row r="225" spans="1:13" ht="15.6">
      <c r="A225" s="4" t="s">
        <v>489</v>
      </c>
      <c r="B225" s="4" t="s">
        <v>897</v>
      </c>
      <c r="C225" s="4" t="s">
        <v>857</v>
      </c>
      <c r="M225" s="4"/>
    </row>
    <row r="226" spans="1:13" ht="15.6">
      <c r="A226" s="4" t="s">
        <v>493</v>
      </c>
      <c r="B226" s="4" t="s">
        <v>899</v>
      </c>
      <c r="C226" s="4" t="s">
        <v>857</v>
      </c>
      <c r="M226" s="4"/>
    </row>
    <row r="227" spans="1:13" ht="15.6">
      <c r="A227" s="4" t="s">
        <v>513</v>
      </c>
      <c r="B227" s="4" t="s">
        <v>898</v>
      </c>
      <c r="C227" s="4" t="s">
        <v>857</v>
      </c>
      <c r="M227" s="4"/>
    </row>
    <row r="228" spans="1:13" ht="15.6">
      <c r="A228" s="4" t="s">
        <v>518</v>
      </c>
      <c r="B228" s="4" t="s">
        <v>899</v>
      </c>
      <c r="C228" s="4" t="s">
        <v>857</v>
      </c>
      <c r="M228" s="4"/>
    </row>
    <row r="229" spans="1:13" ht="15.6">
      <c r="A229" s="4" t="s">
        <v>520</v>
      </c>
      <c r="B229" s="4" t="s">
        <v>897</v>
      </c>
      <c r="C229" s="4" t="s">
        <v>857</v>
      </c>
      <c r="M229" s="4"/>
    </row>
    <row r="230" spans="1:13" ht="15.6">
      <c r="A230" s="4" t="s">
        <v>536</v>
      </c>
      <c r="B230" s="4" t="s">
        <v>899</v>
      </c>
      <c r="C230" s="4" t="s">
        <v>857</v>
      </c>
      <c r="M230" s="4"/>
    </row>
    <row r="231" spans="1:13" ht="15.6">
      <c r="A231" s="4" t="s">
        <v>550</v>
      </c>
      <c r="B231" s="4" t="s">
        <v>897</v>
      </c>
      <c r="C231" s="4" t="s">
        <v>857</v>
      </c>
      <c r="M231" s="4"/>
    </row>
    <row r="232" spans="1:13" ht="15.6">
      <c r="A232" s="4" t="s">
        <v>573</v>
      </c>
      <c r="B232" s="4" t="s">
        <v>900</v>
      </c>
      <c r="C232" s="4" t="s">
        <v>857</v>
      </c>
      <c r="M232" s="4"/>
    </row>
    <row r="233" spans="1:13" ht="15.6">
      <c r="A233" s="4" t="s">
        <v>575</v>
      </c>
      <c r="B233" s="4" t="s">
        <v>899</v>
      </c>
      <c r="C233" s="4" t="s">
        <v>857</v>
      </c>
      <c r="M233" s="4"/>
    </row>
    <row r="234" spans="1:13" ht="15.6">
      <c r="A234" s="4" t="s">
        <v>533</v>
      </c>
      <c r="B234" s="4" t="s">
        <v>897</v>
      </c>
      <c r="C234" s="4" t="s">
        <v>857</v>
      </c>
      <c r="M234" s="4"/>
    </row>
    <row r="235" spans="1:13" ht="15.6">
      <c r="A235" s="4" t="s">
        <v>593</v>
      </c>
      <c r="B235" s="4" t="s">
        <v>902</v>
      </c>
      <c r="C235" s="4" t="s">
        <v>857</v>
      </c>
      <c r="M235" s="4"/>
    </row>
    <row r="236" spans="1:13" ht="15.6">
      <c r="A236" s="4" t="s">
        <v>248</v>
      </c>
      <c r="B236" s="4" t="s">
        <v>902</v>
      </c>
      <c r="C236" s="4" t="s">
        <v>857</v>
      </c>
      <c r="M236" s="4"/>
    </row>
    <row r="237" spans="1:13" ht="15.6">
      <c r="A237" s="4" t="s">
        <v>614</v>
      </c>
      <c r="B237" s="4" t="s">
        <v>900</v>
      </c>
      <c r="C237" s="4" t="s">
        <v>857</v>
      </c>
      <c r="M237" s="4"/>
    </row>
    <row r="238" spans="1:13" ht="15.6">
      <c r="A238" s="4" t="s">
        <v>622</v>
      </c>
      <c r="B238" s="4" t="s">
        <v>898</v>
      </c>
      <c r="C238" s="4" t="s">
        <v>857</v>
      </c>
      <c r="M238" s="4"/>
    </row>
    <row r="239" spans="1:13" ht="15.6">
      <c r="A239" s="4" t="s">
        <v>637</v>
      </c>
      <c r="B239" s="4" t="s">
        <v>897</v>
      </c>
      <c r="C239" s="4" t="s">
        <v>857</v>
      </c>
      <c r="M239" s="4"/>
    </row>
    <row r="240" spans="1:13" ht="15.6">
      <c r="A240" s="4" t="s">
        <v>641</v>
      </c>
      <c r="B240" s="4" t="s">
        <v>897</v>
      </c>
      <c r="C240" s="4" t="s">
        <v>857</v>
      </c>
      <c r="M240" s="4"/>
    </row>
    <row r="241" spans="1:13" ht="15.6">
      <c r="A241" s="4" t="s">
        <v>643</v>
      </c>
      <c r="B241" s="4" t="s">
        <v>900</v>
      </c>
      <c r="C241" s="4" t="s">
        <v>857</v>
      </c>
      <c r="M241" s="4"/>
    </row>
    <row r="242" spans="1:13" ht="15.6">
      <c r="A242" s="4" t="s">
        <v>647</v>
      </c>
      <c r="B242" s="4" t="s">
        <v>897</v>
      </c>
      <c r="C242" s="4" t="s">
        <v>857</v>
      </c>
      <c r="M242" s="4"/>
    </row>
    <row r="243" spans="1:13" ht="15.6">
      <c r="A243" s="4" t="s">
        <v>656</v>
      </c>
      <c r="B243" s="4" t="s">
        <v>902</v>
      </c>
      <c r="C243" s="4" t="s">
        <v>857</v>
      </c>
      <c r="M243" s="4"/>
    </row>
    <row r="244" spans="1:13" ht="15.6">
      <c r="A244" s="4" t="s">
        <v>662</v>
      </c>
      <c r="B244" s="4" t="s">
        <v>900</v>
      </c>
      <c r="C244" s="4" t="s">
        <v>857</v>
      </c>
      <c r="M244" s="4"/>
    </row>
    <row r="245" spans="1:13" ht="15.6">
      <c r="A245" s="4" t="s">
        <v>669</v>
      </c>
      <c r="B245" s="4" t="s">
        <v>900</v>
      </c>
      <c r="C245" s="4" t="s">
        <v>857</v>
      </c>
      <c r="M245" s="4"/>
    </row>
    <row r="246" spans="1:13" ht="15.6">
      <c r="A246" s="4" t="s">
        <v>682</v>
      </c>
      <c r="B246" s="4" t="s">
        <v>899</v>
      </c>
      <c r="C246" s="4" t="s">
        <v>857</v>
      </c>
      <c r="M246" s="4"/>
    </row>
    <row r="247" spans="1:13" ht="15.6">
      <c r="A247" s="4" t="s">
        <v>697</v>
      </c>
      <c r="B247" s="4" t="s">
        <v>899</v>
      </c>
      <c r="C247" s="4" t="s">
        <v>857</v>
      </c>
      <c r="M247" s="4"/>
    </row>
    <row r="248" spans="1:13" ht="15.6">
      <c r="A248" s="4" t="s">
        <v>702</v>
      </c>
      <c r="B248" s="4" t="s">
        <v>897</v>
      </c>
      <c r="C248" s="4" t="s">
        <v>857</v>
      </c>
      <c r="M248" s="4"/>
    </row>
    <row r="249" spans="1:13" ht="15.6">
      <c r="A249" s="4" t="s">
        <v>707</v>
      </c>
      <c r="B249" s="4" t="s">
        <v>899</v>
      </c>
      <c r="C249" s="4" t="s">
        <v>857</v>
      </c>
      <c r="M249" s="4"/>
    </row>
    <row r="250" spans="1:13" ht="15.6">
      <c r="A250" s="4" t="s">
        <v>723</v>
      </c>
      <c r="B250" s="4" t="s">
        <v>900</v>
      </c>
      <c r="C250" s="4" t="s">
        <v>857</v>
      </c>
      <c r="M250" s="4"/>
    </row>
    <row r="251" spans="1:13" ht="15.6">
      <c r="A251" s="4" t="s">
        <v>730</v>
      </c>
      <c r="B251" s="4" t="s">
        <v>901</v>
      </c>
      <c r="C251" s="4" t="s">
        <v>857</v>
      </c>
      <c r="M251" s="4"/>
    </row>
    <row r="252" spans="1:13" ht="15.6">
      <c r="A252" s="4" t="s">
        <v>733</v>
      </c>
      <c r="B252" s="4" t="s">
        <v>898</v>
      </c>
      <c r="C252" s="4" t="s">
        <v>857</v>
      </c>
      <c r="M252" s="4"/>
    </row>
    <row r="253" spans="1:13" ht="15.6">
      <c r="A253" s="4" t="s">
        <v>781</v>
      </c>
      <c r="B253" s="4" t="s">
        <v>899</v>
      </c>
      <c r="C253" s="4" t="s">
        <v>857</v>
      </c>
      <c r="M253" s="4"/>
    </row>
    <row r="254" spans="1:13" ht="15.6">
      <c r="A254" s="4" t="s">
        <v>533</v>
      </c>
      <c r="B254" s="4" t="s">
        <v>899</v>
      </c>
      <c r="C254" s="4" t="s">
        <v>857</v>
      </c>
      <c r="M254" s="4"/>
    </row>
    <row r="255" spans="1:13" ht="15.6">
      <c r="A255" s="4" t="s">
        <v>844</v>
      </c>
      <c r="B255" s="4" t="s">
        <v>898</v>
      </c>
      <c r="C255" s="4" t="s">
        <v>857</v>
      </c>
      <c r="M255" s="4"/>
    </row>
    <row r="256" spans="1:13" ht="15.6">
      <c r="M256" s="4"/>
    </row>
  </sheetData>
  <autoFilter ref="A1:E255" xr:uid="{00000000-0001-0000-0600-000000000000}"/>
  <sortState xmlns:xlrd2="http://schemas.microsoft.com/office/spreadsheetml/2017/richdata2" ref="M6:M22">
    <sortCondition ref="M6:M22" customList="A,B,C,D,E,F,G,H,I,J,K,L,M,N,O,P,Q,R,S,T,U,V,W,X,Y,Z"/>
  </sortState>
  <pageMargins left="0.75" right="0.75" top="1" bottom="1" header="0.5" footer="0.5"/>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H999"/>
  <sheetViews>
    <sheetView workbookViewId="0">
      <selection activeCell="C1" sqref="C1"/>
    </sheetView>
  </sheetViews>
  <sheetFormatPr defaultColWidth="8.6640625" defaultRowHeight="14.4"/>
  <cols>
    <col min="1" max="1" width="17.5546875" customWidth="1"/>
    <col min="2" max="3" width="21.33203125" style="2" customWidth="1"/>
    <col min="4" max="4" width="10.33203125" customWidth="1"/>
    <col min="5" max="5" width="11.109375" customWidth="1"/>
    <col min="6" max="6" width="8.109375" customWidth="1"/>
    <col min="7" max="7" width="11.5546875" customWidth="1"/>
  </cols>
  <sheetData>
    <row r="1" spans="1:8" ht="15.6">
      <c r="A1" s="3" t="s">
        <v>79</v>
      </c>
      <c r="B1" s="3" t="s">
        <v>80</v>
      </c>
      <c r="C1" s="3" t="s">
        <v>81</v>
      </c>
      <c r="D1" s="3" t="s">
        <v>82</v>
      </c>
      <c r="E1" s="3" t="s">
        <v>83</v>
      </c>
      <c r="F1" s="3" t="s">
        <v>84</v>
      </c>
      <c r="G1" s="3" t="s">
        <v>85</v>
      </c>
      <c r="H1" s="3" t="s">
        <v>86</v>
      </c>
    </row>
    <row r="2" spans="1:8" ht="15.6">
      <c r="A2" s="4" t="s">
        <v>93</v>
      </c>
      <c r="B2" s="5">
        <v>44438.029942054804</v>
      </c>
      <c r="C2" s="5">
        <v>44440.856329397997</v>
      </c>
      <c r="D2" s="4" t="s">
        <v>94</v>
      </c>
      <c r="E2" s="4" t="s">
        <v>95</v>
      </c>
      <c r="F2" s="4" t="s">
        <v>96</v>
      </c>
      <c r="G2" s="4">
        <f t="shared" ref="G2:G65" ca="1" si="0">RANDBETWEEN(10,100)</f>
        <v>81</v>
      </c>
      <c r="H2" s="4">
        <v>2</v>
      </c>
    </row>
    <row r="3" spans="1:8" ht="15.6">
      <c r="A3" s="4" t="s">
        <v>97</v>
      </c>
      <c r="B3" s="5">
        <v>44487.674599152997</v>
      </c>
      <c r="C3" s="5">
        <v>44491.388291616597</v>
      </c>
      <c r="D3" s="4" t="s">
        <v>98</v>
      </c>
      <c r="E3" s="4" t="s">
        <v>99</v>
      </c>
      <c r="F3" s="4" t="s">
        <v>100</v>
      </c>
      <c r="G3" s="4">
        <f t="shared" ca="1" si="0"/>
        <v>20</v>
      </c>
      <c r="H3" s="4">
        <v>2</v>
      </c>
    </row>
    <row r="4" spans="1:8" ht="15.6">
      <c r="A4" s="4" t="s">
        <v>97</v>
      </c>
      <c r="B4" s="5">
        <v>44487.429724455702</v>
      </c>
      <c r="C4" s="5">
        <v>44491.647587706299</v>
      </c>
      <c r="D4" s="4" t="s">
        <v>98</v>
      </c>
      <c r="E4" s="4" t="s">
        <v>99</v>
      </c>
      <c r="F4" s="4" t="s">
        <v>101</v>
      </c>
      <c r="G4" s="4">
        <f t="shared" ca="1" si="0"/>
        <v>66</v>
      </c>
      <c r="H4" s="4">
        <v>2</v>
      </c>
    </row>
    <row r="5" spans="1:8" ht="15.6">
      <c r="A5" s="4" t="s">
        <v>102</v>
      </c>
      <c r="B5" s="5">
        <v>44664.544388679002</v>
      </c>
      <c r="C5" s="5">
        <v>44668.275706719403</v>
      </c>
      <c r="D5" s="4" t="s">
        <v>94</v>
      </c>
      <c r="E5" s="4" t="s">
        <v>103</v>
      </c>
      <c r="F5" s="4" t="s">
        <v>96</v>
      </c>
      <c r="G5" s="4">
        <f t="shared" ca="1" si="0"/>
        <v>93</v>
      </c>
      <c r="H5" s="4">
        <v>4</v>
      </c>
    </row>
    <row r="6" spans="1:8" ht="15.6">
      <c r="A6" s="4" t="s">
        <v>104</v>
      </c>
      <c r="B6" s="5">
        <v>45201.239192335801</v>
      </c>
      <c r="C6" s="5">
        <v>45203.494459030298</v>
      </c>
      <c r="D6" s="4" t="s">
        <v>98</v>
      </c>
      <c r="E6" s="4" t="s">
        <v>105</v>
      </c>
      <c r="F6" s="4" t="s">
        <v>106</v>
      </c>
      <c r="G6" s="4">
        <f t="shared" ca="1" si="0"/>
        <v>34</v>
      </c>
      <c r="H6" s="4">
        <v>3</v>
      </c>
    </row>
    <row r="7" spans="1:8" ht="15.6">
      <c r="A7" s="4" t="s">
        <v>107</v>
      </c>
      <c r="B7" s="5">
        <v>44985.131212910797</v>
      </c>
      <c r="C7" s="5">
        <v>44989.780992304397</v>
      </c>
      <c r="D7" s="4" t="s">
        <v>98</v>
      </c>
      <c r="E7" s="4" t="s">
        <v>108</v>
      </c>
      <c r="F7" s="4" t="s">
        <v>109</v>
      </c>
      <c r="G7" s="4">
        <f t="shared" ca="1" si="0"/>
        <v>98</v>
      </c>
      <c r="H7" s="4">
        <v>9</v>
      </c>
    </row>
    <row r="8" spans="1:8" ht="15.6">
      <c r="A8" s="4" t="s">
        <v>107</v>
      </c>
      <c r="B8" s="5">
        <v>44985.538046610498</v>
      </c>
      <c r="C8" s="5">
        <v>44989.012190898502</v>
      </c>
      <c r="D8" s="4" t="s">
        <v>98</v>
      </c>
      <c r="E8" s="4" t="s">
        <v>108</v>
      </c>
      <c r="F8" s="4" t="s">
        <v>101</v>
      </c>
      <c r="G8" s="4">
        <f t="shared" ca="1" si="0"/>
        <v>14</v>
      </c>
      <c r="H8" s="4">
        <v>2</v>
      </c>
    </row>
    <row r="9" spans="1:8" ht="15.6">
      <c r="A9" s="4" t="s">
        <v>107</v>
      </c>
      <c r="B9" s="5">
        <v>44985.895862880701</v>
      </c>
      <c r="C9" s="5">
        <v>44989.881944799199</v>
      </c>
      <c r="D9" s="4" t="s">
        <v>98</v>
      </c>
      <c r="E9" s="4" t="s">
        <v>108</v>
      </c>
      <c r="F9" s="4" t="s">
        <v>110</v>
      </c>
      <c r="G9" s="4">
        <f t="shared" ca="1" si="0"/>
        <v>86</v>
      </c>
      <c r="H9" s="4">
        <v>4</v>
      </c>
    </row>
    <row r="10" spans="1:8" ht="15.6">
      <c r="A10" s="4" t="s">
        <v>107</v>
      </c>
      <c r="B10" s="5">
        <v>44985.015849021103</v>
      </c>
      <c r="C10" s="5">
        <v>44989.895712560501</v>
      </c>
      <c r="D10" s="4" t="s">
        <v>98</v>
      </c>
      <c r="E10" s="4" t="s">
        <v>108</v>
      </c>
      <c r="F10" s="4" t="s">
        <v>111</v>
      </c>
      <c r="G10" s="4">
        <f t="shared" ca="1" si="0"/>
        <v>85</v>
      </c>
      <c r="H10" s="4">
        <v>5</v>
      </c>
    </row>
    <row r="11" spans="1:8" ht="15.6">
      <c r="A11" s="4" t="s">
        <v>107</v>
      </c>
      <c r="B11" s="5">
        <v>44985.573745864</v>
      </c>
      <c r="C11" s="5">
        <v>44989.385328840501</v>
      </c>
      <c r="D11" s="4" t="s">
        <v>98</v>
      </c>
      <c r="E11" s="4" t="s">
        <v>108</v>
      </c>
      <c r="F11" s="4" t="s">
        <v>112</v>
      </c>
      <c r="G11" s="4">
        <f t="shared" ca="1" si="0"/>
        <v>26</v>
      </c>
      <c r="H11" s="4">
        <v>2</v>
      </c>
    </row>
    <row r="12" spans="1:8" ht="15.6">
      <c r="A12" s="4" t="s">
        <v>113</v>
      </c>
      <c r="B12" s="5">
        <v>44675.564762069698</v>
      </c>
      <c r="C12" s="5">
        <v>44677.208333519302</v>
      </c>
      <c r="D12" s="4" t="s">
        <v>114</v>
      </c>
      <c r="E12" s="4" t="s">
        <v>115</v>
      </c>
      <c r="F12" s="4" t="s">
        <v>109</v>
      </c>
      <c r="G12" s="4">
        <f t="shared" ca="1" si="0"/>
        <v>41</v>
      </c>
      <c r="H12" s="4">
        <v>2</v>
      </c>
    </row>
    <row r="13" spans="1:8" ht="15.6">
      <c r="A13" s="4" t="s">
        <v>116</v>
      </c>
      <c r="B13" s="5">
        <v>44473.567911820697</v>
      </c>
      <c r="C13" s="5">
        <v>44478.209409729898</v>
      </c>
      <c r="D13" s="4" t="s">
        <v>98</v>
      </c>
      <c r="E13" s="4" t="s">
        <v>117</v>
      </c>
      <c r="F13" s="4" t="s">
        <v>118</v>
      </c>
      <c r="G13" s="4">
        <f t="shared" ca="1" si="0"/>
        <v>66</v>
      </c>
      <c r="H13" s="4">
        <v>4</v>
      </c>
    </row>
    <row r="14" spans="1:8" ht="15.6">
      <c r="A14" s="4" t="s">
        <v>119</v>
      </c>
      <c r="B14" s="5">
        <v>44841.642032539698</v>
      </c>
      <c r="C14" s="5">
        <v>44845.603649248798</v>
      </c>
      <c r="D14" s="4" t="s">
        <v>98</v>
      </c>
      <c r="E14" s="4" t="s">
        <v>120</v>
      </c>
      <c r="F14" s="4" t="s">
        <v>100</v>
      </c>
      <c r="G14" s="4">
        <f t="shared" ca="1" si="0"/>
        <v>56</v>
      </c>
      <c r="H14" s="4">
        <v>3</v>
      </c>
    </row>
    <row r="15" spans="1:8" ht="15.6">
      <c r="A15" s="4" t="s">
        <v>119</v>
      </c>
      <c r="B15" s="5">
        <v>44841.215889350897</v>
      </c>
      <c r="C15" s="5">
        <v>44845.691686359103</v>
      </c>
      <c r="D15" s="4" t="s">
        <v>98</v>
      </c>
      <c r="E15" s="4" t="s">
        <v>120</v>
      </c>
      <c r="F15" s="4" t="s">
        <v>121</v>
      </c>
      <c r="G15" s="4">
        <f t="shared" ca="1" si="0"/>
        <v>96</v>
      </c>
      <c r="H15" s="4">
        <v>5</v>
      </c>
    </row>
    <row r="16" spans="1:8" ht="15.6">
      <c r="A16" s="4" t="s">
        <v>119</v>
      </c>
      <c r="B16" s="5">
        <v>44841.245135347999</v>
      </c>
      <c r="C16" s="5">
        <v>44845.713817453798</v>
      </c>
      <c r="D16" s="4" t="s">
        <v>98</v>
      </c>
      <c r="E16" s="4" t="s">
        <v>120</v>
      </c>
      <c r="F16" s="4" t="s">
        <v>122</v>
      </c>
      <c r="G16" s="4">
        <f t="shared" ca="1" si="0"/>
        <v>96</v>
      </c>
      <c r="H16" s="4">
        <v>2</v>
      </c>
    </row>
    <row r="17" spans="1:8" ht="15.6">
      <c r="A17" s="4" t="s">
        <v>123</v>
      </c>
      <c r="B17" s="5">
        <v>44281.9297261842</v>
      </c>
      <c r="C17" s="5">
        <v>44284.944303505901</v>
      </c>
      <c r="D17" s="4" t="s">
        <v>94</v>
      </c>
      <c r="E17" s="4" t="s">
        <v>124</v>
      </c>
      <c r="F17" s="4" t="s">
        <v>106</v>
      </c>
      <c r="G17" s="4">
        <f t="shared" ca="1" si="0"/>
        <v>12</v>
      </c>
      <c r="H17" s="4">
        <v>7</v>
      </c>
    </row>
    <row r="18" spans="1:8" ht="15.6">
      <c r="A18" s="4" t="s">
        <v>123</v>
      </c>
      <c r="B18" s="5">
        <v>44281.663682666302</v>
      </c>
      <c r="C18" s="5">
        <v>44284.015140838601</v>
      </c>
      <c r="D18" s="4" t="s">
        <v>94</v>
      </c>
      <c r="E18" s="4" t="s">
        <v>124</v>
      </c>
      <c r="F18" s="4" t="s">
        <v>125</v>
      </c>
      <c r="G18" s="4">
        <f t="shared" ca="1" si="0"/>
        <v>49</v>
      </c>
      <c r="H18" s="4">
        <v>3</v>
      </c>
    </row>
    <row r="19" spans="1:8" ht="15.6">
      <c r="A19" s="4" t="s">
        <v>126</v>
      </c>
      <c r="B19" s="5">
        <v>44596.883346303803</v>
      </c>
      <c r="C19" s="5">
        <v>44598.762990958698</v>
      </c>
      <c r="D19" s="4" t="s">
        <v>98</v>
      </c>
      <c r="E19" s="4" t="s">
        <v>127</v>
      </c>
      <c r="F19" s="4" t="s">
        <v>121</v>
      </c>
      <c r="G19" s="4">
        <f t="shared" ca="1" si="0"/>
        <v>37</v>
      </c>
      <c r="H19" s="4">
        <v>7</v>
      </c>
    </row>
    <row r="20" spans="1:8" ht="15.6">
      <c r="A20" s="4" t="s">
        <v>126</v>
      </c>
      <c r="B20" s="5">
        <v>44596.030430742801</v>
      </c>
      <c r="C20" s="5">
        <v>44598.229735055698</v>
      </c>
      <c r="D20" s="4" t="s">
        <v>98</v>
      </c>
      <c r="E20" s="4" t="s">
        <v>127</v>
      </c>
      <c r="F20" s="4" t="s">
        <v>96</v>
      </c>
      <c r="G20" s="4">
        <f t="shared" ca="1" si="0"/>
        <v>81</v>
      </c>
      <c r="H20" s="4">
        <v>1</v>
      </c>
    </row>
    <row r="21" spans="1:8" ht="15.6">
      <c r="A21" s="4" t="s">
        <v>126</v>
      </c>
      <c r="B21" s="5">
        <v>44596.9996737771</v>
      </c>
      <c r="C21" s="5">
        <v>44598.480906413803</v>
      </c>
      <c r="D21" s="4" t="s">
        <v>98</v>
      </c>
      <c r="E21" s="4" t="s">
        <v>127</v>
      </c>
      <c r="F21" s="4" t="s">
        <v>101</v>
      </c>
      <c r="G21" s="4">
        <f t="shared" ca="1" si="0"/>
        <v>64</v>
      </c>
      <c r="H21" s="4">
        <v>5</v>
      </c>
    </row>
    <row r="22" spans="1:8" ht="15.6">
      <c r="A22" s="4" t="s">
        <v>126</v>
      </c>
      <c r="B22" s="5">
        <v>44596.0251899418</v>
      </c>
      <c r="C22" s="5">
        <v>44598.934054822203</v>
      </c>
      <c r="D22" s="4" t="s">
        <v>98</v>
      </c>
      <c r="E22" s="4" t="s">
        <v>127</v>
      </c>
      <c r="F22" s="4" t="s">
        <v>101</v>
      </c>
      <c r="G22" s="4">
        <f t="shared" ca="1" si="0"/>
        <v>66</v>
      </c>
      <c r="H22" s="4">
        <v>6</v>
      </c>
    </row>
    <row r="23" spans="1:8" ht="15.6">
      <c r="A23" s="4" t="s">
        <v>126</v>
      </c>
      <c r="B23" s="5">
        <v>44596.217072383297</v>
      </c>
      <c r="C23" s="5">
        <v>44598.575880526398</v>
      </c>
      <c r="D23" s="4" t="s">
        <v>98</v>
      </c>
      <c r="E23" s="4" t="s">
        <v>127</v>
      </c>
      <c r="F23" s="4" t="s">
        <v>122</v>
      </c>
      <c r="G23" s="4">
        <f t="shared" ca="1" si="0"/>
        <v>18</v>
      </c>
      <c r="H23" s="4">
        <v>7</v>
      </c>
    </row>
    <row r="24" spans="1:8" ht="15.6">
      <c r="A24" s="4" t="s">
        <v>126</v>
      </c>
      <c r="B24" s="5">
        <v>44596.5053710871</v>
      </c>
      <c r="C24" s="5">
        <v>44598.285068659301</v>
      </c>
      <c r="D24" s="4" t="s">
        <v>98</v>
      </c>
      <c r="E24" s="4" t="s">
        <v>127</v>
      </c>
      <c r="F24" s="4" t="s">
        <v>118</v>
      </c>
      <c r="G24" s="4">
        <f t="shared" ca="1" si="0"/>
        <v>13</v>
      </c>
      <c r="H24" s="4">
        <v>3</v>
      </c>
    </row>
    <row r="25" spans="1:8" ht="15.6">
      <c r="A25" s="4" t="s">
        <v>126</v>
      </c>
      <c r="B25" s="5">
        <v>44596.5406455509</v>
      </c>
      <c r="C25" s="5">
        <v>44598.720826073499</v>
      </c>
      <c r="D25" s="4" t="s">
        <v>98</v>
      </c>
      <c r="E25" s="4" t="s">
        <v>127</v>
      </c>
      <c r="F25" s="4" t="s">
        <v>96</v>
      </c>
      <c r="G25" s="4">
        <f t="shared" ca="1" si="0"/>
        <v>50</v>
      </c>
      <c r="H25" s="4">
        <v>2</v>
      </c>
    </row>
    <row r="26" spans="1:8" ht="15.6">
      <c r="A26" s="4" t="s">
        <v>128</v>
      </c>
      <c r="B26" s="5">
        <v>45208.448006333703</v>
      </c>
      <c r="C26" s="5">
        <v>45215.042592208498</v>
      </c>
      <c r="D26" s="4" t="s">
        <v>94</v>
      </c>
      <c r="E26" s="4" t="s">
        <v>129</v>
      </c>
      <c r="F26" s="4" t="s">
        <v>130</v>
      </c>
      <c r="G26" s="4">
        <f t="shared" ca="1" si="0"/>
        <v>34</v>
      </c>
      <c r="H26" s="4">
        <v>4</v>
      </c>
    </row>
    <row r="27" spans="1:8" ht="15.6">
      <c r="A27" s="4" t="s">
        <v>128</v>
      </c>
      <c r="B27" s="5">
        <v>45208.189871937197</v>
      </c>
      <c r="C27" s="5">
        <v>45215.121933843096</v>
      </c>
      <c r="D27" s="4" t="s">
        <v>94</v>
      </c>
      <c r="E27" s="4" t="s">
        <v>129</v>
      </c>
      <c r="F27" s="4" t="s">
        <v>110</v>
      </c>
      <c r="G27" s="4">
        <f t="shared" ca="1" si="0"/>
        <v>52</v>
      </c>
      <c r="H27" s="4">
        <v>3</v>
      </c>
    </row>
    <row r="28" spans="1:8" ht="15.6">
      <c r="A28" s="4" t="s">
        <v>128</v>
      </c>
      <c r="B28" s="5">
        <v>45208.893591027401</v>
      </c>
      <c r="C28" s="5">
        <v>45215.248539597203</v>
      </c>
      <c r="D28" s="4" t="s">
        <v>94</v>
      </c>
      <c r="E28" s="4" t="s">
        <v>129</v>
      </c>
      <c r="F28" s="4" t="s">
        <v>112</v>
      </c>
      <c r="G28" s="4">
        <f t="shared" ca="1" si="0"/>
        <v>87</v>
      </c>
      <c r="H28" s="4">
        <v>5</v>
      </c>
    </row>
    <row r="29" spans="1:8" ht="15.6">
      <c r="A29" s="4" t="s">
        <v>128</v>
      </c>
      <c r="B29" s="5">
        <v>45208.545645306702</v>
      </c>
      <c r="C29" s="5">
        <v>45215.9372202093</v>
      </c>
      <c r="D29" s="4" t="s">
        <v>94</v>
      </c>
      <c r="E29" s="4" t="s">
        <v>129</v>
      </c>
      <c r="F29" s="4" t="s">
        <v>112</v>
      </c>
      <c r="G29" s="4">
        <f t="shared" ca="1" si="0"/>
        <v>88</v>
      </c>
      <c r="H29" s="4">
        <v>8</v>
      </c>
    </row>
    <row r="30" spans="1:8" ht="15.6">
      <c r="A30" s="4" t="s">
        <v>128</v>
      </c>
      <c r="B30" s="5">
        <v>45208.892254056402</v>
      </c>
      <c r="C30" s="5">
        <v>45215.824776363697</v>
      </c>
      <c r="D30" s="4" t="s">
        <v>94</v>
      </c>
      <c r="E30" s="4" t="s">
        <v>129</v>
      </c>
      <c r="F30" s="4" t="s">
        <v>96</v>
      </c>
      <c r="G30" s="4">
        <f t="shared" ca="1" si="0"/>
        <v>94</v>
      </c>
      <c r="H30" s="4">
        <v>6</v>
      </c>
    </row>
    <row r="31" spans="1:8" ht="15.6">
      <c r="A31" s="4" t="s">
        <v>128</v>
      </c>
      <c r="B31" s="5">
        <v>45208.650748257802</v>
      </c>
      <c r="C31" s="5">
        <v>45215.978311171202</v>
      </c>
      <c r="D31" s="4" t="s">
        <v>94</v>
      </c>
      <c r="E31" s="4" t="s">
        <v>129</v>
      </c>
      <c r="F31" s="4" t="s">
        <v>121</v>
      </c>
      <c r="G31" s="4">
        <f t="shared" ca="1" si="0"/>
        <v>81</v>
      </c>
      <c r="H31" s="4">
        <v>1</v>
      </c>
    </row>
    <row r="32" spans="1:8" ht="15.6">
      <c r="A32" s="4" t="s">
        <v>128</v>
      </c>
      <c r="B32" s="5">
        <v>45208.520987428303</v>
      </c>
      <c r="C32" s="5">
        <v>45215.723769575903</v>
      </c>
      <c r="D32" s="4" t="s">
        <v>94</v>
      </c>
      <c r="E32" s="4" t="s">
        <v>129</v>
      </c>
      <c r="F32" s="4" t="s">
        <v>131</v>
      </c>
      <c r="G32" s="4">
        <f t="shared" ca="1" si="0"/>
        <v>13</v>
      </c>
      <c r="H32" s="4">
        <v>2</v>
      </c>
    </row>
    <row r="33" spans="1:8" ht="15.6">
      <c r="A33" s="4" t="s">
        <v>132</v>
      </c>
      <c r="B33" s="5">
        <v>44667.4964996294</v>
      </c>
      <c r="C33" s="5">
        <v>44670.742525750196</v>
      </c>
      <c r="D33" s="4" t="s">
        <v>98</v>
      </c>
      <c r="E33" s="4" t="s">
        <v>127</v>
      </c>
      <c r="F33" s="4" t="s">
        <v>101</v>
      </c>
      <c r="G33" s="4">
        <f t="shared" ca="1" si="0"/>
        <v>63</v>
      </c>
      <c r="H33" s="4">
        <v>5</v>
      </c>
    </row>
    <row r="34" spans="1:8" ht="15.6">
      <c r="A34" s="4" t="s">
        <v>133</v>
      </c>
      <c r="B34" s="5">
        <v>44592.639632712802</v>
      </c>
      <c r="C34" s="5">
        <v>44596.4319997696</v>
      </c>
      <c r="D34" s="4" t="s">
        <v>94</v>
      </c>
      <c r="E34" s="4" t="s">
        <v>134</v>
      </c>
      <c r="F34" s="4" t="s">
        <v>135</v>
      </c>
      <c r="G34" s="4">
        <f t="shared" ca="1" si="0"/>
        <v>91</v>
      </c>
      <c r="H34" s="4">
        <v>2</v>
      </c>
    </row>
    <row r="35" spans="1:8" ht="15.6">
      <c r="A35" s="4" t="s">
        <v>133</v>
      </c>
      <c r="B35" s="5">
        <v>44592.226138371203</v>
      </c>
      <c r="C35" s="5">
        <v>44596.374999379899</v>
      </c>
      <c r="D35" s="4" t="s">
        <v>94</v>
      </c>
      <c r="E35" s="4" t="s">
        <v>134</v>
      </c>
      <c r="F35" s="4" t="s">
        <v>110</v>
      </c>
      <c r="G35" s="4">
        <f t="shared" ca="1" si="0"/>
        <v>90</v>
      </c>
      <c r="H35" s="4">
        <v>5</v>
      </c>
    </row>
    <row r="36" spans="1:8" ht="15.6">
      <c r="A36" s="4" t="s">
        <v>136</v>
      </c>
      <c r="B36" s="5">
        <v>44278.534562542598</v>
      </c>
      <c r="C36" s="5">
        <v>44282.303941077203</v>
      </c>
      <c r="D36" s="4" t="s">
        <v>94</v>
      </c>
      <c r="E36" s="4" t="s">
        <v>137</v>
      </c>
      <c r="F36" s="4" t="s">
        <v>130</v>
      </c>
      <c r="G36" s="4">
        <f t="shared" ca="1" si="0"/>
        <v>28</v>
      </c>
      <c r="H36" s="4">
        <v>4</v>
      </c>
    </row>
    <row r="37" spans="1:8" ht="15.6">
      <c r="A37" s="4" t="s">
        <v>138</v>
      </c>
      <c r="B37" s="5">
        <v>45109.606823945498</v>
      </c>
      <c r="C37" s="5">
        <v>45110.888130608699</v>
      </c>
      <c r="D37" s="4" t="s">
        <v>98</v>
      </c>
      <c r="E37" s="4" t="s">
        <v>127</v>
      </c>
      <c r="F37" s="4" t="s">
        <v>131</v>
      </c>
      <c r="G37" s="4">
        <f t="shared" ca="1" si="0"/>
        <v>42</v>
      </c>
      <c r="H37" s="4">
        <v>5</v>
      </c>
    </row>
    <row r="38" spans="1:8" ht="15.6">
      <c r="A38" s="4" t="s">
        <v>139</v>
      </c>
      <c r="B38" s="5">
        <v>44201.551788492601</v>
      </c>
      <c r="C38" s="5">
        <v>44204.112093393203</v>
      </c>
      <c r="D38" s="4" t="s">
        <v>94</v>
      </c>
      <c r="E38" s="4" t="s">
        <v>140</v>
      </c>
      <c r="F38" s="4" t="s">
        <v>141</v>
      </c>
      <c r="G38" s="4">
        <f t="shared" ca="1" si="0"/>
        <v>49</v>
      </c>
      <c r="H38" s="4">
        <v>1</v>
      </c>
    </row>
    <row r="39" spans="1:8" ht="15.6">
      <c r="A39" s="4" t="s">
        <v>142</v>
      </c>
      <c r="B39" s="5">
        <v>44215.388539134699</v>
      </c>
      <c r="C39" s="5">
        <v>44219.380142060501</v>
      </c>
      <c r="D39" s="4" t="s">
        <v>98</v>
      </c>
      <c r="E39" s="4" t="s">
        <v>143</v>
      </c>
      <c r="F39" s="4" t="s">
        <v>111</v>
      </c>
      <c r="G39" s="4">
        <f t="shared" ca="1" si="0"/>
        <v>60</v>
      </c>
      <c r="H39" s="4">
        <v>6</v>
      </c>
    </row>
    <row r="40" spans="1:8" ht="15.6">
      <c r="A40" s="4" t="s">
        <v>142</v>
      </c>
      <c r="B40" s="5">
        <v>44215.150850726102</v>
      </c>
      <c r="C40" s="5">
        <v>44219.3582450049</v>
      </c>
      <c r="D40" s="4" t="s">
        <v>98</v>
      </c>
      <c r="E40" s="4" t="s">
        <v>143</v>
      </c>
      <c r="F40" s="4" t="s">
        <v>135</v>
      </c>
      <c r="G40" s="4">
        <f t="shared" ca="1" si="0"/>
        <v>44</v>
      </c>
      <c r="H40" s="4">
        <v>1</v>
      </c>
    </row>
    <row r="41" spans="1:8" ht="15.6">
      <c r="A41" s="4" t="s">
        <v>142</v>
      </c>
      <c r="B41" s="5">
        <v>44215.335276264501</v>
      </c>
      <c r="C41" s="5">
        <v>44219.492069735097</v>
      </c>
      <c r="D41" s="4" t="s">
        <v>98</v>
      </c>
      <c r="E41" s="4" t="s">
        <v>143</v>
      </c>
      <c r="F41" s="4" t="s">
        <v>144</v>
      </c>
      <c r="G41" s="4">
        <f t="shared" ca="1" si="0"/>
        <v>40</v>
      </c>
      <c r="H41" s="4">
        <v>1</v>
      </c>
    </row>
    <row r="42" spans="1:8" ht="15.6">
      <c r="A42" s="4" t="s">
        <v>145</v>
      </c>
      <c r="B42" s="5">
        <v>45233.790404614403</v>
      </c>
      <c r="C42" s="5">
        <v>45236.353226410698</v>
      </c>
      <c r="D42" s="4" t="s">
        <v>94</v>
      </c>
      <c r="E42" s="4" t="s">
        <v>146</v>
      </c>
      <c r="F42" s="4" t="s">
        <v>111</v>
      </c>
      <c r="G42" s="4">
        <f t="shared" ca="1" si="0"/>
        <v>89</v>
      </c>
      <c r="H42" s="4">
        <v>3</v>
      </c>
    </row>
    <row r="43" spans="1:8" ht="15.6">
      <c r="A43" s="4" t="s">
        <v>147</v>
      </c>
      <c r="B43" s="5">
        <v>45257.090386733398</v>
      </c>
      <c r="C43" s="5">
        <v>45263.471481651199</v>
      </c>
      <c r="D43" s="4" t="s">
        <v>114</v>
      </c>
      <c r="E43" s="4" t="s">
        <v>148</v>
      </c>
      <c r="F43" s="4" t="s">
        <v>106</v>
      </c>
      <c r="G43" s="4">
        <f t="shared" ca="1" si="0"/>
        <v>50</v>
      </c>
      <c r="H43" s="4">
        <v>6</v>
      </c>
    </row>
    <row r="44" spans="1:8" ht="15.6">
      <c r="A44" s="4" t="s">
        <v>149</v>
      </c>
      <c r="B44" s="5">
        <v>44313.999014020199</v>
      </c>
      <c r="C44" s="5">
        <v>44315.8467729435</v>
      </c>
      <c r="D44" s="4" t="s">
        <v>98</v>
      </c>
      <c r="E44" s="4" t="s">
        <v>150</v>
      </c>
      <c r="F44" s="4" t="s">
        <v>106</v>
      </c>
      <c r="G44" s="4">
        <f t="shared" ca="1" si="0"/>
        <v>51</v>
      </c>
      <c r="H44" s="4">
        <v>9</v>
      </c>
    </row>
    <row r="45" spans="1:8" ht="15.6">
      <c r="A45" s="4" t="s">
        <v>151</v>
      </c>
      <c r="B45" s="5">
        <v>45187.0437722555</v>
      </c>
      <c r="C45" s="5">
        <v>45192.614903503199</v>
      </c>
      <c r="D45" s="4" t="s">
        <v>114</v>
      </c>
      <c r="E45" s="4" t="s">
        <v>152</v>
      </c>
      <c r="F45" s="4" t="s">
        <v>135</v>
      </c>
      <c r="G45" s="4">
        <f t="shared" ca="1" si="0"/>
        <v>30</v>
      </c>
      <c r="H45" s="4">
        <v>2</v>
      </c>
    </row>
    <row r="46" spans="1:8" ht="15.6">
      <c r="A46" s="4" t="s">
        <v>151</v>
      </c>
      <c r="B46" s="5">
        <v>45187.9776890711</v>
      </c>
      <c r="C46" s="5">
        <v>45192.748093042501</v>
      </c>
      <c r="D46" s="4" t="s">
        <v>114</v>
      </c>
      <c r="E46" s="4" t="s">
        <v>152</v>
      </c>
      <c r="F46" s="4" t="s">
        <v>141</v>
      </c>
      <c r="G46" s="4">
        <f t="shared" ca="1" si="0"/>
        <v>89</v>
      </c>
      <c r="H46" s="4">
        <v>4</v>
      </c>
    </row>
    <row r="47" spans="1:8" ht="15.6">
      <c r="A47" s="4" t="s">
        <v>153</v>
      </c>
      <c r="B47" s="5">
        <v>45247.493239621697</v>
      </c>
      <c r="C47" s="5">
        <v>45251.200875473703</v>
      </c>
      <c r="D47" s="4" t="s">
        <v>98</v>
      </c>
      <c r="E47" s="4" t="s">
        <v>154</v>
      </c>
      <c r="F47" s="4" t="s">
        <v>101</v>
      </c>
      <c r="G47" s="4">
        <f t="shared" ca="1" si="0"/>
        <v>44</v>
      </c>
      <c r="H47" s="4">
        <v>5</v>
      </c>
    </row>
    <row r="48" spans="1:8" ht="15.6">
      <c r="A48" s="4" t="s">
        <v>155</v>
      </c>
      <c r="B48" s="5">
        <v>45217.953487594001</v>
      </c>
      <c r="C48" s="5">
        <v>45219.9556024013</v>
      </c>
      <c r="D48" s="4" t="s">
        <v>94</v>
      </c>
      <c r="E48" s="4" t="s">
        <v>99</v>
      </c>
      <c r="F48" s="4" t="s">
        <v>141</v>
      </c>
      <c r="G48" s="4">
        <f t="shared" ca="1" si="0"/>
        <v>98</v>
      </c>
      <c r="H48" s="4">
        <v>6</v>
      </c>
    </row>
    <row r="49" spans="1:8" ht="15.6">
      <c r="A49" s="4" t="s">
        <v>155</v>
      </c>
      <c r="B49" s="5">
        <v>45217.697776657697</v>
      </c>
      <c r="C49" s="5">
        <v>45219.252156240902</v>
      </c>
      <c r="D49" s="4" t="s">
        <v>94</v>
      </c>
      <c r="E49" s="4" t="s">
        <v>99</v>
      </c>
      <c r="F49" s="4" t="s">
        <v>122</v>
      </c>
      <c r="G49" s="4">
        <f t="shared" ca="1" si="0"/>
        <v>89</v>
      </c>
      <c r="H49" s="4">
        <v>1</v>
      </c>
    </row>
    <row r="50" spans="1:8" ht="15.6">
      <c r="A50" s="4" t="s">
        <v>155</v>
      </c>
      <c r="B50" s="5">
        <v>45217.790525301003</v>
      </c>
      <c r="C50" s="5">
        <v>45219.4648360227</v>
      </c>
      <c r="D50" s="4" t="s">
        <v>94</v>
      </c>
      <c r="E50" s="4" t="s">
        <v>99</v>
      </c>
      <c r="F50" s="4" t="s">
        <v>100</v>
      </c>
      <c r="G50" s="4">
        <f t="shared" ca="1" si="0"/>
        <v>43</v>
      </c>
      <c r="H50" s="4">
        <v>2</v>
      </c>
    </row>
    <row r="51" spans="1:8" ht="15.6">
      <c r="A51" s="4" t="s">
        <v>156</v>
      </c>
      <c r="B51" s="5">
        <v>44491.024078883798</v>
      </c>
      <c r="C51" s="5">
        <v>44494.393639786198</v>
      </c>
      <c r="D51" s="4" t="s">
        <v>98</v>
      </c>
      <c r="E51" s="4" t="s">
        <v>157</v>
      </c>
      <c r="F51" s="4" t="s">
        <v>122</v>
      </c>
      <c r="G51" s="4">
        <f t="shared" ca="1" si="0"/>
        <v>75</v>
      </c>
      <c r="H51" s="4">
        <v>4</v>
      </c>
    </row>
    <row r="52" spans="1:8" ht="15.6">
      <c r="A52" s="4" t="s">
        <v>156</v>
      </c>
      <c r="B52" s="5">
        <v>44491.0982800981</v>
      </c>
      <c r="C52" s="5">
        <v>44494.161968615401</v>
      </c>
      <c r="D52" s="4" t="s">
        <v>98</v>
      </c>
      <c r="E52" s="4" t="s">
        <v>157</v>
      </c>
      <c r="F52" s="4" t="s">
        <v>118</v>
      </c>
      <c r="G52" s="4">
        <f t="shared" ca="1" si="0"/>
        <v>19</v>
      </c>
      <c r="H52" s="4">
        <v>2</v>
      </c>
    </row>
    <row r="53" spans="1:8" ht="15.6">
      <c r="A53" s="4" t="s">
        <v>156</v>
      </c>
      <c r="B53" s="5">
        <v>44491.637057066298</v>
      </c>
      <c r="C53" s="5">
        <v>44494.227377763702</v>
      </c>
      <c r="D53" s="4" t="s">
        <v>98</v>
      </c>
      <c r="E53" s="4" t="s">
        <v>157</v>
      </c>
      <c r="F53" s="4" t="s">
        <v>135</v>
      </c>
      <c r="G53" s="4">
        <f t="shared" ca="1" si="0"/>
        <v>88</v>
      </c>
      <c r="H53" s="4">
        <v>2</v>
      </c>
    </row>
    <row r="54" spans="1:8" ht="15.6">
      <c r="A54" s="4" t="s">
        <v>158</v>
      </c>
      <c r="B54" s="5">
        <v>45192.0707007784</v>
      </c>
      <c r="C54" s="5">
        <v>45196.675445355701</v>
      </c>
      <c r="D54" s="4" t="s">
        <v>98</v>
      </c>
      <c r="E54" s="4" t="s">
        <v>120</v>
      </c>
      <c r="F54" s="4" t="s">
        <v>106</v>
      </c>
      <c r="G54" s="4">
        <f t="shared" ca="1" si="0"/>
        <v>91</v>
      </c>
      <c r="H54" s="4">
        <v>5</v>
      </c>
    </row>
    <row r="55" spans="1:8" ht="15.6">
      <c r="A55" s="4" t="s">
        <v>158</v>
      </c>
      <c r="B55" s="5">
        <v>45192.543106134501</v>
      </c>
      <c r="C55" s="5">
        <v>45196.540348560899</v>
      </c>
      <c r="D55" s="4" t="s">
        <v>98</v>
      </c>
      <c r="E55" s="4" t="s">
        <v>120</v>
      </c>
      <c r="F55" s="4" t="s">
        <v>106</v>
      </c>
      <c r="G55" s="4">
        <f t="shared" ca="1" si="0"/>
        <v>89</v>
      </c>
      <c r="H55" s="4">
        <v>5</v>
      </c>
    </row>
    <row r="56" spans="1:8" ht="15.6">
      <c r="A56" s="4" t="s">
        <v>158</v>
      </c>
      <c r="B56" s="5">
        <v>45192.9447204635</v>
      </c>
      <c r="C56" s="5">
        <v>45196.666124366202</v>
      </c>
      <c r="D56" s="4" t="s">
        <v>98</v>
      </c>
      <c r="E56" s="4" t="s">
        <v>120</v>
      </c>
      <c r="F56" s="4" t="s">
        <v>135</v>
      </c>
      <c r="G56" s="4">
        <f t="shared" ca="1" si="0"/>
        <v>95</v>
      </c>
      <c r="H56" s="4">
        <v>1</v>
      </c>
    </row>
    <row r="57" spans="1:8" ht="15.6">
      <c r="A57" s="4" t="s">
        <v>159</v>
      </c>
      <c r="B57" s="5">
        <v>44320.140177107103</v>
      </c>
      <c r="C57" s="5">
        <v>44324.716235637803</v>
      </c>
      <c r="D57" s="4" t="s">
        <v>98</v>
      </c>
      <c r="E57" s="4" t="s">
        <v>160</v>
      </c>
      <c r="F57" s="4" t="s">
        <v>96</v>
      </c>
      <c r="G57" s="4">
        <f t="shared" ca="1" si="0"/>
        <v>35</v>
      </c>
      <c r="H57" s="4">
        <v>4</v>
      </c>
    </row>
    <row r="58" spans="1:8" ht="15.6">
      <c r="A58" s="4" t="s">
        <v>159</v>
      </c>
      <c r="B58" s="5">
        <v>44320.469371930703</v>
      </c>
      <c r="C58" s="5">
        <v>44324.614764477999</v>
      </c>
      <c r="D58" s="4" t="s">
        <v>98</v>
      </c>
      <c r="E58" s="4" t="s">
        <v>160</v>
      </c>
      <c r="F58" s="4" t="s">
        <v>112</v>
      </c>
      <c r="G58" s="4">
        <f t="shared" ca="1" si="0"/>
        <v>34</v>
      </c>
      <c r="H58" s="4">
        <v>5</v>
      </c>
    </row>
    <row r="59" spans="1:8" ht="15.6">
      <c r="A59" s="4" t="s">
        <v>159</v>
      </c>
      <c r="B59" s="5">
        <v>44320.796947740899</v>
      </c>
      <c r="C59" s="5">
        <v>44324.939224914197</v>
      </c>
      <c r="D59" s="4" t="s">
        <v>98</v>
      </c>
      <c r="E59" s="4" t="s">
        <v>160</v>
      </c>
      <c r="F59" s="4" t="s">
        <v>112</v>
      </c>
      <c r="G59" s="4">
        <f t="shared" ca="1" si="0"/>
        <v>54</v>
      </c>
      <c r="H59" s="4">
        <v>3</v>
      </c>
    </row>
    <row r="60" spans="1:8" ht="15.6">
      <c r="A60" s="4" t="s">
        <v>161</v>
      </c>
      <c r="B60" s="5">
        <v>44229.139406074297</v>
      </c>
      <c r="C60" s="5">
        <v>44235.897524933302</v>
      </c>
      <c r="D60" s="4" t="s">
        <v>94</v>
      </c>
      <c r="E60" s="4" t="s">
        <v>162</v>
      </c>
      <c r="F60" s="4" t="s">
        <v>130</v>
      </c>
      <c r="G60" s="4">
        <f t="shared" ca="1" si="0"/>
        <v>69</v>
      </c>
      <c r="H60" s="4">
        <v>2</v>
      </c>
    </row>
    <row r="61" spans="1:8" ht="15.6">
      <c r="A61" s="4" t="s">
        <v>163</v>
      </c>
      <c r="B61" s="5">
        <v>44641.685927099999</v>
      </c>
      <c r="C61" s="5">
        <v>44648.311306876298</v>
      </c>
      <c r="D61" s="4" t="s">
        <v>94</v>
      </c>
      <c r="E61" s="4" t="s">
        <v>164</v>
      </c>
      <c r="F61" s="4" t="s">
        <v>135</v>
      </c>
      <c r="G61" s="4">
        <f t="shared" ca="1" si="0"/>
        <v>25</v>
      </c>
      <c r="H61" s="4">
        <v>2</v>
      </c>
    </row>
    <row r="62" spans="1:8" ht="15.6">
      <c r="A62" s="4" t="s">
        <v>165</v>
      </c>
      <c r="B62" s="5">
        <v>45286.919895696497</v>
      </c>
      <c r="C62" s="5">
        <v>45289.101617967601</v>
      </c>
      <c r="D62" s="4" t="s">
        <v>94</v>
      </c>
      <c r="E62" s="4" t="s">
        <v>166</v>
      </c>
      <c r="F62" s="4" t="s">
        <v>118</v>
      </c>
      <c r="G62" s="4">
        <f t="shared" ca="1" si="0"/>
        <v>12</v>
      </c>
      <c r="H62" s="4">
        <v>2</v>
      </c>
    </row>
    <row r="63" spans="1:8" ht="15.6">
      <c r="A63" s="4" t="s">
        <v>167</v>
      </c>
      <c r="B63" s="5">
        <v>45208.333208548996</v>
      </c>
      <c r="C63" s="5">
        <v>45211.435458479602</v>
      </c>
      <c r="D63" s="4" t="s">
        <v>98</v>
      </c>
      <c r="E63" s="4" t="s">
        <v>168</v>
      </c>
      <c r="F63" s="4" t="s">
        <v>109</v>
      </c>
      <c r="G63" s="4">
        <f t="shared" ca="1" si="0"/>
        <v>71</v>
      </c>
      <c r="H63" s="4">
        <v>7</v>
      </c>
    </row>
    <row r="64" spans="1:8" ht="15.6">
      <c r="A64" s="4" t="s">
        <v>169</v>
      </c>
      <c r="B64" s="5">
        <v>45072.808804507702</v>
      </c>
      <c r="C64" s="5">
        <v>45074.670098263799</v>
      </c>
      <c r="D64" s="4" t="s">
        <v>94</v>
      </c>
      <c r="E64" s="4" t="s">
        <v>170</v>
      </c>
      <c r="F64" s="4" t="s">
        <v>125</v>
      </c>
      <c r="G64" s="4">
        <f t="shared" ca="1" si="0"/>
        <v>71</v>
      </c>
      <c r="H64" s="4">
        <v>5</v>
      </c>
    </row>
    <row r="65" spans="1:8" ht="15.6">
      <c r="A65" s="4" t="s">
        <v>169</v>
      </c>
      <c r="B65" s="5">
        <v>45072.1953257641</v>
      </c>
      <c r="C65" s="5">
        <v>45074.998240904097</v>
      </c>
      <c r="D65" s="4" t="s">
        <v>94</v>
      </c>
      <c r="E65" s="4" t="s">
        <v>170</v>
      </c>
      <c r="F65" s="4" t="s">
        <v>112</v>
      </c>
      <c r="G65" s="4">
        <f t="shared" ca="1" si="0"/>
        <v>73</v>
      </c>
      <c r="H65" s="4">
        <v>5</v>
      </c>
    </row>
    <row r="66" spans="1:8" ht="15.6">
      <c r="A66" s="4" t="s">
        <v>171</v>
      </c>
      <c r="B66" s="5">
        <v>44579.2123565863</v>
      </c>
      <c r="C66" s="5">
        <v>44581.941467977798</v>
      </c>
      <c r="D66" s="4" t="s">
        <v>94</v>
      </c>
      <c r="E66" s="4" t="s">
        <v>172</v>
      </c>
      <c r="F66" s="4" t="s">
        <v>109</v>
      </c>
      <c r="G66" s="4">
        <f t="shared" ref="G66:G129" ca="1" si="1">RANDBETWEEN(10,100)</f>
        <v>83</v>
      </c>
      <c r="H66" s="4">
        <v>4</v>
      </c>
    </row>
    <row r="67" spans="1:8" ht="15.6">
      <c r="A67" s="4" t="s">
        <v>173</v>
      </c>
      <c r="B67" s="5">
        <v>44672.639257032701</v>
      </c>
      <c r="C67" s="5">
        <v>44677.511564373701</v>
      </c>
      <c r="D67" s="4" t="s">
        <v>94</v>
      </c>
      <c r="E67" s="4" t="s">
        <v>174</v>
      </c>
      <c r="F67" s="4" t="s">
        <v>106</v>
      </c>
      <c r="G67" s="4">
        <f t="shared" ca="1" si="1"/>
        <v>35</v>
      </c>
      <c r="H67" s="4">
        <v>8</v>
      </c>
    </row>
    <row r="68" spans="1:8" ht="15.6">
      <c r="A68" s="4" t="s">
        <v>175</v>
      </c>
      <c r="B68" s="5">
        <v>44623.652058046697</v>
      </c>
      <c r="C68" s="5">
        <v>44624.343194319197</v>
      </c>
      <c r="D68" s="4" t="s">
        <v>98</v>
      </c>
      <c r="E68" s="4" t="s">
        <v>176</v>
      </c>
      <c r="F68" s="4" t="s">
        <v>141</v>
      </c>
      <c r="G68" s="4">
        <f t="shared" ca="1" si="1"/>
        <v>52</v>
      </c>
      <c r="H68" s="4">
        <v>3</v>
      </c>
    </row>
    <row r="69" spans="1:8" ht="15.6">
      <c r="A69" s="4" t="s">
        <v>175</v>
      </c>
      <c r="B69" s="5">
        <v>44623.3484205411</v>
      </c>
      <c r="C69" s="5">
        <v>44624.731792539998</v>
      </c>
      <c r="D69" s="4" t="s">
        <v>98</v>
      </c>
      <c r="E69" s="4" t="s">
        <v>176</v>
      </c>
      <c r="F69" s="4" t="s">
        <v>111</v>
      </c>
      <c r="G69" s="4">
        <f t="shared" ca="1" si="1"/>
        <v>60</v>
      </c>
      <c r="H69" s="4">
        <v>3</v>
      </c>
    </row>
    <row r="70" spans="1:8" ht="15.6">
      <c r="A70" s="4" t="s">
        <v>177</v>
      </c>
      <c r="B70" s="5">
        <v>45120.302747943198</v>
      </c>
      <c r="C70" s="5">
        <v>45125.695741560798</v>
      </c>
      <c r="D70" s="4" t="s">
        <v>114</v>
      </c>
      <c r="E70" s="4" t="s">
        <v>117</v>
      </c>
      <c r="F70" s="4" t="s">
        <v>121</v>
      </c>
      <c r="G70" s="4">
        <f t="shared" ca="1" si="1"/>
        <v>87</v>
      </c>
      <c r="H70" s="4">
        <v>3</v>
      </c>
    </row>
    <row r="71" spans="1:8" ht="15.6">
      <c r="A71" s="4" t="s">
        <v>178</v>
      </c>
      <c r="B71" s="5">
        <v>44955.747838194198</v>
      </c>
      <c r="C71" s="5">
        <v>44960.352820006497</v>
      </c>
      <c r="D71" s="4" t="s">
        <v>98</v>
      </c>
      <c r="E71" s="4" t="s">
        <v>179</v>
      </c>
      <c r="F71" s="4" t="s">
        <v>125</v>
      </c>
      <c r="G71" s="4">
        <f t="shared" ca="1" si="1"/>
        <v>39</v>
      </c>
      <c r="H71" s="4">
        <v>5</v>
      </c>
    </row>
    <row r="72" spans="1:8" ht="15.6">
      <c r="A72" s="4" t="s">
        <v>180</v>
      </c>
      <c r="B72" s="5">
        <v>44943.657569695803</v>
      </c>
      <c r="C72" s="5">
        <v>44946.710449909799</v>
      </c>
      <c r="D72" s="4" t="s">
        <v>114</v>
      </c>
      <c r="E72" s="4" t="s">
        <v>181</v>
      </c>
      <c r="F72" s="4" t="s">
        <v>100</v>
      </c>
      <c r="G72" s="4">
        <f t="shared" ca="1" si="1"/>
        <v>22</v>
      </c>
      <c r="H72" s="4">
        <v>5</v>
      </c>
    </row>
    <row r="73" spans="1:8" ht="15.6">
      <c r="A73" s="4" t="s">
        <v>180</v>
      </c>
      <c r="B73" s="5">
        <v>44943.757039059201</v>
      </c>
      <c r="C73" s="5">
        <v>44946.738106301098</v>
      </c>
      <c r="D73" s="4" t="s">
        <v>114</v>
      </c>
      <c r="E73" s="4" t="s">
        <v>181</v>
      </c>
      <c r="F73" s="4" t="s">
        <v>130</v>
      </c>
      <c r="G73" s="4">
        <f t="shared" ca="1" si="1"/>
        <v>70</v>
      </c>
      <c r="H73" s="4">
        <v>1</v>
      </c>
    </row>
    <row r="74" spans="1:8" ht="15.6">
      <c r="A74" s="4" t="s">
        <v>182</v>
      </c>
      <c r="B74" s="5">
        <v>44620.956348045998</v>
      </c>
      <c r="C74" s="5">
        <v>44622.745607619603</v>
      </c>
      <c r="D74" s="4" t="s">
        <v>94</v>
      </c>
      <c r="E74" s="4" t="s">
        <v>183</v>
      </c>
      <c r="F74" s="4" t="s">
        <v>122</v>
      </c>
      <c r="G74" s="4">
        <f t="shared" ca="1" si="1"/>
        <v>90</v>
      </c>
      <c r="H74" s="4">
        <v>3</v>
      </c>
    </row>
    <row r="75" spans="1:8" ht="15.6">
      <c r="A75" s="4" t="s">
        <v>182</v>
      </c>
      <c r="B75" s="5">
        <v>44620.309938551902</v>
      </c>
      <c r="C75" s="5">
        <v>44622.674461472197</v>
      </c>
      <c r="D75" s="4" t="s">
        <v>94</v>
      </c>
      <c r="E75" s="4" t="s">
        <v>183</v>
      </c>
      <c r="F75" s="4" t="s">
        <v>100</v>
      </c>
      <c r="G75" s="4">
        <f t="shared" ca="1" si="1"/>
        <v>48</v>
      </c>
      <c r="H75" s="4">
        <v>3</v>
      </c>
    </row>
    <row r="76" spans="1:8" ht="15.6">
      <c r="A76" s="4" t="s">
        <v>182</v>
      </c>
      <c r="B76" s="5">
        <v>44620.548704937399</v>
      </c>
      <c r="C76" s="5">
        <v>44622.286360373</v>
      </c>
      <c r="D76" s="4" t="s">
        <v>94</v>
      </c>
      <c r="E76" s="4" t="s">
        <v>183</v>
      </c>
      <c r="F76" s="4" t="s">
        <v>122</v>
      </c>
      <c r="G76" s="4">
        <f t="shared" ca="1" si="1"/>
        <v>27</v>
      </c>
      <c r="H76" s="4">
        <v>1</v>
      </c>
    </row>
    <row r="77" spans="1:8" ht="15.6">
      <c r="A77" s="4" t="s">
        <v>184</v>
      </c>
      <c r="B77" s="5">
        <v>45084.896404958497</v>
      </c>
      <c r="C77" s="5">
        <v>45088.713405807903</v>
      </c>
      <c r="D77" s="4" t="s">
        <v>98</v>
      </c>
      <c r="E77" s="4" t="s">
        <v>185</v>
      </c>
      <c r="F77" s="4" t="s">
        <v>96</v>
      </c>
      <c r="G77" s="4">
        <f t="shared" ca="1" si="1"/>
        <v>26</v>
      </c>
      <c r="H77" s="4">
        <v>5</v>
      </c>
    </row>
    <row r="78" spans="1:8" ht="15.6">
      <c r="A78" s="4" t="s">
        <v>186</v>
      </c>
      <c r="B78" s="5">
        <v>44676.117379537704</v>
      </c>
      <c r="C78" s="5">
        <v>44680.4517291628</v>
      </c>
      <c r="D78" s="4" t="s">
        <v>98</v>
      </c>
      <c r="E78" s="4" t="s">
        <v>164</v>
      </c>
      <c r="F78" s="4" t="s">
        <v>112</v>
      </c>
      <c r="G78" s="4">
        <f t="shared" ca="1" si="1"/>
        <v>60</v>
      </c>
      <c r="H78" s="4">
        <v>2</v>
      </c>
    </row>
    <row r="79" spans="1:8" ht="15.6">
      <c r="A79" s="4" t="s">
        <v>186</v>
      </c>
      <c r="B79" s="5">
        <v>44676.572790925296</v>
      </c>
      <c r="C79" s="5">
        <v>44680.999119029701</v>
      </c>
      <c r="D79" s="4" t="s">
        <v>98</v>
      </c>
      <c r="E79" s="4" t="s">
        <v>164</v>
      </c>
      <c r="F79" s="4" t="s">
        <v>125</v>
      </c>
      <c r="G79" s="4">
        <f t="shared" ca="1" si="1"/>
        <v>58</v>
      </c>
      <c r="H79" s="4">
        <v>3</v>
      </c>
    </row>
    <row r="80" spans="1:8" ht="15.6">
      <c r="A80" s="4" t="s">
        <v>186</v>
      </c>
      <c r="B80" s="5">
        <v>44676.2837425697</v>
      </c>
      <c r="C80" s="5">
        <v>44680.2150597707</v>
      </c>
      <c r="D80" s="4" t="s">
        <v>98</v>
      </c>
      <c r="E80" s="4" t="s">
        <v>164</v>
      </c>
      <c r="F80" s="4" t="s">
        <v>125</v>
      </c>
      <c r="G80" s="4">
        <f t="shared" ca="1" si="1"/>
        <v>92</v>
      </c>
      <c r="H80" s="4">
        <v>2</v>
      </c>
    </row>
    <row r="81" spans="1:8" ht="15.6">
      <c r="A81" s="4" t="s">
        <v>187</v>
      </c>
      <c r="B81" s="5">
        <v>45120.788946189001</v>
      </c>
      <c r="C81" s="5">
        <v>45125.266760031103</v>
      </c>
      <c r="D81" s="4" t="s">
        <v>94</v>
      </c>
      <c r="E81" s="4" t="s">
        <v>152</v>
      </c>
      <c r="F81" s="4" t="s">
        <v>125</v>
      </c>
      <c r="G81" s="4">
        <f t="shared" ca="1" si="1"/>
        <v>12</v>
      </c>
      <c r="H81" s="4">
        <v>14</v>
      </c>
    </row>
    <row r="82" spans="1:8" ht="15.6">
      <c r="A82" s="4" t="s">
        <v>187</v>
      </c>
      <c r="B82" s="5">
        <v>45120.9525842</v>
      </c>
      <c r="C82" s="5">
        <v>45125.513270351403</v>
      </c>
      <c r="D82" s="4" t="s">
        <v>94</v>
      </c>
      <c r="E82" s="4" t="s">
        <v>152</v>
      </c>
      <c r="F82" s="4" t="s">
        <v>96</v>
      </c>
      <c r="G82" s="4">
        <f t="shared" ca="1" si="1"/>
        <v>82</v>
      </c>
      <c r="H82" s="4">
        <v>2</v>
      </c>
    </row>
    <row r="83" spans="1:8" ht="15.6">
      <c r="A83" s="4" t="s">
        <v>188</v>
      </c>
      <c r="B83" s="5">
        <v>45270.624363676201</v>
      </c>
      <c r="C83" s="5">
        <v>45270.770317466697</v>
      </c>
      <c r="D83" s="4" t="s">
        <v>98</v>
      </c>
      <c r="E83" s="4" t="s">
        <v>164</v>
      </c>
      <c r="F83" s="4" t="s">
        <v>118</v>
      </c>
      <c r="G83" s="4">
        <f t="shared" ca="1" si="1"/>
        <v>87</v>
      </c>
      <c r="H83" s="4">
        <v>2</v>
      </c>
    </row>
    <row r="84" spans="1:8" ht="15.6">
      <c r="A84" s="4" t="s">
        <v>189</v>
      </c>
      <c r="B84" s="5">
        <v>44919.4551135566</v>
      </c>
      <c r="C84" s="5">
        <v>44924.235986416599</v>
      </c>
      <c r="D84" s="4" t="s">
        <v>114</v>
      </c>
      <c r="E84" s="4" t="s">
        <v>190</v>
      </c>
      <c r="F84" s="4" t="s">
        <v>118</v>
      </c>
      <c r="G84" s="4">
        <f t="shared" ca="1" si="1"/>
        <v>86</v>
      </c>
      <c r="H84" s="4">
        <v>2</v>
      </c>
    </row>
    <row r="85" spans="1:8" ht="15.6">
      <c r="A85" s="4" t="s">
        <v>189</v>
      </c>
      <c r="B85" s="5">
        <v>44919.649325720799</v>
      </c>
      <c r="C85" s="5">
        <v>44924.491069729702</v>
      </c>
      <c r="D85" s="4" t="s">
        <v>114</v>
      </c>
      <c r="E85" s="4" t="s">
        <v>190</v>
      </c>
      <c r="F85" s="4" t="s">
        <v>125</v>
      </c>
      <c r="G85" s="4">
        <f t="shared" ca="1" si="1"/>
        <v>43</v>
      </c>
      <c r="H85" s="4">
        <v>3</v>
      </c>
    </row>
    <row r="86" spans="1:8" ht="15.6">
      <c r="A86" s="4" t="s">
        <v>191</v>
      </c>
      <c r="B86" s="5">
        <v>45202.951594268401</v>
      </c>
      <c r="C86" s="5">
        <v>45207.5178758908</v>
      </c>
      <c r="D86" s="4" t="s">
        <v>98</v>
      </c>
      <c r="E86" s="4" t="s">
        <v>127</v>
      </c>
      <c r="F86" s="4" t="s">
        <v>100</v>
      </c>
      <c r="G86" s="4">
        <f t="shared" ca="1" si="1"/>
        <v>13</v>
      </c>
      <c r="H86" s="4">
        <v>7</v>
      </c>
    </row>
    <row r="87" spans="1:8" ht="15.6">
      <c r="A87" s="4" t="s">
        <v>191</v>
      </c>
      <c r="B87" s="5">
        <v>45202.4583163684</v>
      </c>
      <c r="C87" s="5">
        <v>45207.701221035197</v>
      </c>
      <c r="D87" s="4" t="s">
        <v>98</v>
      </c>
      <c r="E87" s="4" t="s">
        <v>127</v>
      </c>
      <c r="F87" s="4" t="s">
        <v>131</v>
      </c>
      <c r="G87" s="4">
        <f t="shared" ca="1" si="1"/>
        <v>34</v>
      </c>
      <c r="H87" s="4">
        <v>5</v>
      </c>
    </row>
    <row r="88" spans="1:8" ht="15.6">
      <c r="A88" s="4" t="s">
        <v>192</v>
      </c>
      <c r="B88" s="5">
        <v>44469.668271133902</v>
      </c>
      <c r="C88" s="5">
        <v>44474.664333252003</v>
      </c>
      <c r="D88" s="4" t="s">
        <v>94</v>
      </c>
      <c r="E88" s="4" t="s">
        <v>193</v>
      </c>
      <c r="F88" s="4" t="s">
        <v>125</v>
      </c>
      <c r="G88" s="4">
        <f t="shared" ca="1" si="1"/>
        <v>57</v>
      </c>
      <c r="H88" s="4">
        <v>6</v>
      </c>
    </row>
    <row r="89" spans="1:8" ht="15.6">
      <c r="A89" s="4" t="s">
        <v>194</v>
      </c>
      <c r="B89" s="5">
        <v>45257.425645098199</v>
      </c>
      <c r="C89" s="5">
        <v>45257.3959661716</v>
      </c>
      <c r="D89" s="4" t="s">
        <v>98</v>
      </c>
      <c r="E89" s="4" t="s">
        <v>195</v>
      </c>
      <c r="F89" s="4" t="s">
        <v>131</v>
      </c>
      <c r="G89" s="4">
        <f t="shared" ca="1" si="1"/>
        <v>20</v>
      </c>
      <c r="H89" s="4">
        <v>6</v>
      </c>
    </row>
    <row r="90" spans="1:8" ht="15.6">
      <c r="A90" s="4" t="s">
        <v>196</v>
      </c>
      <c r="B90" s="5">
        <v>44667.789985880801</v>
      </c>
      <c r="C90" s="5">
        <v>44671.905549632203</v>
      </c>
      <c r="D90" s="4" t="s">
        <v>98</v>
      </c>
      <c r="E90" s="4" t="s">
        <v>197</v>
      </c>
      <c r="F90" s="4" t="s">
        <v>122</v>
      </c>
      <c r="G90" s="4">
        <f t="shared" ca="1" si="1"/>
        <v>24</v>
      </c>
      <c r="H90" s="4">
        <v>4</v>
      </c>
    </row>
    <row r="91" spans="1:8" ht="15.6">
      <c r="A91" s="4" t="s">
        <v>198</v>
      </c>
      <c r="B91" s="5">
        <v>44640.155315612901</v>
      </c>
      <c r="C91" s="5">
        <v>44645.787880850003</v>
      </c>
      <c r="D91" s="4" t="s">
        <v>98</v>
      </c>
      <c r="E91" s="4" t="s">
        <v>199</v>
      </c>
      <c r="F91" s="4" t="s">
        <v>101</v>
      </c>
      <c r="G91" s="4">
        <f t="shared" ca="1" si="1"/>
        <v>34</v>
      </c>
      <c r="H91" s="4">
        <v>2</v>
      </c>
    </row>
    <row r="92" spans="1:8" ht="15.6">
      <c r="A92" s="4" t="s">
        <v>198</v>
      </c>
      <c r="B92" s="5">
        <v>44640.5017564347</v>
      </c>
      <c r="C92" s="5">
        <v>44645.224781300501</v>
      </c>
      <c r="D92" s="4" t="s">
        <v>98</v>
      </c>
      <c r="E92" s="4" t="s">
        <v>199</v>
      </c>
      <c r="F92" s="4" t="s">
        <v>135</v>
      </c>
      <c r="G92" s="4">
        <f t="shared" ca="1" si="1"/>
        <v>43</v>
      </c>
      <c r="H92" s="4">
        <v>3</v>
      </c>
    </row>
    <row r="93" spans="1:8" ht="15.6">
      <c r="A93" s="4" t="s">
        <v>198</v>
      </c>
      <c r="B93" s="5">
        <v>44640.994159985297</v>
      </c>
      <c r="C93" s="5">
        <v>44645.1258281634</v>
      </c>
      <c r="D93" s="4" t="s">
        <v>98</v>
      </c>
      <c r="E93" s="4" t="s">
        <v>199</v>
      </c>
      <c r="F93" s="4" t="s">
        <v>135</v>
      </c>
      <c r="G93" s="4">
        <f t="shared" ca="1" si="1"/>
        <v>75</v>
      </c>
      <c r="H93" s="4">
        <v>2</v>
      </c>
    </row>
    <row r="94" spans="1:8" ht="15.6">
      <c r="A94" s="4" t="s">
        <v>198</v>
      </c>
      <c r="B94" s="5">
        <v>44640.383843185198</v>
      </c>
      <c r="C94" s="5">
        <v>44645.1051360864</v>
      </c>
      <c r="D94" s="4" t="s">
        <v>98</v>
      </c>
      <c r="E94" s="4" t="s">
        <v>199</v>
      </c>
      <c r="F94" s="4" t="s">
        <v>135</v>
      </c>
      <c r="G94" s="4">
        <f t="shared" ca="1" si="1"/>
        <v>27</v>
      </c>
      <c r="H94" s="4">
        <v>2</v>
      </c>
    </row>
    <row r="95" spans="1:8" ht="15.6">
      <c r="A95" s="4" t="s">
        <v>200</v>
      </c>
      <c r="B95" s="5">
        <v>44462.462910357601</v>
      </c>
      <c r="C95" s="5">
        <v>44465.229444411299</v>
      </c>
      <c r="D95" s="4" t="s">
        <v>98</v>
      </c>
      <c r="E95" s="4" t="s">
        <v>201</v>
      </c>
      <c r="F95" s="4" t="s">
        <v>96</v>
      </c>
      <c r="G95" s="4">
        <f t="shared" ca="1" si="1"/>
        <v>70</v>
      </c>
      <c r="H95" s="4">
        <v>3</v>
      </c>
    </row>
    <row r="96" spans="1:8" ht="15.6">
      <c r="A96" s="4" t="s">
        <v>200</v>
      </c>
      <c r="B96" s="5">
        <v>44462.488214974597</v>
      </c>
      <c r="C96" s="5">
        <v>44465.421119538099</v>
      </c>
      <c r="D96" s="4" t="s">
        <v>98</v>
      </c>
      <c r="E96" s="4" t="s">
        <v>201</v>
      </c>
      <c r="F96" s="4" t="s">
        <v>110</v>
      </c>
      <c r="G96" s="4">
        <f t="shared" ca="1" si="1"/>
        <v>84</v>
      </c>
      <c r="H96" s="4">
        <v>5</v>
      </c>
    </row>
    <row r="97" spans="1:8" ht="15.6">
      <c r="A97" s="4" t="s">
        <v>200</v>
      </c>
      <c r="B97" s="5">
        <v>44462.743533654997</v>
      </c>
      <c r="C97" s="5">
        <v>44465.093213518099</v>
      </c>
      <c r="D97" s="4" t="s">
        <v>98</v>
      </c>
      <c r="E97" s="4" t="s">
        <v>201</v>
      </c>
      <c r="F97" s="4" t="s">
        <v>112</v>
      </c>
      <c r="G97" s="4">
        <f t="shared" ca="1" si="1"/>
        <v>88</v>
      </c>
      <c r="H97" s="4">
        <v>5</v>
      </c>
    </row>
    <row r="98" spans="1:8" ht="15.6">
      <c r="A98" s="4" t="s">
        <v>200</v>
      </c>
      <c r="B98" s="5">
        <v>44462.138453947897</v>
      </c>
      <c r="C98" s="5">
        <v>44465.076383983098</v>
      </c>
      <c r="D98" s="4" t="s">
        <v>98</v>
      </c>
      <c r="E98" s="4" t="s">
        <v>201</v>
      </c>
      <c r="F98" s="4" t="s">
        <v>100</v>
      </c>
      <c r="G98" s="4">
        <f t="shared" ca="1" si="1"/>
        <v>90</v>
      </c>
      <c r="H98" s="4">
        <v>3</v>
      </c>
    </row>
    <row r="99" spans="1:8" ht="15.6">
      <c r="A99" s="4" t="s">
        <v>200</v>
      </c>
      <c r="B99" s="5">
        <v>44462.205954742501</v>
      </c>
      <c r="C99" s="5">
        <v>44465.264423820598</v>
      </c>
      <c r="D99" s="4" t="s">
        <v>98</v>
      </c>
      <c r="E99" s="4" t="s">
        <v>201</v>
      </c>
      <c r="F99" s="4" t="s">
        <v>141</v>
      </c>
      <c r="G99" s="4">
        <f t="shared" ca="1" si="1"/>
        <v>32</v>
      </c>
      <c r="H99" s="4">
        <v>2</v>
      </c>
    </row>
    <row r="100" spans="1:8" ht="15.6">
      <c r="A100" s="4" t="s">
        <v>202</v>
      </c>
      <c r="B100" s="5">
        <v>44635.549496347398</v>
      </c>
      <c r="C100" s="5">
        <v>44639.623431211803</v>
      </c>
      <c r="D100" s="4" t="s">
        <v>94</v>
      </c>
      <c r="E100" s="4" t="s">
        <v>203</v>
      </c>
      <c r="F100" s="4" t="s">
        <v>109</v>
      </c>
      <c r="G100" s="4">
        <f t="shared" ca="1" si="1"/>
        <v>15</v>
      </c>
      <c r="H100" s="4">
        <v>4</v>
      </c>
    </row>
    <row r="101" spans="1:8" ht="15.6">
      <c r="A101" s="4" t="s">
        <v>204</v>
      </c>
      <c r="B101" s="5">
        <v>44709.2235790044</v>
      </c>
      <c r="C101" s="5">
        <v>44712.422627188302</v>
      </c>
      <c r="D101" s="4" t="s">
        <v>98</v>
      </c>
      <c r="E101" s="4" t="s">
        <v>205</v>
      </c>
      <c r="F101" s="4" t="s">
        <v>96</v>
      </c>
      <c r="G101" s="4">
        <f t="shared" ca="1" si="1"/>
        <v>17</v>
      </c>
      <c r="H101" s="4">
        <v>3</v>
      </c>
    </row>
    <row r="102" spans="1:8" ht="15.6">
      <c r="A102" s="4" t="s">
        <v>204</v>
      </c>
      <c r="B102" s="5">
        <v>44709.573320560499</v>
      </c>
      <c r="C102" s="5">
        <v>44712.7668925623</v>
      </c>
      <c r="D102" s="4" t="s">
        <v>98</v>
      </c>
      <c r="E102" s="4" t="s">
        <v>205</v>
      </c>
      <c r="F102" s="4" t="s">
        <v>106</v>
      </c>
      <c r="G102" s="4">
        <f t="shared" ca="1" si="1"/>
        <v>98</v>
      </c>
      <c r="H102" s="4">
        <v>4</v>
      </c>
    </row>
    <row r="103" spans="1:8" ht="15.6">
      <c r="A103" s="4" t="s">
        <v>206</v>
      </c>
      <c r="B103" s="5">
        <v>44639.331615534997</v>
      </c>
      <c r="C103" s="5">
        <v>44643.328551032297</v>
      </c>
      <c r="D103" s="4" t="s">
        <v>114</v>
      </c>
      <c r="E103" s="4" t="s">
        <v>207</v>
      </c>
      <c r="F103" s="4" t="s">
        <v>96</v>
      </c>
      <c r="G103" s="4">
        <f t="shared" ca="1" si="1"/>
        <v>45</v>
      </c>
      <c r="H103" s="4">
        <v>2</v>
      </c>
    </row>
    <row r="104" spans="1:8" ht="15.6">
      <c r="A104" s="4" t="s">
        <v>208</v>
      </c>
      <c r="B104" s="5">
        <v>44617.095167736203</v>
      </c>
      <c r="C104" s="5">
        <v>44622.673353534003</v>
      </c>
      <c r="D104" s="4" t="s">
        <v>114</v>
      </c>
      <c r="E104" s="4" t="s">
        <v>207</v>
      </c>
      <c r="F104" s="4" t="s">
        <v>101</v>
      </c>
      <c r="G104" s="4">
        <f t="shared" ca="1" si="1"/>
        <v>54</v>
      </c>
      <c r="H104" s="4">
        <v>3</v>
      </c>
    </row>
    <row r="105" spans="1:8" ht="15.6">
      <c r="A105" s="4" t="s">
        <v>208</v>
      </c>
      <c r="B105" s="5">
        <v>44617.343571688398</v>
      </c>
      <c r="C105" s="5">
        <v>44622.794922217901</v>
      </c>
      <c r="D105" s="4" t="s">
        <v>114</v>
      </c>
      <c r="E105" s="4" t="s">
        <v>207</v>
      </c>
      <c r="F105" s="4" t="s">
        <v>131</v>
      </c>
      <c r="G105" s="4">
        <f t="shared" ca="1" si="1"/>
        <v>18</v>
      </c>
      <c r="H105" s="4">
        <v>9</v>
      </c>
    </row>
    <row r="106" spans="1:8" ht="15.6">
      <c r="A106" s="4" t="s">
        <v>208</v>
      </c>
      <c r="B106" s="5">
        <v>44617.404676235798</v>
      </c>
      <c r="C106" s="5">
        <v>44622.162748667797</v>
      </c>
      <c r="D106" s="4" t="s">
        <v>114</v>
      </c>
      <c r="E106" s="4" t="s">
        <v>207</v>
      </c>
      <c r="F106" s="4" t="s">
        <v>110</v>
      </c>
      <c r="G106" s="4">
        <f t="shared" ca="1" si="1"/>
        <v>48</v>
      </c>
      <c r="H106" s="4">
        <v>1</v>
      </c>
    </row>
    <row r="107" spans="1:8" ht="15.6">
      <c r="A107" s="4" t="s">
        <v>209</v>
      </c>
      <c r="B107" s="5">
        <v>44968.564080538497</v>
      </c>
      <c r="C107" s="5">
        <v>44970.509323506099</v>
      </c>
      <c r="D107" s="4" t="s">
        <v>114</v>
      </c>
      <c r="E107" s="4" t="s">
        <v>210</v>
      </c>
      <c r="F107" s="4" t="s">
        <v>110</v>
      </c>
      <c r="G107" s="4">
        <f t="shared" ca="1" si="1"/>
        <v>56</v>
      </c>
      <c r="H107" s="4">
        <v>7</v>
      </c>
    </row>
    <row r="108" spans="1:8" ht="15.6">
      <c r="A108" s="4" t="s">
        <v>209</v>
      </c>
      <c r="B108" s="5">
        <v>44968.6563375521</v>
      </c>
      <c r="C108" s="5">
        <v>44970.200039559</v>
      </c>
      <c r="D108" s="4" t="s">
        <v>114</v>
      </c>
      <c r="E108" s="4" t="s">
        <v>210</v>
      </c>
      <c r="F108" s="4" t="s">
        <v>121</v>
      </c>
      <c r="G108" s="4">
        <f t="shared" ca="1" si="1"/>
        <v>14</v>
      </c>
      <c r="H108" s="4">
        <v>4</v>
      </c>
    </row>
    <row r="109" spans="1:8" ht="15.6">
      <c r="A109" s="4" t="s">
        <v>211</v>
      </c>
      <c r="B109" s="5">
        <v>44245.969085901197</v>
      </c>
      <c r="C109" s="5">
        <v>44246.8750400512</v>
      </c>
      <c r="D109" s="4" t="s">
        <v>94</v>
      </c>
      <c r="E109" s="4" t="s">
        <v>124</v>
      </c>
      <c r="F109" s="4" t="s">
        <v>96</v>
      </c>
      <c r="G109" s="4">
        <f t="shared" ca="1" si="1"/>
        <v>21</v>
      </c>
      <c r="H109" s="4">
        <v>5</v>
      </c>
    </row>
    <row r="110" spans="1:8" ht="15.6">
      <c r="A110" s="4" t="s">
        <v>211</v>
      </c>
      <c r="B110" s="5">
        <v>44245.897348792598</v>
      </c>
      <c r="C110" s="5">
        <v>44246.7749511453</v>
      </c>
      <c r="D110" s="4" t="s">
        <v>94</v>
      </c>
      <c r="E110" s="4" t="s">
        <v>124</v>
      </c>
      <c r="F110" s="4" t="s">
        <v>118</v>
      </c>
      <c r="G110" s="4">
        <f t="shared" ca="1" si="1"/>
        <v>50</v>
      </c>
      <c r="H110" s="4">
        <v>6</v>
      </c>
    </row>
    <row r="111" spans="1:8" ht="15.6">
      <c r="A111" s="4" t="s">
        <v>212</v>
      </c>
      <c r="B111" s="5">
        <v>44576.378124831499</v>
      </c>
      <c r="C111" s="5">
        <v>44579.093791989901</v>
      </c>
      <c r="D111" s="4" t="s">
        <v>98</v>
      </c>
      <c r="E111" s="4" t="s">
        <v>213</v>
      </c>
      <c r="F111" s="4" t="s">
        <v>111</v>
      </c>
      <c r="G111" s="4">
        <f t="shared" ca="1" si="1"/>
        <v>44</v>
      </c>
      <c r="H111" s="4">
        <v>3</v>
      </c>
    </row>
    <row r="112" spans="1:8" ht="15.6">
      <c r="A112" s="4" t="s">
        <v>214</v>
      </c>
      <c r="B112" s="5">
        <v>45267.4197769487</v>
      </c>
      <c r="C112" s="5">
        <v>45269.036132127701</v>
      </c>
      <c r="D112" s="4" t="s">
        <v>94</v>
      </c>
      <c r="E112" s="4" t="s">
        <v>181</v>
      </c>
      <c r="F112" s="4" t="s">
        <v>101</v>
      </c>
      <c r="G112" s="4">
        <f t="shared" ca="1" si="1"/>
        <v>10</v>
      </c>
      <c r="H112" s="4">
        <v>3</v>
      </c>
    </row>
    <row r="113" spans="1:8" ht="15.6">
      <c r="A113" s="4" t="s">
        <v>215</v>
      </c>
      <c r="B113" s="5">
        <v>44348.250086155</v>
      </c>
      <c r="C113" s="5">
        <v>44353.4327033726</v>
      </c>
      <c r="D113" s="4" t="s">
        <v>98</v>
      </c>
      <c r="E113" s="4" t="s">
        <v>216</v>
      </c>
      <c r="F113" s="4" t="s">
        <v>106</v>
      </c>
      <c r="G113" s="4">
        <f t="shared" ca="1" si="1"/>
        <v>30</v>
      </c>
      <c r="H113" s="4">
        <v>1</v>
      </c>
    </row>
    <row r="114" spans="1:8" ht="15.6">
      <c r="A114" s="4" t="s">
        <v>217</v>
      </c>
      <c r="B114" s="5">
        <v>44461.497251430599</v>
      </c>
      <c r="C114" s="5">
        <v>44466.9269381739</v>
      </c>
      <c r="D114" s="4" t="s">
        <v>98</v>
      </c>
      <c r="E114" s="4" t="s">
        <v>218</v>
      </c>
      <c r="F114" s="4" t="s">
        <v>122</v>
      </c>
      <c r="G114" s="4">
        <f t="shared" ca="1" si="1"/>
        <v>78</v>
      </c>
      <c r="H114" s="4">
        <v>3</v>
      </c>
    </row>
    <row r="115" spans="1:8" ht="15.6">
      <c r="A115" s="4" t="s">
        <v>219</v>
      </c>
      <c r="B115" s="5">
        <v>45223.338783678897</v>
      </c>
      <c r="C115" s="5">
        <v>45223.721124167103</v>
      </c>
      <c r="D115" s="4" t="s">
        <v>98</v>
      </c>
      <c r="E115" s="4" t="s">
        <v>220</v>
      </c>
      <c r="F115" s="4" t="s">
        <v>121</v>
      </c>
      <c r="G115" s="4">
        <f t="shared" ca="1" si="1"/>
        <v>45</v>
      </c>
      <c r="H115" s="4">
        <v>2</v>
      </c>
    </row>
    <row r="116" spans="1:8" ht="15.6">
      <c r="A116" s="4" t="s">
        <v>219</v>
      </c>
      <c r="B116" s="5">
        <v>45223.442714903198</v>
      </c>
      <c r="C116" s="5">
        <v>45223.172129835599</v>
      </c>
      <c r="D116" s="4" t="s">
        <v>98</v>
      </c>
      <c r="E116" s="4" t="s">
        <v>220</v>
      </c>
      <c r="F116" s="4" t="s">
        <v>96</v>
      </c>
      <c r="G116" s="4">
        <f t="shared" ca="1" si="1"/>
        <v>59</v>
      </c>
      <c r="H116" s="4">
        <v>5</v>
      </c>
    </row>
    <row r="117" spans="1:8" ht="15.6">
      <c r="A117" s="4" t="s">
        <v>221</v>
      </c>
      <c r="B117" s="5">
        <v>44372.161604820198</v>
      </c>
      <c r="C117" s="5">
        <v>44375.949090896698</v>
      </c>
      <c r="D117" s="4" t="s">
        <v>94</v>
      </c>
      <c r="E117" s="4" t="s">
        <v>222</v>
      </c>
      <c r="F117" s="4" t="s">
        <v>141</v>
      </c>
      <c r="G117" s="4">
        <f t="shared" ca="1" si="1"/>
        <v>94</v>
      </c>
      <c r="H117" s="4">
        <v>6</v>
      </c>
    </row>
    <row r="118" spans="1:8" ht="15.6">
      <c r="A118" s="4" t="s">
        <v>221</v>
      </c>
      <c r="B118" s="5">
        <v>44372.834146884903</v>
      </c>
      <c r="C118" s="5">
        <v>44375.023775096401</v>
      </c>
      <c r="D118" s="4" t="s">
        <v>94</v>
      </c>
      <c r="E118" s="4" t="s">
        <v>222</v>
      </c>
      <c r="F118" s="4" t="s">
        <v>101</v>
      </c>
      <c r="G118" s="4">
        <f t="shared" ca="1" si="1"/>
        <v>48</v>
      </c>
      <c r="H118" s="4">
        <v>3</v>
      </c>
    </row>
    <row r="119" spans="1:8" ht="15.6">
      <c r="A119" s="4" t="s">
        <v>223</v>
      </c>
      <c r="B119" s="5">
        <v>44966.566913662202</v>
      </c>
      <c r="C119" s="5">
        <v>44966.8126692238</v>
      </c>
      <c r="D119" s="4" t="s">
        <v>98</v>
      </c>
      <c r="E119" s="4" t="s">
        <v>103</v>
      </c>
      <c r="F119" s="4" t="s">
        <v>100</v>
      </c>
      <c r="G119" s="4">
        <f t="shared" ca="1" si="1"/>
        <v>54</v>
      </c>
      <c r="H119" s="4">
        <v>6</v>
      </c>
    </row>
    <row r="120" spans="1:8" ht="15.6">
      <c r="A120" s="4" t="s">
        <v>223</v>
      </c>
      <c r="B120" s="5">
        <v>44966.010885357297</v>
      </c>
      <c r="C120" s="5">
        <v>44966.966772621498</v>
      </c>
      <c r="D120" s="4" t="s">
        <v>98</v>
      </c>
      <c r="E120" s="4" t="s">
        <v>103</v>
      </c>
      <c r="F120" s="4" t="s">
        <v>109</v>
      </c>
      <c r="G120" s="4">
        <f t="shared" ca="1" si="1"/>
        <v>93</v>
      </c>
      <c r="H120" s="4">
        <v>1</v>
      </c>
    </row>
    <row r="121" spans="1:8" ht="15.6">
      <c r="A121" s="4" t="s">
        <v>223</v>
      </c>
      <c r="B121" s="5">
        <v>44966.270953706298</v>
      </c>
      <c r="C121" s="5">
        <v>44966.6589833658</v>
      </c>
      <c r="D121" s="4" t="s">
        <v>98</v>
      </c>
      <c r="E121" s="4" t="s">
        <v>103</v>
      </c>
      <c r="F121" s="4" t="s">
        <v>100</v>
      </c>
      <c r="G121" s="4">
        <f t="shared" ca="1" si="1"/>
        <v>29</v>
      </c>
      <c r="H121" s="4">
        <v>2</v>
      </c>
    </row>
    <row r="122" spans="1:8" ht="15.6">
      <c r="A122" s="4" t="s">
        <v>223</v>
      </c>
      <c r="B122" s="5">
        <v>44966.532028094603</v>
      </c>
      <c r="C122" s="5">
        <v>44966.148686465604</v>
      </c>
      <c r="D122" s="4" t="s">
        <v>98</v>
      </c>
      <c r="E122" s="4" t="s">
        <v>103</v>
      </c>
      <c r="F122" s="4" t="s">
        <v>121</v>
      </c>
      <c r="G122" s="4">
        <f t="shared" ca="1" si="1"/>
        <v>21</v>
      </c>
      <c r="H122" s="4">
        <v>4</v>
      </c>
    </row>
    <row r="123" spans="1:8" ht="15.6">
      <c r="A123" s="4" t="s">
        <v>223</v>
      </c>
      <c r="B123" s="5">
        <v>44966.419637370702</v>
      </c>
      <c r="C123" s="5">
        <v>44966.951764294201</v>
      </c>
      <c r="D123" s="4" t="s">
        <v>98</v>
      </c>
      <c r="E123" s="4" t="s">
        <v>103</v>
      </c>
      <c r="F123" s="4" t="s">
        <v>122</v>
      </c>
      <c r="G123" s="4">
        <f t="shared" ca="1" si="1"/>
        <v>63</v>
      </c>
      <c r="H123" s="4">
        <v>7</v>
      </c>
    </row>
    <row r="124" spans="1:8" ht="15.6">
      <c r="A124" s="4" t="s">
        <v>223</v>
      </c>
      <c r="B124" s="5">
        <v>44966.809247862897</v>
      </c>
      <c r="C124" s="5">
        <v>44966.731957045798</v>
      </c>
      <c r="D124" s="4" t="s">
        <v>98</v>
      </c>
      <c r="E124" s="4" t="s">
        <v>103</v>
      </c>
      <c r="F124" s="4" t="s">
        <v>135</v>
      </c>
      <c r="G124" s="4">
        <f t="shared" ca="1" si="1"/>
        <v>69</v>
      </c>
      <c r="H124" s="4">
        <v>3</v>
      </c>
    </row>
    <row r="125" spans="1:8" ht="15.6">
      <c r="A125" s="4" t="s">
        <v>223</v>
      </c>
      <c r="B125" s="5">
        <v>44966.717472065997</v>
      </c>
      <c r="C125" s="5">
        <v>44966.530352741298</v>
      </c>
      <c r="D125" s="4" t="s">
        <v>98</v>
      </c>
      <c r="E125" s="4" t="s">
        <v>103</v>
      </c>
      <c r="F125" s="4" t="s">
        <v>100</v>
      </c>
      <c r="G125" s="4">
        <f t="shared" ca="1" si="1"/>
        <v>84</v>
      </c>
      <c r="H125" s="4">
        <v>4</v>
      </c>
    </row>
    <row r="126" spans="1:8" ht="15.6">
      <c r="A126" s="4" t="s">
        <v>223</v>
      </c>
      <c r="B126" s="5">
        <v>44966.994478522902</v>
      </c>
      <c r="C126" s="5">
        <v>44966.488702313902</v>
      </c>
      <c r="D126" s="4" t="s">
        <v>98</v>
      </c>
      <c r="E126" s="4" t="s">
        <v>103</v>
      </c>
      <c r="F126" s="4" t="s">
        <v>96</v>
      </c>
      <c r="G126" s="4">
        <f t="shared" ca="1" si="1"/>
        <v>16</v>
      </c>
      <c r="H126" s="4">
        <v>2</v>
      </c>
    </row>
    <row r="127" spans="1:8" ht="15.6">
      <c r="A127" s="4" t="s">
        <v>224</v>
      </c>
      <c r="B127" s="5">
        <v>44730.537367033401</v>
      </c>
      <c r="C127" s="5">
        <v>44736.841303782501</v>
      </c>
      <c r="D127" s="4" t="s">
        <v>98</v>
      </c>
      <c r="E127" s="4" t="s">
        <v>95</v>
      </c>
      <c r="F127" s="4" t="s">
        <v>110</v>
      </c>
      <c r="G127" s="4">
        <f t="shared" ca="1" si="1"/>
        <v>81</v>
      </c>
      <c r="H127" s="4">
        <v>2</v>
      </c>
    </row>
    <row r="128" spans="1:8" ht="15.6">
      <c r="A128" s="4" t="s">
        <v>225</v>
      </c>
      <c r="B128" s="5">
        <v>44677.314027348002</v>
      </c>
      <c r="C128" s="5">
        <v>44679.168623100602</v>
      </c>
      <c r="D128" s="4" t="s">
        <v>94</v>
      </c>
      <c r="E128" s="4" t="s">
        <v>95</v>
      </c>
      <c r="F128" s="4" t="s">
        <v>121</v>
      </c>
      <c r="G128" s="4">
        <f t="shared" ca="1" si="1"/>
        <v>100</v>
      </c>
      <c r="H128" s="4">
        <v>5</v>
      </c>
    </row>
    <row r="129" spans="1:8" ht="15.6">
      <c r="A129" s="4" t="s">
        <v>226</v>
      </c>
      <c r="B129" s="5">
        <v>45108.290660801002</v>
      </c>
      <c r="C129" s="5">
        <v>45113.570874375502</v>
      </c>
      <c r="D129" s="4" t="s">
        <v>94</v>
      </c>
      <c r="E129" s="4" t="s">
        <v>227</v>
      </c>
      <c r="F129" s="4" t="s">
        <v>118</v>
      </c>
      <c r="G129" s="4">
        <f t="shared" ca="1" si="1"/>
        <v>96</v>
      </c>
      <c r="H129" s="4">
        <v>5</v>
      </c>
    </row>
    <row r="130" spans="1:8" ht="15.6">
      <c r="A130" s="4" t="s">
        <v>228</v>
      </c>
      <c r="B130" s="5">
        <v>44575.506956683603</v>
      </c>
      <c r="C130" s="5">
        <v>44581.607653979598</v>
      </c>
      <c r="D130" s="4" t="s">
        <v>98</v>
      </c>
      <c r="E130" s="4" t="s">
        <v>160</v>
      </c>
      <c r="F130" s="4" t="s">
        <v>121</v>
      </c>
      <c r="G130" s="4">
        <f t="shared" ref="G130:G193" ca="1" si="2">RANDBETWEEN(10,100)</f>
        <v>55</v>
      </c>
      <c r="H130" s="4">
        <v>6</v>
      </c>
    </row>
    <row r="131" spans="1:8" ht="15.6">
      <c r="A131" s="4" t="s">
        <v>228</v>
      </c>
      <c r="B131" s="5">
        <v>44575.7587391501</v>
      </c>
      <c r="C131" s="5">
        <v>44581.069617371802</v>
      </c>
      <c r="D131" s="4" t="s">
        <v>98</v>
      </c>
      <c r="E131" s="4" t="s">
        <v>160</v>
      </c>
      <c r="F131" s="4" t="s">
        <v>101</v>
      </c>
      <c r="G131" s="4">
        <f t="shared" ca="1" si="2"/>
        <v>21</v>
      </c>
      <c r="H131" s="4">
        <v>11</v>
      </c>
    </row>
    <row r="132" spans="1:8" ht="15.6">
      <c r="A132" s="4" t="s">
        <v>229</v>
      </c>
      <c r="B132" s="5">
        <v>44883.473154338099</v>
      </c>
      <c r="C132" s="5">
        <v>44883.723614443501</v>
      </c>
      <c r="D132" s="4" t="s">
        <v>114</v>
      </c>
      <c r="E132" s="4" t="s">
        <v>230</v>
      </c>
      <c r="F132" s="4" t="s">
        <v>125</v>
      </c>
      <c r="G132" s="4">
        <f t="shared" ca="1" si="2"/>
        <v>34</v>
      </c>
      <c r="H132" s="4">
        <v>9</v>
      </c>
    </row>
    <row r="133" spans="1:8" ht="15.6">
      <c r="A133" s="4" t="s">
        <v>231</v>
      </c>
      <c r="B133" s="5">
        <v>44271.467921510601</v>
      </c>
      <c r="C133" s="5">
        <v>44276.506863620598</v>
      </c>
      <c r="D133" s="4" t="s">
        <v>98</v>
      </c>
      <c r="E133" s="4" t="s">
        <v>183</v>
      </c>
      <c r="F133" s="4" t="s">
        <v>125</v>
      </c>
      <c r="G133" s="4">
        <f t="shared" ca="1" si="2"/>
        <v>98</v>
      </c>
      <c r="H133" s="4">
        <v>4</v>
      </c>
    </row>
    <row r="134" spans="1:8" ht="15.6">
      <c r="A134" s="4" t="s">
        <v>231</v>
      </c>
      <c r="B134" s="5">
        <v>44271.230018435897</v>
      </c>
      <c r="C134" s="5">
        <v>44276.409440601798</v>
      </c>
      <c r="D134" s="4" t="s">
        <v>98</v>
      </c>
      <c r="E134" s="4" t="s">
        <v>183</v>
      </c>
      <c r="F134" s="4" t="s">
        <v>101</v>
      </c>
      <c r="G134" s="4">
        <f t="shared" ca="1" si="2"/>
        <v>14</v>
      </c>
      <c r="H134" s="4">
        <v>4</v>
      </c>
    </row>
    <row r="135" spans="1:8" ht="15.6">
      <c r="A135" s="4" t="s">
        <v>232</v>
      </c>
      <c r="B135" s="5">
        <v>44337.827570788198</v>
      </c>
      <c r="C135" s="5">
        <v>44342.874205697997</v>
      </c>
      <c r="D135" s="4" t="s">
        <v>98</v>
      </c>
      <c r="E135" s="4" t="s">
        <v>233</v>
      </c>
      <c r="F135" s="4" t="s">
        <v>101</v>
      </c>
      <c r="G135" s="4">
        <f t="shared" ca="1" si="2"/>
        <v>44</v>
      </c>
      <c r="H135" s="4">
        <v>4</v>
      </c>
    </row>
    <row r="136" spans="1:8" ht="15.6">
      <c r="A136" s="4" t="s">
        <v>234</v>
      </c>
      <c r="B136" s="5">
        <v>44963.907533986297</v>
      </c>
      <c r="C136" s="5">
        <v>44969.638079053198</v>
      </c>
      <c r="D136" s="4" t="s">
        <v>98</v>
      </c>
      <c r="E136" s="4" t="s">
        <v>235</v>
      </c>
      <c r="F136" s="4" t="s">
        <v>110</v>
      </c>
      <c r="G136" s="4">
        <f t="shared" ca="1" si="2"/>
        <v>93</v>
      </c>
      <c r="H136" s="4">
        <v>5</v>
      </c>
    </row>
    <row r="137" spans="1:8" ht="15.6">
      <c r="A137" s="4" t="s">
        <v>234</v>
      </c>
      <c r="B137" s="5">
        <v>44963.124412825498</v>
      </c>
      <c r="C137" s="5">
        <v>44969.3353167983</v>
      </c>
      <c r="D137" s="4" t="s">
        <v>98</v>
      </c>
      <c r="E137" s="4" t="s">
        <v>235</v>
      </c>
      <c r="F137" s="4" t="s">
        <v>131</v>
      </c>
      <c r="G137" s="4">
        <f t="shared" ca="1" si="2"/>
        <v>17</v>
      </c>
      <c r="H137" s="4">
        <v>3</v>
      </c>
    </row>
    <row r="138" spans="1:8" ht="15.6">
      <c r="A138" s="4" t="s">
        <v>234</v>
      </c>
      <c r="B138" s="5">
        <v>44963.112231364903</v>
      </c>
      <c r="C138" s="5">
        <v>44969.206886966502</v>
      </c>
      <c r="D138" s="4" t="s">
        <v>98</v>
      </c>
      <c r="E138" s="4" t="s">
        <v>235</v>
      </c>
      <c r="F138" s="4" t="s">
        <v>125</v>
      </c>
      <c r="G138" s="4">
        <f t="shared" ca="1" si="2"/>
        <v>57</v>
      </c>
      <c r="H138" s="4">
        <v>2</v>
      </c>
    </row>
    <row r="139" spans="1:8" ht="15.6">
      <c r="A139" s="4" t="s">
        <v>236</v>
      </c>
      <c r="B139" s="5">
        <v>44731.255734590799</v>
      </c>
      <c r="C139" s="5">
        <v>44737.812943434903</v>
      </c>
      <c r="D139" s="4" t="s">
        <v>114</v>
      </c>
      <c r="E139" s="4" t="s">
        <v>237</v>
      </c>
      <c r="F139" s="4" t="s">
        <v>112</v>
      </c>
      <c r="G139" s="4">
        <f t="shared" ca="1" si="2"/>
        <v>17</v>
      </c>
      <c r="H139" s="4">
        <v>2</v>
      </c>
    </row>
    <row r="140" spans="1:8" ht="15.6">
      <c r="A140" s="4" t="s">
        <v>238</v>
      </c>
      <c r="B140" s="5">
        <v>44420.7838731023</v>
      </c>
      <c r="C140" s="5">
        <v>44421.206782396803</v>
      </c>
      <c r="D140" s="4" t="s">
        <v>94</v>
      </c>
      <c r="E140" s="4" t="s">
        <v>239</v>
      </c>
      <c r="F140" s="4" t="s">
        <v>130</v>
      </c>
      <c r="G140" s="4">
        <f t="shared" ca="1" si="2"/>
        <v>85</v>
      </c>
      <c r="H140" s="4">
        <v>2</v>
      </c>
    </row>
    <row r="141" spans="1:8" ht="15.6">
      <c r="A141" s="4" t="s">
        <v>238</v>
      </c>
      <c r="B141" s="5">
        <v>44420.765824850998</v>
      </c>
      <c r="C141" s="5">
        <v>44421.267122816898</v>
      </c>
      <c r="D141" s="4" t="s">
        <v>94</v>
      </c>
      <c r="E141" s="4" t="s">
        <v>239</v>
      </c>
      <c r="F141" s="4" t="s">
        <v>106</v>
      </c>
      <c r="G141" s="4">
        <f t="shared" ca="1" si="2"/>
        <v>59</v>
      </c>
      <c r="H141" s="4">
        <v>3</v>
      </c>
    </row>
    <row r="142" spans="1:8" ht="15.6">
      <c r="A142" s="4" t="s">
        <v>240</v>
      </c>
      <c r="B142" s="5">
        <v>45156.666320219301</v>
      </c>
      <c r="C142" s="5">
        <v>45160.732960682399</v>
      </c>
      <c r="D142" s="4" t="s">
        <v>94</v>
      </c>
      <c r="E142" s="4" t="s">
        <v>241</v>
      </c>
      <c r="F142" s="4" t="s">
        <v>100</v>
      </c>
      <c r="G142" s="4">
        <f t="shared" ca="1" si="2"/>
        <v>15</v>
      </c>
      <c r="H142" s="4">
        <v>8</v>
      </c>
    </row>
    <row r="143" spans="1:8" ht="15.6">
      <c r="A143" s="4" t="s">
        <v>242</v>
      </c>
      <c r="B143" s="5">
        <v>44659.780884658401</v>
      </c>
      <c r="C143" s="5">
        <v>44659.715618370901</v>
      </c>
      <c r="D143" s="4" t="s">
        <v>98</v>
      </c>
      <c r="E143" s="4" t="s">
        <v>243</v>
      </c>
      <c r="F143" s="4" t="s">
        <v>110</v>
      </c>
      <c r="G143" s="4">
        <f t="shared" ca="1" si="2"/>
        <v>78</v>
      </c>
      <c r="H143" s="4">
        <v>2</v>
      </c>
    </row>
    <row r="144" spans="1:8" ht="15.6">
      <c r="A144" s="4" t="s">
        <v>242</v>
      </c>
      <c r="B144" s="5">
        <v>44659.930945082902</v>
      </c>
      <c r="C144" s="5">
        <v>44659.661642604297</v>
      </c>
      <c r="D144" s="4" t="s">
        <v>98</v>
      </c>
      <c r="E144" s="4" t="s">
        <v>243</v>
      </c>
      <c r="F144" s="4" t="s">
        <v>135</v>
      </c>
      <c r="G144" s="4">
        <f t="shared" ca="1" si="2"/>
        <v>64</v>
      </c>
      <c r="H144" s="4">
        <v>3</v>
      </c>
    </row>
    <row r="145" spans="1:8" ht="15.6">
      <c r="A145" s="4" t="s">
        <v>242</v>
      </c>
      <c r="B145" s="5">
        <v>44659.293965624398</v>
      </c>
      <c r="C145" s="5">
        <v>44659.297948741303</v>
      </c>
      <c r="D145" s="4" t="s">
        <v>98</v>
      </c>
      <c r="E145" s="4" t="s">
        <v>243</v>
      </c>
      <c r="F145" s="4" t="s">
        <v>111</v>
      </c>
      <c r="G145" s="4">
        <f t="shared" ca="1" si="2"/>
        <v>24</v>
      </c>
      <c r="H145" s="4">
        <v>3</v>
      </c>
    </row>
    <row r="146" spans="1:8" ht="15.6">
      <c r="A146" s="4" t="s">
        <v>244</v>
      </c>
      <c r="B146" s="5">
        <v>44526.119969277002</v>
      </c>
      <c r="C146" s="5">
        <v>44533.47904916</v>
      </c>
      <c r="D146" s="4" t="s">
        <v>98</v>
      </c>
      <c r="E146" s="4" t="s">
        <v>245</v>
      </c>
      <c r="F146" s="4" t="s">
        <v>125</v>
      </c>
      <c r="G146" s="4">
        <f t="shared" ca="1" si="2"/>
        <v>40</v>
      </c>
      <c r="H146" s="4">
        <v>3</v>
      </c>
    </row>
    <row r="147" spans="1:8" ht="15.6">
      <c r="A147" s="4" t="s">
        <v>246</v>
      </c>
      <c r="B147" s="5">
        <v>44263.599899802597</v>
      </c>
      <c r="C147" s="5">
        <v>44266.707074805199</v>
      </c>
      <c r="D147" s="4" t="s">
        <v>98</v>
      </c>
      <c r="E147" s="4" t="s">
        <v>150</v>
      </c>
      <c r="F147" s="4" t="s">
        <v>118</v>
      </c>
      <c r="G147" s="4">
        <f t="shared" ca="1" si="2"/>
        <v>99</v>
      </c>
      <c r="H147" s="4">
        <v>1</v>
      </c>
    </row>
    <row r="148" spans="1:8" ht="15.6">
      <c r="A148" s="4" t="s">
        <v>247</v>
      </c>
      <c r="B148" s="5">
        <v>44250.9753651266</v>
      </c>
      <c r="C148" s="5">
        <v>44256.886247938499</v>
      </c>
      <c r="D148" s="4" t="s">
        <v>98</v>
      </c>
      <c r="E148" s="4" t="s">
        <v>248</v>
      </c>
      <c r="F148" s="4" t="s">
        <v>96</v>
      </c>
      <c r="G148" s="4">
        <f t="shared" ca="1" si="2"/>
        <v>68</v>
      </c>
      <c r="H148" s="4">
        <v>2</v>
      </c>
    </row>
    <row r="149" spans="1:8" ht="15.6">
      <c r="A149" s="4" t="s">
        <v>247</v>
      </c>
      <c r="B149" s="5">
        <v>44250.270168475603</v>
      </c>
      <c r="C149" s="5">
        <v>44256.512297370602</v>
      </c>
      <c r="D149" s="4" t="s">
        <v>98</v>
      </c>
      <c r="E149" s="4" t="s">
        <v>248</v>
      </c>
      <c r="F149" s="4" t="s">
        <v>131</v>
      </c>
      <c r="G149" s="4">
        <f t="shared" ca="1" si="2"/>
        <v>84</v>
      </c>
      <c r="H149" s="4">
        <v>5</v>
      </c>
    </row>
    <row r="150" spans="1:8" ht="15.6">
      <c r="A150" s="4" t="s">
        <v>247</v>
      </c>
      <c r="B150" s="5">
        <v>44250.205049938202</v>
      </c>
      <c r="C150" s="5">
        <v>44256.811038911903</v>
      </c>
      <c r="D150" s="4" t="s">
        <v>98</v>
      </c>
      <c r="E150" s="4" t="s">
        <v>248</v>
      </c>
      <c r="F150" s="4" t="s">
        <v>100</v>
      </c>
      <c r="G150" s="4">
        <f t="shared" ca="1" si="2"/>
        <v>25</v>
      </c>
      <c r="H150" s="4">
        <v>1</v>
      </c>
    </row>
    <row r="151" spans="1:8" ht="15.6">
      <c r="A151" s="4" t="s">
        <v>249</v>
      </c>
      <c r="B151" s="5">
        <v>44973.294191736401</v>
      </c>
      <c r="C151" s="5">
        <v>44978.821013576002</v>
      </c>
      <c r="D151" s="4" t="s">
        <v>94</v>
      </c>
      <c r="E151" s="4" t="s">
        <v>150</v>
      </c>
      <c r="F151" s="4" t="s">
        <v>106</v>
      </c>
      <c r="G151" s="4">
        <f t="shared" ca="1" si="2"/>
        <v>73</v>
      </c>
      <c r="H151" s="4">
        <v>11</v>
      </c>
    </row>
    <row r="152" spans="1:8" ht="15.6">
      <c r="A152" s="4" t="s">
        <v>250</v>
      </c>
      <c r="B152" s="5">
        <v>44216.5972253285</v>
      </c>
      <c r="C152" s="5">
        <v>44218.433340594202</v>
      </c>
      <c r="D152" s="4" t="s">
        <v>98</v>
      </c>
      <c r="E152" s="4" t="s">
        <v>251</v>
      </c>
      <c r="F152" s="4" t="s">
        <v>100</v>
      </c>
      <c r="G152" s="4">
        <f t="shared" ca="1" si="2"/>
        <v>54</v>
      </c>
      <c r="H152" s="4">
        <v>2</v>
      </c>
    </row>
    <row r="153" spans="1:8" ht="15.6">
      <c r="A153" s="4" t="s">
        <v>250</v>
      </c>
      <c r="B153" s="5">
        <v>44216.083852177602</v>
      </c>
      <c r="C153" s="5">
        <v>44218.578249623497</v>
      </c>
      <c r="D153" s="4" t="s">
        <v>98</v>
      </c>
      <c r="E153" s="4" t="s">
        <v>251</v>
      </c>
      <c r="F153" s="4" t="s">
        <v>110</v>
      </c>
      <c r="G153" s="4">
        <f t="shared" ca="1" si="2"/>
        <v>59</v>
      </c>
      <c r="H153" s="4">
        <v>1</v>
      </c>
    </row>
    <row r="154" spans="1:8" ht="15.6">
      <c r="A154" s="4" t="s">
        <v>252</v>
      </c>
      <c r="B154" s="5">
        <v>45024.8977671924</v>
      </c>
      <c r="C154" s="5">
        <v>45029.157732315201</v>
      </c>
      <c r="D154" s="4" t="s">
        <v>94</v>
      </c>
      <c r="E154" s="4" t="s">
        <v>253</v>
      </c>
      <c r="F154" s="4" t="s">
        <v>141</v>
      </c>
      <c r="G154" s="4">
        <f t="shared" ca="1" si="2"/>
        <v>83</v>
      </c>
      <c r="H154" s="4">
        <v>4</v>
      </c>
    </row>
    <row r="155" spans="1:8" ht="15.6">
      <c r="A155" s="4" t="s">
        <v>254</v>
      </c>
      <c r="B155" s="5">
        <v>44447.146207205697</v>
      </c>
      <c r="C155" s="5">
        <v>44452.768201241197</v>
      </c>
      <c r="D155" s="4" t="s">
        <v>94</v>
      </c>
      <c r="E155" s="4" t="s">
        <v>207</v>
      </c>
      <c r="F155" s="4" t="s">
        <v>96</v>
      </c>
      <c r="G155" s="4">
        <f t="shared" ca="1" si="2"/>
        <v>47</v>
      </c>
      <c r="H155" s="4">
        <v>3</v>
      </c>
    </row>
    <row r="156" spans="1:8" ht="15.6">
      <c r="A156" s="4" t="s">
        <v>255</v>
      </c>
      <c r="B156" s="5">
        <v>45172.227717491201</v>
      </c>
      <c r="C156" s="5">
        <v>45177.493141722203</v>
      </c>
      <c r="D156" s="4" t="s">
        <v>98</v>
      </c>
      <c r="E156" s="4" t="s">
        <v>256</v>
      </c>
      <c r="F156" s="4" t="s">
        <v>122</v>
      </c>
      <c r="G156" s="4">
        <f t="shared" ca="1" si="2"/>
        <v>19</v>
      </c>
      <c r="H156" s="4">
        <v>6</v>
      </c>
    </row>
    <row r="157" spans="1:8" ht="15.6">
      <c r="A157" s="4" t="s">
        <v>257</v>
      </c>
      <c r="B157" s="5">
        <v>44623.246796004903</v>
      </c>
      <c r="C157" s="5">
        <v>44628.620693349301</v>
      </c>
      <c r="D157" s="4" t="s">
        <v>98</v>
      </c>
      <c r="E157" s="4" t="s">
        <v>258</v>
      </c>
      <c r="F157" s="4" t="s">
        <v>131</v>
      </c>
      <c r="G157" s="4">
        <f t="shared" ca="1" si="2"/>
        <v>68</v>
      </c>
      <c r="H157" s="4">
        <v>3</v>
      </c>
    </row>
    <row r="158" spans="1:8" ht="15.6">
      <c r="A158" s="4" t="s">
        <v>257</v>
      </c>
      <c r="B158" s="5">
        <v>44623.483526606498</v>
      </c>
      <c r="C158" s="5">
        <v>44628.930901419</v>
      </c>
      <c r="D158" s="4" t="s">
        <v>98</v>
      </c>
      <c r="E158" s="4" t="s">
        <v>258</v>
      </c>
      <c r="F158" s="4" t="s">
        <v>112</v>
      </c>
      <c r="G158" s="4">
        <f t="shared" ca="1" si="2"/>
        <v>84</v>
      </c>
      <c r="H158" s="4">
        <v>2</v>
      </c>
    </row>
    <row r="159" spans="1:8" ht="15.6">
      <c r="A159" s="4" t="s">
        <v>259</v>
      </c>
      <c r="B159" s="5">
        <v>44455.847380809602</v>
      </c>
      <c r="C159" s="5">
        <v>44461.333915625102</v>
      </c>
      <c r="D159" s="4" t="s">
        <v>98</v>
      </c>
      <c r="E159" s="4" t="s">
        <v>260</v>
      </c>
      <c r="F159" s="4" t="s">
        <v>122</v>
      </c>
      <c r="G159" s="4">
        <f t="shared" ca="1" si="2"/>
        <v>55</v>
      </c>
      <c r="H159" s="4">
        <v>5</v>
      </c>
    </row>
    <row r="160" spans="1:8" ht="15.6">
      <c r="A160" s="4" t="s">
        <v>259</v>
      </c>
      <c r="B160" s="5">
        <v>44455.129203152799</v>
      </c>
      <c r="C160" s="5">
        <v>44461.6666414274</v>
      </c>
      <c r="D160" s="4" t="s">
        <v>98</v>
      </c>
      <c r="E160" s="4" t="s">
        <v>260</v>
      </c>
      <c r="F160" s="4" t="s">
        <v>135</v>
      </c>
      <c r="G160" s="4">
        <f t="shared" ca="1" si="2"/>
        <v>20</v>
      </c>
      <c r="H160" s="4">
        <v>5</v>
      </c>
    </row>
    <row r="161" spans="1:8" ht="15.6">
      <c r="A161" s="4" t="s">
        <v>259</v>
      </c>
      <c r="B161" s="5">
        <v>44455.497470292401</v>
      </c>
      <c r="C161" s="5">
        <v>44461.826286983101</v>
      </c>
      <c r="D161" s="4" t="s">
        <v>98</v>
      </c>
      <c r="E161" s="4" t="s">
        <v>260</v>
      </c>
      <c r="F161" s="4" t="s">
        <v>121</v>
      </c>
      <c r="G161" s="4">
        <f t="shared" ca="1" si="2"/>
        <v>77</v>
      </c>
      <c r="H161" s="4">
        <v>2</v>
      </c>
    </row>
    <row r="162" spans="1:8" ht="15.6">
      <c r="A162" s="4" t="s">
        <v>261</v>
      </c>
      <c r="B162" s="5">
        <v>44825.268520061603</v>
      </c>
      <c r="C162" s="5">
        <v>44829.621386752398</v>
      </c>
      <c r="D162" s="4" t="s">
        <v>114</v>
      </c>
      <c r="E162" s="4" t="s">
        <v>262</v>
      </c>
      <c r="F162" s="4" t="s">
        <v>118</v>
      </c>
      <c r="G162" s="4">
        <f t="shared" ca="1" si="2"/>
        <v>71</v>
      </c>
      <c r="H162" s="4">
        <v>2</v>
      </c>
    </row>
    <row r="163" spans="1:8" ht="15.6">
      <c r="A163" s="4" t="s">
        <v>263</v>
      </c>
      <c r="B163" s="5">
        <v>44452.788520697701</v>
      </c>
      <c r="C163" s="5">
        <v>44452.1032353177</v>
      </c>
      <c r="D163" s="4" t="s">
        <v>98</v>
      </c>
      <c r="E163" s="4" t="s">
        <v>264</v>
      </c>
      <c r="F163" s="4" t="s">
        <v>112</v>
      </c>
      <c r="G163" s="4">
        <f t="shared" ca="1" si="2"/>
        <v>85</v>
      </c>
      <c r="H163" s="4">
        <v>1</v>
      </c>
    </row>
    <row r="164" spans="1:8" ht="15.6">
      <c r="A164" s="4" t="s">
        <v>263</v>
      </c>
      <c r="B164" s="5">
        <v>44452.807672380797</v>
      </c>
      <c r="C164" s="5">
        <v>44452.431917705297</v>
      </c>
      <c r="D164" s="4" t="s">
        <v>98</v>
      </c>
      <c r="E164" s="4" t="s">
        <v>264</v>
      </c>
      <c r="F164" s="4" t="s">
        <v>111</v>
      </c>
      <c r="G164" s="4">
        <f t="shared" ca="1" si="2"/>
        <v>65</v>
      </c>
      <c r="H164" s="4">
        <v>5</v>
      </c>
    </row>
    <row r="165" spans="1:8" ht="15.6">
      <c r="A165" s="4" t="s">
        <v>263</v>
      </c>
      <c r="B165" s="5">
        <v>44452.445991938701</v>
      </c>
      <c r="C165" s="5">
        <v>44452.183763848203</v>
      </c>
      <c r="D165" s="4" t="s">
        <v>98</v>
      </c>
      <c r="E165" s="4" t="s">
        <v>264</v>
      </c>
      <c r="F165" s="4" t="s">
        <v>106</v>
      </c>
      <c r="G165" s="4">
        <f t="shared" ca="1" si="2"/>
        <v>68</v>
      </c>
      <c r="H165" s="4">
        <v>2</v>
      </c>
    </row>
    <row r="166" spans="1:8" ht="15.6">
      <c r="A166" s="4" t="s">
        <v>263</v>
      </c>
      <c r="B166" s="5">
        <v>44452.139867576298</v>
      </c>
      <c r="C166" s="5">
        <v>44452.165113227398</v>
      </c>
      <c r="D166" s="4" t="s">
        <v>98</v>
      </c>
      <c r="E166" s="4" t="s">
        <v>264</v>
      </c>
      <c r="F166" s="4" t="s">
        <v>135</v>
      </c>
      <c r="G166" s="4">
        <f t="shared" ca="1" si="2"/>
        <v>87</v>
      </c>
      <c r="H166" s="4">
        <v>5</v>
      </c>
    </row>
    <row r="167" spans="1:8" ht="15.6">
      <c r="A167" s="4" t="s">
        <v>263</v>
      </c>
      <c r="B167" s="5">
        <v>44452.6676378704</v>
      </c>
      <c r="C167" s="5">
        <v>44452.455720166399</v>
      </c>
      <c r="D167" s="4" t="s">
        <v>98</v>
      </c>
      <c r="E167" s="4" t="s">
        <v>264</v>
      </c>
      <c r="F167" s="4" t="s">
        <v>106</v>
      </c>
      <c r="G167" s="4">
        <f t="shared" ca="1" si="2"/>
        <v>66</v>
      </c>
      <c r="H167" s="4">
        <v>5</v>
      </c>
    </row>
    <row r="168" spans="1:8" ht="15.6">
      <c r="A168" s="4" t="s">
        <v>263</v>
      </c>
      <c r="B168" s="5">
        <v>44452.198705791699</v>
      </c>
      <c r="C168" s="5">
        <v>44452.0512744609</v>
      </c>
      <c r="D168" s="4" t="s">
        <v>98</v>
      </c>
      <c r="E168" s="4" t="s">
        <v>264</v>
      </c>
      <c r="F168" s="4" t="s">
        <v>109</v>
      </c>
      <c r="G168" s="4">
        <f t="shared" ca="1" si="2"/>
        <v>41</v>
      </c>
      <c r="H168" s="4">
        <v>3</v>
      </c>
    </row>
    <row r="169" spans="1:8" ht="15.6">
      <c r="A169" s="4" t="s">
        <v>263</v>
      </c>
      <c r="B169" s="5">
        <v>44452.540180803597</v>
      </c>
      <c r="C169" s="5">
        <v>44452.353692905301</v>
      </c>
      <c r="D169" s="4" t="s">
        <v>98</v>
      </c>
      <c r="E169" s="4" t="s">
        <v>264</v>
      </c>
      <c r="F169" s="4" t="s">
        <v>122</v>
      </c>
      <c r="G169" s="4">
        <f t="shared" ca="1" si="2"/>
        <v>43</v>
      </c>
      <c r="H169" s="4">
        <v>2</v>
      </c>
    </row>
    <row r="170" spans="1:8" ht="15.6">
      <c r="A170" s="4" t="s">
        <v>263</v>
      </c>
      <c r="B170" s="5">
        <v>44452.811238555201</v>
      </c>
      <c r="C170" s="5">
        <v>44452.496288930197</v>
      </c>
      <c r="D170" s="4" t="s">
        <v>98</v>
      </c>
      <c r="E170" s="4" t="s">
        <v>264</v>
      </c>
      <c r="F170" s="4" t="s">
        <v>131</v>
      </c>
      <c r="G170" s="4">
        <f t="shared" ca="1" si="2"/>
        <v>63</v>
      </c>
      <c r="H170" s="4">
        <v>4</v>
      </c>
    </row>
    <row r="171" spans="1:8" ht="15.6">
      <c r="A171" s="4" t="s">
        <v>263</v>
      </c>
      <c r="B171" s="5">
        <v>44452.739085909801</v>
      </c>
      <c r="C171" s="5">
        <v>44452.125284472197</v>
      </c>
      <c r="D171" s="4" t="s">
        <v>98</v>
      </c>
      <c r="E171" s="4" t="s">
        <v>264</v>
      </c>
      <c r="F171" s="4" t="s">
        <v>110</v>
      </c>
      <c r="G171" s="4">
        <f t="shared" ca="1" si="2"/>
        <v>61</v>
      </c>
      <c r="H171" s="4">
        <v>3</v>
      </c>
    </row>
    <row r="172" spans="1:8" ht="15.6">
      <c r="A172" s="4" t="s">
        <v>263</v>
      </c>
      <c r="B172" s="5">
        <v>44452.170541165098</v>
      </c>
      <c r="C172" s="5">
        <v>44452.498773007101</v>
      </c>
      <c r="D172" s="4" t="s">
        <v>98</v>
      </c>
      <c r="E172" s="4" t="s">
        <v>264</v>
      </c>
      <c r="F172" s="4" t="s">
        <v>101</v>
      </c>
      <c r="G172" s="4">
        <f t="shared" ca="1" si="2"/>
        <v>77</v>
      </c>
      <c r="H172" s="4">
        <v>2</v>
      </c>
    </row>
    <row r="173" spans="1:8" ht="15.6">
      <c r="A173" s="4" t="s">
        <v>265</v>
      </c>
      <c r="B173" s="5">
        <v>44258.207529379302</v>
      </c>
      <c r="C173" s="5">
        <v>44263.532265933602</v>
      </c>
      <c r="D173" s="4" t="s">
        <v>94</v>
      </c>
      <c r="E173" s="4" t="s">
        <v>266</v>
      </c>
      <c r="F173" s="4" t="s">
        <v>141</v>
      </c>
      <c r="G173" s="4">
        <f t="shared" ca="1" si="2"/>
        <v>96</v>
      </c>
      <c r="H173" s="4">
        <v>3</v>
      </c>
    </row>
    <row r="174" spans="1:8" ht="15.6">
      <c r="A174" s="4" t="s">
        <v>267</v>
      </c>
      <c r="B174" s="5">
        <v>44766.753411231599</v>
      </c>
      <c r="C174" s="5">
        <v>44769.864409840498</v>
      </c>
      <c r="D174" s="4" t="s">
        <v>94</v>
      </c>
      <c r="E174" s="4" t="s">
        <v>164</v>
      </c>
      <c r="F174" s="4" t="s">
        <v>118</v>
      </c>
      <c r="G174" s="4">
        <f t="shared" ca="1" si="2"/>
        <v>53</v>
      </c>
      <c r="H174" s="4">
        <v>3</v>
      </c>
    </row>
    <row r="175" spans="1:8" ht="15.6">
      <c r="A175" s="4" t="s">
        <v>268</v>
      </c>
      <c r="B175" s="5">
        <v>44362.555344815599</v>
      </c>
      <c r="C175" s="5">
        <v>44367.362306669798</v>
      </c>
      <c r="D175" s="4" t="s">
        <v>94</v>
      </c>
      <c r="E175" s="4" t="s">
        <v>269</v>
      </c>
      <c r="F175" s="4" t="s">
        <v>125</v>
      </c>
      <c r="G175" s="4">
        <f t="shared" ca="1" si="2"/>
        <v>25</v>
      </c>
      <c r="H175" s="4">
        <v>1</v>
      </c>
    </row>
    <row r="176" spans="1:8" ht="15.6">
      <c r="A176" s="4" t="s">
        <v>268</v>
      </c>
      <c r="B176" s="5">
        <v>44362.687140225898</v>
      </c>
      <c r="C176" s="5">
        <v>44367.665462695601</v>
      </c>
      <c r="D176" s="4" t="s">
        <v>94</v>
      </c>
      <c r="E176" s="4" t="s">
        <v>269</v>
      </c>
      <c r="F176" s="4" t="s">
        <v>100</v>
      </c>
      <c r="G176" s="4">
        <f t="shared" ca="1" si="2"/>
        <v>76</v>
      </c>
      <c r="H176" s="4">
        <v>3</v>
      </c>
    </row>
    <row r="177" spans="1:8" ht="15.6">
      <c r="A177" s="4" t="s">
        <v>268</v>
      </c>
      <c r="B177" s="5">
        <v>44362.823699604698</v>
      </c>
      <c r="C177" s="5">
        <v>44367.538933248201</v>
      </c>
      <c r="D177" s="4" t="s">
        <v>94</v>
      </c>
      <c r="E177" s="4" t="s">
        <v>269</v>
      </c>
      <c r="F177" s="4" t="s">
        <v>101</v>
      </c>
      <c r="G177" s="4">
        <f t="shared" ca="1" si="2"/>
        <v>75</v>
      </c>
      <c r="H177" s="4">
        <v>8</v>
      </c>
    </row>
    <row r="178" spans="1:8" ht="15.6">
      <c r="A178" s="4" t="s">
        <v>270</v>
      </c>
      <c r="B178" s="5">
        <v>45108.298697270402</v>
      </c>
      <c r="C178" s="5">
        <v>45112.614333318197</v>
      </c>
      <c r="D178" s="4" t="s">
        <v>94</v>
      </c>
      <c r="E178" s="4" t="s">
        <v>271</v>
      </c>
      <c r="F178" s="4" t="s">
        <v>144</v>
      </c>
      <c r="G178" s="4">
        <f t="shared" ca="1" si="2"/>
        <v>86</v>
      </c>
      <c r="H178" s="4">
        <v>5</v>
      </c>
    </row>
    <row r="179" spans="1:8" ht="15.6">
      <c r="A179" s="4" t="s">
        <v>272</v>
      </c>
      <c r="B179" s="5">
        <v>44449.1070118922</v>
      </c>
      <c r="C179" s="5">
        <v>44452.457230943</v>
      </c>
      <c r="D179" s="4" t="s">
        <v>94</v>
      </c>
      <c r="E179" s="4" t="s">
        <v>273</v>
      </c>
      <c r="F179" s="4" t="s">
        <v>121</v>
      </c>
      <c r="G179" s="4">
        <f t="shared" ca="1" si="2"/>
        <v>51</v>
      </c>
      <c r="H179" s="4">
        <v>3</v>
      </c>
    </row>
    <row r="180" spans="1:8" ht="15.6">
      <c r="A180" s="4" t="s">
        <v>272</v>
      </c>
      <c r="B180" s="5">
        <v>44449.402926711802</v>
      </c>
      <c r="C180" s="5">
        <v>44452.078507393897</v>
      </c>
      <c r="D180" s="4" t="s">
        <v>94</v>
      </c>
      <c r="E180" s="4" t="s">
        <v>273</v>
      </c>
      <c r="F180" s="4" t="s">
        <v>144</v>
      </c>
      <c r="G180" s="4">
        <f t="shared" ca="1" si="2"/>
        <v>18</v>
      </c>
      <c r="H180" s="4">
        <v>4</v>
      </c>
    </row>
    <row r="181" spans="1:8" ht="15.6">
      <c r="A181" s="4" t="s">
        <v>274</v>
      </c>
      <c r="B181" s="5">
        <v>45280.628823310602</v>
      </c>
      <c r="C181" s="5">
        <v>45284.008250202802</v>
      </c>
      <c r="D181" s="4" t="s">
        <v>98</v>
      </c>
      <c r="E181" s="4" t="s">
        <v>95</v>
      </c>
      <c r="F181" s="4" t="s">
        <v>135</v>
      </c>
      <c r="G181" s="4">
        <f t="shared" ca="1" si="2"/>
        <v>95</v>
      </c>
      <c r="H181" s="4">
        <v>5</v>
      </c>
    </row>
    <row r="182" spans="1:8" ht="15.6">
      <c r="A182" s="4" t="s">
        <v>275</v>
      </c>
      <c r="B182" s="5">
        <v>45192.864110965304</v>
      </c>
      <c r="C182" s="5">
        <v>45196.416639177303</v>
      </c>
      <c r="D182" s="4" t="s">
        <v>114</v>
      </c>
      <c r="E182" s="4" t="s">
        <v>152</v>
      </c>
      <c r="F182" s="4" t="s">
        <v>109</v>
      </c>
      <c r="G182" s="4">
        <f t="shared" ca="1" si="2"/>
        <v>56</v>
      </c>
      <c r="H182" s="4">
        <v>2</v>
      </c>
    </row>
    <row r="183" spans="1:8" ht="15.6">
      <c r="A183" s="4" t="s">
        <v>276</v>
      </c>
      <c r="B183" s="5">
        <v>44575.096356021997</v>
      </c>
      <c r="C183" s="5">
        <v>44580.630735816303</v>
      </c>
      <c r="D183" s="4" t="s">
        <v>94</v>
      </c>
      <c r="E183" s="4" t="s">
        <v>277</v>
      </c>
      <c r="F183" s="4" t="s">
        <v>106</v>
      </c>
      <c r="G183" s="4">
        <f t="shared" ca="1" si="2"/>
        <v>63</v>
      </c>
      <c r="H183" s="4">
        <v>5</v>
      </c>
    </row>
    <row r="184" spans="1:8" ht="15.6">
      <c r="A184" s="4" t="s">
        <v>276</v>
      </c>
      <c r="B184" s="5">
        <v>44575.817163763197</v>
      </c>
      <c r="C184" s="5">
        <v>44580.539215600897</v>
      </c>
      <c r="D184" s="4" t="s">
        <v>94</v>
      </c>
      <c r="E184" s="4" t="s">
        <v>277</v>
      </c>
      <c r="F184" s="4" t="s">
        <v>122</v>
      </c>
      <c r="G184" s="4">
        <f t="shared" ca="1" si="2"/>
        <v>36</v>
      </c>
      <c r="H184" s="4">
        <v>3</v>
      </c>
    </row>
    <row r="185" spans="1:8" ht="15.6">
      <c r="A185" s="4" t="s">
        <v>278</v>
      </c>
      <c r="B185" s="5">
        <v>44491.034441585398</v>
      </c>
      <c r="C185" s="5">
        <v>44495.606130998101</v>
      </c>
      <c r="D185" s="4" t="s">
        <v>98</v>
      </c>
      <c r="E185" s="4" t="s">
        <v>279</v>
      </c>
      <c r="F185" s="4" t="s">
        <v>112</v>
      </c>
      <c r="G185" s="4">
        <f t="shared" ca="1" si="2"/>
        <v>41</v>
      </c>
      <c r="H185" s="4">
        <v>3</v>
      </c>
    </row>
    <row r="186" spans="1:8" ht="15.6">
      <c r="A186" s="4" t="s">
        <v>280</v>
      </c>
      <c r="B186" s="5">
        <v>44576.868628036602</v>
      </c>
      <c r="C186" s="5">
        <v>44577.935647797101</v>
      </c>
      <c r="D186" s="4" t="s">
        <v>98</v>
      </c>
      <c r="E186" s="4" t="s">
        <v>146</v>
      </c>
      <c r="F186" s="4" t="s">
        <v>100</v>
      </c>
      <c r="G186" s="4">
        <f t="shared" ca="1" si="2"/>
        <v>19</v>
      </c>
      <c r="H186" s="4">
        <v>2</v>
      </c>
    </row>
    <row r="187" spans="1:8" ht="15.6">
      <c r="A187" s="4" t="s">
        <v>280</v>
      </c>
      <c r="B187" s="5">
        <v>44576.631112696203</v>
      </c>
      <c r="C187" s="5">
        <v>44577.069289546002</v>
      </c>
      <c r="D187" s="4" t="s">
        <v>98</v>
      </c>
      <c r="E187" s="4" t="s">
        <v>146</v>
      </c>
      <c r="F187" s="4" t="s">
        <v>112</v>
      </c>
      <c r="G187" s="4">
        <f t="shared" ca="1" si="2"/>
        <v>100</v>
      </c>
      <c r="H187" s="4">
        <v>10</v>
      </c>
    </row>
    <row r="188" spans="1:8" ht="15.6">
      <c r="A188" s="4" t="s">
        <v>280</v>
      </c>
      <c r="B188" s="5">
        <v>44576.081903027101</v>
      </c>
      <c r="C188" s="5">
        <v>44577.214097488701</v>
      </c>
      <c r="D188" s="4" t="s">
        <v>98</v>
      </c>
      <c r="E188" s="4" t="s">
        <v>146</v>
      </c>
      <c r="F188" s="4" t="s">
        <v>101</v>
      </c>
      <c r="G188" s="4">
        <f t="shared" ca="1" si="2"/>
        <v>26</v>
      </c>
      <c r="H188" s="4">
        <v>3</v>
      </c>
    </row>
    <row r="189" spans="1:8" ht="15.6">
      <c r="A189" s="4" t="s">
        <v>281</v>
      </c>
      <c r="B189" s="5">
        <v>44630.376762947999</v>
      </c>
      <c r="C189" s="5">
        <v>44635.961572875298</v>
      </c>
      <c r="D189" s="4" t="s">
        <v>98</v>
      </c>
      <c r="E189" s="4" t="s">
        <v>282</v>
      </c>
      <c r="F189" s="4" t="s">
        <v>118</v>
      </c>
      <c r="G189" s="4">
        <f t="shared" ca="1" si="2"/>
        <v>37</v>
      </c>
      <c r="H189" s="4">
        <v>6</v>
      </c>
    </row>
    <row r="190" spans="1:8" ht="15.6">
      <c r="A190" s="4" t="s">
        <v>281</v>
      </c>
      <c r="B190" s="5">
        <v>44630.8878014031</v>
      </c>
      <c r="C190" s="5">
        <v>44635.905423554403</v>
      </c>
      <c r="D190" s="4" t="s">
        <v>98</v>
      </c>
      <c r="E190" s="4" t="s">
        <v>282</v>
      </c>
      <c r="F190" s="4" t="s">
        <v>122</v>
      </c>
      <c r="G190" s="4">
        <f t="shared" ca="1" si="2"/>
        <v>20</v>
      </c>
      <c r="H190" s="4">
        <v>4</v>
      </c>
    </row>
    <row r="191" spans="1:8" ht="15.6">
      <c r="A191" s="4" t="s">
        <v>283</v>
      </c>
      <c r="B191" s="5">
        <v>44817.032803160502</v>
      </c>
      <c r="C191" s="5">
        <v>44823.755566232503</v>
      </c>
      <c r="D191" s="4" t="s">
        <v>94</v>
      </c>
      <c r="E191" s="4" t="s">
        <v>284</v>
      </c>
      <c r="F191" s="4" t="s">
        <v>111</v>
      </c>
      <c r="G191" s="4">
        <f t="shared" ca="1" si="2"/>
        <v>29</v>
      </c>
      <c r="H191" s="4">
        <v>2</v>
      </c>
    </row>
    <row r="192" spans="1:8" ht="15.6">
      <c r="A192" s="4" t="s">
        <v>285</v>
      </c>
      <c r="B192" s="5">
        <v>44679.696778137702</v>
      </c>
      <c r="C192" s="5">
        <v>44684.189285479297</v>
      </c>
      <c r="D192" s="4" t="s">
        <v>114</v>
      </c>
      <c r="E192" s="4" t="s">
        <v>286</v>
      </c>
      <c r="F192" s="4" t="s">
        <v>112</v>
      </c>
      <c r="G192" s="4">
        <f t="shared" ca="1" si="2"/>
        <v>33</v>
      </c>
      <c r="H192" s="4">
        <v>3</v>
      </c>
    </row>
    <row r="193" spans="1:8" ht="15.6">
      <c r="A193" s="4" t="s">
        <v>285</v>
      </c>
      <c r="B193" s="5">
        <v>44679.052745105597</v>
      </c>
      <c r="C193" s="5">
        <v>44684.010906980802</v>
      </c>
      <c r="D193" s="4" t="s">
        <v>114</v>
      </c>
      <c r="E193" s="4" t="s">
        <v>286</v>
      </c>
      <c r="F193" s="4" t="s">
        <v>101</v>
      </c>
      <c r="G193" s="4">
        <f t="shared" ca="1" si="2"/>
        <v>54</v>
      </c>
      <c r="H193" s="4">
        <v>3</v>
      </c>
    </row>
    <row r="194" spans="1:8" ht="15.6">
      <c r="A194" s="4" t="s">
        <v>285</v>
      </c>
      <c r="B194" s="5">
        <v>44679.984409883698</v>
      </c>
      <c r="C194" s="5">
        <v>44684.769566257601</v>
      </c>
      <c r="D194" s="4" t="s">
        <v>114</v>
      </c>
      <c r="E194" s="4" t="s">
        <v>286</v>
      </c>
      <c r="F194" s="4" t="s">
        <v>135</v>
      </c>
      <c r="G194" s="4">
        <f t="shared" ref="G194:G257" ca="1" si="3">RANDBETWEEN(10,100)</f>
        <v>90</v>
      </c>
      <c r="H194" s="4">
        <v>2</v>
      </c>
    </row>
    <row r="195" spans="1:8" ht="15.6">
      <c r="A195" s="4" t="s">
        <v>285</v>
      </c>
      <c r="B195" s="5">
        <v>44679.343824759701</v>
      </c>
      <c r="C195" s="5">
        <v>44684.0251744048</v>
      </c>
      <c r="D195" s="4" t="s">
        <v>114</v>
      </c>
      <c r="E195" s="4" t="s">
        <v>286</v>
      </c>
      <c r="F195" s="4" t="s">
        <v>135</v>
      </c>
      <c r="G195" s="4">
        <f t="shared" ca="1" si="3"/>
        <v>72</v>
      </c>
      <c r="H195" s="4">
        <v>5</v>
      </c>
    </row>
    <row r="196" spans="1:8" ht="15.6">
      <c r="A196" s="4" t="s">
        <v>285</v>
      </c>
      <c r="B196" s="5">
        <v>44679.054136006802</v>
      </c>
      <c r="C196" s="5">
        <v>44684.3373692389</v>
      </c>
      <c r="D196" s="4" t="s">
        <v>114</v>
      </c>
      <c r="E196" s="4" t="s">
        <v>286</v>
      </c>
      <c r="F196" s="4" t="s">
        <v>100</v>
      </c>
      <c r="G196" s="4">
        <f t="shared" ca="1" si="3"/>
        <v>76</v>
      </c>
      <c r="H196" s="4">
        <v>5</v>
      </c>
    </row>
    <row r="197" spans="1:8" ht="15.6">
      <c r="A197" s="4" t="s">
        <v>285</v>
      </c>
      <c r="B197" s="5">
        <v>44679.952585411498</v>
      </c>
      <c r="C197" s="5">
        <v>44684.954955392401</v>
      </c>
      <c r="D197" s="4" t="s">
        <v>114</v>
      </c>
      <c r="E197" s="4" t="s">
        <v>286</v>
      </c>
      <c r="F197" s="4" t="s">
        <v>109</v>
      </c>
      <c r="G197" s="4">
        <f t="shared" ca="1" si="3"/>
        <v>61</v>
      </c>
      <c r="H197" s="4">
        <v>1</v>
      </c>
    </row>
    <row r="198" spans="1:8" ht="15.6">
      <c r="A198" s="4" t="s">
        <v>287</v>
      </c>
      <c r="B198" s="5">
        <v>44751.246528114803</v>
      </c>
      <c r="C198" s="5">
        <v>44756.517141976998</v>
      </c>
      <c r="D198" s="4" t="s">
        <v>98</v>
      </c>
      <c r="E198" s="4" t="s">
        <v>117</v>
      </c>
      <c r="F198" s="4" t="s">
        <v>141</v>
      </c>
      <c r="G198" s="4">
        <f t="shared" ca="1" si="3"/>
        <v>71</v>
      </c>
      <c r="H198" s="4">
        <v>1</v>
      </c>
    </row>
    <row r="199" spans="1:8" ht="15.6">
      <c r="A199" s="4" t="s">
        <v>287</v>
      </c>
      <c r="B199" s="5">
        <v>44751.181135377403</v>
      </c>
      <c r="C199" s="5">
        <v>44756.633725823303</v>
      </c>
      <c r="D199" s="4" t="s">
        <v>98</v>
      </c>
      <c r="E199" s="4" t="s">
        <v>117</v>
      </c>
      <c r="F199" s="4" t="s">
        <v>96</v>
      </c>
      <c r="G199" s="4">
        <f t="shared" ca="1" si="3"/>
        <v>40</v>
      </c>
      <c r="H199" s="4">
        <v>3</v>
      </c>
    </row>
    <row r="200" spans="1:8" ht="15.6">
      <c r="A200" s="4" t="s">
        <v>288</v>
      </c>
      <c r="B200" s="5">
        <v>44454.364420596699</v>
      </c>
      <c r="C200" s="5">
        <v>44459.145909955601</v>
      </c>
      <c r="D200" s="4" t="s">
        <v>94</v>
      </c>
      <c r="E200" s="4" t="s">
        <v>197</v>
      </c>
      <c r="F200" s="4" t="s">
        <v>121</v>
      </c>
      <c r="G200" s="4">
        <f t="shared" ca="1" si="3"/>
        <v>29</v>
      </c>
      <c r="H200" s="4">
        <v>4</v>
      </c>
    </row>
    <row r="201" spans="1:8" ht="15.6">
      <c r="A201" s="4" t="s">
        <v>289</v>
      </c>
      <c r="B201" s="5">
        <v>45220.371248498603</v>
      </c>
      <c r="C201" s="5">
        <v>45225.662835801901</v>
      </c>
      <c r="D201" s="4" t="s">
        <v>114</v>
      </c>
      <c r="E201" s="4" t="s">
        <v>290</v>
      </c>
      <c r="F201" s="4" t="s">
        <v>144</v>
      </c>
      <c r="G201" s="4">
        <f t="shared" ca="1" si="3"/>
        <v>28</v>
      </c>
      <c r="H201" s="4">
        <v>3</v>
      </c>
    </row>
    <row r="202" spans="1:8" ht="15.6">
      <c r="A202" s="4" t="s">
        <v>291</v>
      </c>
      <c r="B202" s="5">
        <v>45083.534160033101</v>
      </c>
      <c r="C202" s="5">
        <v>45087.982845367398</v>
      </c>
      <c r="D202" s="4" t="s">
        <v>98</v>
      </c>
      <c r="E202" s="4" t="s">
        <v>292</v>
      </c>
      <c r="F202" s="4" t="s">
        <v>110</v>
      </c>
      <c r="G202" s="4">
        <f t="shared" ca="1" si="3"/>
        <v>21</v>
      </c>
      <c r="H202" s="4">
        <v>2</v>
      </c>
    </row>
    <row r="203" spans="1:8" ht="15.6">
      <c r="A203" s="4" t="s">
        <v>291</v>
      </c>
      <c r="B203" s="5">
        <v>45083.308200591498</v>
      </c>
      <c r="C203" s="5">
        <v>45087.841936652403</v>
      </c>
      <c r="D203" s="4" t="s">
        <v>98</v>
      </c>
      <c r="E203" s="4" t="s">
        <v>292</v>
      </c>
      <c r="F203" s="4" t="s">
        <v>121</v>
      </c>
      <c r="G203" s="4">
        <f t="shared" ca="1" si="3"/>
        <v>51</v>
      </c>
      <c r="H203" s="4">
        <v>4</v>
      </c>
    </row>
    <row r="204" spans="1:8" ht="15.6">
      <c r="A204" s="4" t="s">
        <v>293</v>
      </c>
      <c r="B204" s="5">
        <v>44687.7925114319</v>
      </c>
      <c r="C204" s="5">
        <v>44692.849201343102</v>
      </c>
      <c r="D204" s="4" t="s">
        <v>98</v>
      </c>
      <c r="E204" s="4" t="s">
        <v>294</v>
      </c>
      <c r="F204" s="4" t="s">
        <v>125</v>
      </c>
      <c r="G204" s="4">
        <f t="shared" ca="1" si="3"/>
        <v>60</v>
      </c>
      <c r="H204" s="4">
        <v>4</v>
      </c>
    </row>
    <row r="205" spans="1:8" ht="15.6">
      <c r="A205" s="4" t="s">
        <v>295</v>
      </c>
      <c r="B205" s="5">
        <v>44440.654560953597</v>
      </c>
      <c r="C205" s="5">
        <v>44442.128399431902</v>
      </c>
      <c r="D205" s="4" t="s">
        <v>98</v>
      </c>
      <c r="E205" s="4" t="s">
        <v>127</v>
      </c>
      <c r="F205" s="4" t="s">
        <v>101</v>
      </c>
      <c r="G205" s="4">
        <f t="shared" ca="1" si="3"/>
        <v>66</v>
      </c>
      <c r="H205" s="4">
        <v>2</v>
      </c>
    </row>
    <row r="206" spans="1:8" ht="15.6">
      <c r="A206" s="4" t="s">
        <v>296</v>
      </c>
      <c r="B206" s="5">
        <v>44463.2632762215</v>
      </c>
      <c r="C206" s="5">
        <v>44467.565961054097</v>
      </c>
      <c r="D206" s="4" t="s">
        <v>94</v>
      </c>
      <c r="E206" s="4" t="s">
        <v>297</v>
      </c>
      <c r="F206" s="4" t="s">
        <v>111</v>
      </c>
      <c r="G206" s="4">
        <f t="shared" ca="1" si="3"/>
        <v>16</v>
      </c>
      <c r="H206" s="4">
        <v>7</v>
      </c>
    </row>
    <row r="207" spans="1:8" ht="15.6">
      <c r="A207" s="4" t="s">
        <v>296</v>
      </c>
      <c r="B207" s="5">
        <v>44463.445087927699</v>
      </c>
      <c r="C207" s="5">
        <v>44467.713856652801</v>
      </c>
      <c r="D207" s="4" t="s">
        <v>94</v>
      </c>
      <c r="E207" s="4" t="s">
        <v>297</v>
      </c>
      <c r="F207" s="4" t="s">
        <v>122</v>
      </c>
      <c r="G207" s="4">
        <f t="shared" ca="1" si="3"/>
        <v>53</v>
      </c>
      <c r="H207" s="4">
        <v>5</v>
      </c>
    </row>
    <row r="208" spans="1:8" ht="15.6">
      <c r="A208" s="4" t="s">
        <v>298</v>
      </c>
      <c r="B208" s="5">
        <v>44288.953682130697</v>
      </c>
      <c r="C208" s="5">
        <v>44292.788892532102</v>
      </c>
      <c r="D208" s="4" t="s">
        <v>94</v>
      </c>
      <c r="E208" s="4" t="s">
        <v>299</v>
      </c>
      <c r="F208" s="4" t="s">
        <v>121</v>
      </c>
      <c r="G208" s="4">
        <f t="shared" ca="1" si="3"/>
        <v>47</v>
      </c>
      <c r="H208" s="4">
        <v>8</v>
      </c>
    </row>
    <row r="209" spans="1:8" ht="15.6">
      <c r="A209" s="4" t="s">
        <v>298</v>
      </c>
      <c r="B209" s="5">
        <v>44288.956365981903</v>
      </c>
      <c r="C209" s="5">
        <v>44292.402787910702</v>
      </c>
      <c r="D209" s="4" t="s">
        <v>94</v>
      </c>
      <c r="E209" s="4" t="s">
        <v>299</v>
      </c>
      <c r="F209" s="4" t="s">
        <v>122</v>
      </c>
      <c r="G209" s="4">
        <f t="shared" ca="1" si="3"/>
        <v>77</v>
      </c>
      <c r="H209" s="4">
        <v>4</v>
      </c>
    </row>
    <row r="210" spans="1:8" ht="15.6">
      <c r="A210" s="4" t="s">
        <v>300</v>
      </c>
      <c r="B210" s="5">
        <v>44770.087122048702</v>
      </c>
      <c r="C210" s="5">
        <v>44777.228604918702</v>
      </c>
      <c r="D210" s="4" t="s">
        <v>114</v>
      </c>
      <c r="E210" s="4" t="s">
        <v>233</v>
      </c>
      <c r="F210" s="4" t="s">
        <v>96</v>
      </c>
      <c r="G210" s="4">
        <f t="shared" ca="1" si="3"/>
        <v>12</v>
      </c>
      <c r="H210" s="4">
        <v>9</v>
      </c>
    </row>
    <row r="211" spans="1:8" ht="15.6">
      <c r="A211" s="4" t="s">
        <v>300</v>
      </c>
      <c r="B211" s="5">
        <v>44770.3673005483</v>
      </c>
      <c r="C211" s="5">
        <v>44777.609317521601</v>
      </c>
      <c r="D211" s="4" t="s">
        <v>114</v>
      </c>
      <c r="E211" s="4" t="s">
        <v>233</v>
      </c>
      <c r="F211" s="4" t="s">
        <v>135</v>
      </c>
      <c r="G211" s="4">
        <f t="shared" ca="1" si="3"/>
        <v>70</v>
      </c>
      <c r="H211" s="4">
        <v>3</v>
      </c>
    </row>
    <row r="212" spans="1:8" ht="15.6">
      <c r="A212" s="4" t="s">
        <v>301</v>
      </c>
      <c r="B212" s="5">
        <v>45150.978564875702</v>
      </c>
      <c r="C212" s="5">
        <v>45152.358252764003</v>
      </c>
      <c r="D212" s="4" t="s">
        <v>114</v>
      </c>
      <c r="E212" s="4" t="s">
        <v>302</v>
      </c>
      <c r="F212" s="4" t="s">
        <v>125</v>
      </c>
      <c r="G212" s="4">
        <f t="shared" ca="1" si="3"/>
        <v>40</v>
      </c>
      <c r="H212" s="4">
        <v>1</v>
      </c>
    </row>
    <row r="213" spans="1:8" ht="15.6">
      <c r="A213" s="4" t="s">
        <v>301</v>
      </c>
      <c r="B213" s="5">
        <v>45150.230337314599</v>
      </c>
      <c r="C213" s="5">
        <v>45152.876964030002</v>
      </c>
      <c r="D213" s="4" t="s">
        <v>114</v>
      </c>
      <c r="E213" s="4" t="s">
        <v>302</v>
      </c>
      <c r="F213" s="4" t="s">
        <v>135</v>
      </c>
      <c r="G213" s="4">
        <f t="shared" ca="1" si="3"/>
        <v>25</v>
      </c>
      <c r="H213" s="4">
        <v>3</v>
      </c>
    </row>
    <row r="214" spans="1:8" ht="15.6">
      <c r="A214" s="4" t="s">
        <v>303</v>
      </c>
      <c r="B214" s="5">
        <v>45267.064767932803</v>
      </c>
      <c r="C214" s="5">
        <v>45269.549770010301</v>
      </c>
      <c r="D214" s="4" t="s">
        <v>94</v>
      </c>
      <c r="E214" s="4" t="s">
        <v>302</v>
      </c>
      <c r="F214" s="4" t="s">
        <v>101</v>
      </c>
      <c r="G214" s="4">
        <f t="shared" ca="1" si="3"/>
        <v>51</v>
      </c>
      <c r="H214" s="4">
        <v>5</v>
      </c>
    </row>
    <row r="215" spans="1:8" ht="15.6">
      <c r="A215" s="4" t="s">
        <v>303</v>
      </c>
      <c r="B215" s="5">
        <v>45267.461302003299</v>
      </c>
      <c r="C215" s="5">
        <v>45269.046369702402</v>
      </c>
      <c r="D215" s="4" t="s">
        <v>94</v>
      </c>
      <c r="E215" s="4" t="s">
        <v>302</v>
      </c>
      <c r="F215" s="4" t="s">
        <v>101</v>
      </c>
      <c r="G215" s="4">
        <f t="shared" ca="1" si="3"/>
        <v>34</v>
      </c>
      <c r="H215" s="4">
        <v>4</v>
      </c>
    </row>
    <row r="216" spans="1:8" ht="15.6">
      <c r="A216" s="4" t="s">
        <v>303</v>
      </c>
      <c r="B216" s="5">
        <v>45267.102647193002</v>
      </c>
      <c r="C216" s="5">
        <v>45269.625303198904</v>
      </c>
      <c r="D216" s="4" t="s">
        <v>94</v>
      </c>
      <c r="E216" s="4" t="s">
        <v>302</v>
      </c>
      <c r="F216" s="4" t="s">
        <v>121</v>
      </c>
      <c r="G216" s="4">
        <f t="shared" ca="1" si="3"/>
        <v>67</v>
      </c>
      <c r="H216" s="4">
        <v>2</v>
      </c>
    </row>
    <row r="217" spans="1:8" ht="15.6">
      <c r="A217" s="4" t="s">
        <v>304</v>
      </c>
      <c r="B217" s="5">
        <v>44254.592879387499</v>
      </c>
      <c r="C217" s="5">
        <v>44256.538820466703</v>
      </c>
      <c r="D217" s="4" t="s">
        <v>98</v>
      </c>
      <c r="E217" s="4" t="s">
        <v>305</v>
      </c>
      <c r="F217" s="4" t="s">
        <v>121</v>
      </c>
      <c r="G217" s="4">
        <f t="shared" ca="1" si="3"/>
        <v>50</v>
      </c>
      <c r="H217" s="4">
        <v>2</v>
      </c>
    </row>
    <row r="218" spans="1:8" ht="15.6">
      <c r="A218" s="4" t="s">
        <v>304</v>
      </c>
      <c r="B218" s="5">
        <v>44254.191528994903</v>
      </c>
      <c r="C218" s="5">
        <v>44256.2241022132</v>
      </c>
      <c r="D218" s="4" t="s">
        <v>98</v>
      </c>
      <c r="E218" s="4" t="s">
        <v>305</v>
      </c>
      <c r="F218" s="4" t="s">
        <v>96</v>
      </c>
      <c r="G218" s="4">
        <f t="shared" ca="1" si="3"/>
        <v>63</v>
      </c>
      <c r="H218" s="4">
        <v>2</v>
      </c>
    </row>
    <row r="219" spans="1:8" ht="15.6">
      <c r="A219" s="4" t="s">
        <v>304</v>
      </c>
      <c r="B219" s="5">
        <v>44254.790219550399</v>
      </c>
      <c r="C219" s="5">
        <v>44256.285476042998</v>
      </c>
      <c r="D219" s="4" t="s">
        <v>98</v>
      </c>
      <c r="E219" s="4" t="s">
        <v>305</v>
      </c>
      <c r="F219" s="4" t="s">
        <v>121</v>
      </c>
      <c r="G219" s="4">
        <f t="shared" ca="1" si="3"/>
        <v>54</v>
      </c>
      <c r="H219" s="4">
        <v>3</v>
      </c>
    </row>
    <row r="220" spans="1:8" ht="15.6">
      <c r="A220" s="4" t="s">
        <v>304</v>
      </c>
      <c r="B220" s="5">
        <v>44254.850653975402</v>
      </c>
      <c r="C220" s="5">
        <v>44256.910787702203</v>
      </c>
      <c r="D220" s="4" t="s">
        <v>98</v>
      </c>
      <c r="E220" s="4" t="s">
        <v>305</v>
      </c>
      <c r="F220" s="4" t="s">
        <v>125</v>
      </c>
      <c r="G220" s="4">
        <f t="shared" ca="1" si="3"/>
        <v>97</v>
      </c>
      <c r="H220" s="4">
        <v>7</v>
      </c>
    </row>
    <row r="221" spans="1:8" ht="15.6">
      <c r="A221" s="4" t="s">
        <v>306</v>
      </c>
      <c r="B221" s="5">
        <v>45081.324204782897</v>
      </c>
      <c r="C221" s="5">
        <v>45085.249475158103</v>
      </c>
      <c r="D221" s="4" t="s">
        <v>98</v>
      </c>
      <c r="E221" s="4" t="s">
        <v>307</v>
      </c>
      <c r="F221" s="4" t="s">
        <v>141</v>
      </c>
      <c r="G221" s="4">
        <f t="shared" ca="1" si="3"/>
        <v>93</v>
      </c>
      <c r="H221" s="4">
        <v>2</v>
      </c>
    </row>
    <row r="222" spans="1:8" ht="15.6">
      <c r="A222" s="4" t="s">
        <v>306</v>
      </c>
      <c r="B222" s="5">
        <v>45081.177155413003</v>
      </c>
      <c r="C222" s="5">
        <v>45085.276745141397</v>
      </c>
      <c r="D222" s="4" t="s">
        <v>98</v>
      </c>
      <c r="E222" s="4" t="s">
        <v>307</v>
      </c>
      <c r="F222" s="4" t="s">
        <v>96</v>
      </c>
      <c r="G222" s="4">
        <f t="shared" ca="1" si="3"/>
        <v>20</v>
      </c>
      <c r="H222" s="4">
        <v>4</v>
      </c>
    </row>
    <row r="223" spans="1:8" ht="15.6">
      <c r="A223" s="4" t="s">
        <v>306</v>
      </c>
      <c r="B223" s="5">
        <v>45081.214797272303</v>
      </c>
      <c r="C223" s="5">
        <v>45085.116327206597</v>
      </c>
      <c r="D223" s="4" t="s">
        <v>98</v>
      </c>
      <c r="E223" s="4" t="s">
        <v>307</v>
      </c>
      <c r="F223" s="4" t="s">
        <v>125</v>
      </c>
      <c r="G223" s="4">
        <f t="shared" ca="1" si="3"/>
        <v>64</v>
      </c>
      <c r="H223" s="4">
        <v>3</v>
      </c>
    </row>
    <row r="224" spans="1:8" ht="15.6">
      <c r="A224" s="4" t="s">
        <v>306</v>
      </c>
      <c r="B224" s="5">
        <v>45081.598141577502</v>
      </c>
      <c r="C224" s="5">
        <v>45085.164477953003</v>
      </c>
      <c r="D224" s="4" t="s">
        <v>98</v>
      </c>
      <c r="E224" s="4" t="s">
        <v>307</v>
      </c>
      <c r="F224" s="4" t="s">
        <v>121</v>
      </c>
      <c r="G224" s="4">
        <f t="shared" ca="1" si="3"/>
        <v>82</v>
      </c>
      <c r="H224" s="4">
        <v>5</v>
      </c>
    </row>
    <row r="225" spans="1:8" ht="15.6">
      <c r="A225" s="4" t="s">
        <v>306</v>
      </c>
      <c r="B225" s="5">
        <v>45081.358939774</v>
      </c>
      <c r="C225" s="5">
        <v>45085.485257942302</v>
      </c>
      <c r="D225" s="4" t="s">
        <v>98</v>
      </c>
      <c r="E225" s="4" t="s">
        <v>307</v>
      </c>
      <c r="F225" s="4" t="s">
        <v>101</v>
      </c>
      <c r="G225" s="4">
        <f t="shared" ca="1" si="3"/>
        <v>91</v>
      </c>
      <c r="H225" s="4">
        <v>3</v>
      </c>
    </row>
    <row r="226" spans="1:8" ht="15.6">
      <c r="A226" s="4" t="s">
        <v>306</v>
      </c>
      <c r="B226" s="5">
        <v>45081.877472002598</v>
      </c>
      <c r="C226" s="5">
        <v>45085.6485616848</v>
      </c>
      <c r="D226" s="4" t="s">
        <v>98</v>
      </c>
      <c r="E226" s="4" t="s">
        <v>307</v>
      </c>
      <c r="F226" s="4" t="s">
        <v>106</v>
      </c>
      <c r="G226" s="4">
        <f t="shared" ca="1" si="3"/>
        <v>84</v>
      </c>
      <c r="H226" s="4">
        <v>2</v>
      </c>
    </row>
    <row r="227" spans="1:8" ht="15.6">
      <c r="A227" s="4" t="s">
        <v>306</v>
      </c>
      <c r="B227" s="5">
        <v>45081.811143578998</v>
      </c>
      <c r="C227" s="5">
        <v>45085.148219605602</v>
      </c>
      <c r="D227" s="4" t="s">
        <v>98</v>
      </c>
      <c r="E227" s="4" t="s">
        <v>307</v>
      </c>
      <c r="F227" s="4" t="s">
        <v>110</v>
      </c>
      <c r="G227" s="4">
        <f t="shared" ca="1" si="3"/>
        <v>88</v>
      </c>
      <c r="H227" s="4">
        <v>4</v>
      </c>
    </row>
    <row r="228" spans="1:8" ht="15.6">
      <c r="A228" s="4" t="s">
        <v>306</v>
      </c>
      <c r="B228" s="5">
        <v>45081.144354014599</v>
      </c>
      <c r="C228" s="5">
        <v>45085.947466066398</v>
      </c>
      <c r="D228" s="4" t="s">
        <v>98</v>
      </c>
      <c r="E228" s="4" t="s">
        <v>307</v>
      </c>
      <c r="F228" s="4" t="s">
        <v>121</v>
      </c>
      <c r="G228" s="4">
        <f t="shared" ca="1" si="3"/>
        <v>65</v>
      </c>
      <c r="H228" s="4">
        <v>4</v>
      </c>
    </row>
    <row r="229" spans="1:8" ht="15.6">
      <c r="A229" s="4" t="s">
        <v>308</v>
      </c>
      <c r="B229" s="5">
        <v>44268.272211413401</v>
      </c>
      <c r="C229" s="5">
        <v>44272.157161466799</v>
      </c>
      <c r="D229" s="4" t="s">
        <v>114</v>
      </c>
      <c r="E229" s="4" t="s">
        <v>309</v>
      </c>
      <c r="F229" s="4" t="s">
        <v>109</v>
      </c>
      <c r="G229" s="4">
        <f t="shared" ca="1" si="3"/>
        <v>53</v>
      </c>
      <c r="H229" s="4">
        <v>3</v>
      </c>
    </row>
    <row r="230" spans="1:8" ht="15.6">
      <c r="A230" s="4" t="s">
        <v>308</v>
      </c>
      <c r="B230" s="5">
        <v>44268.490107864003</v>
      </c>
      <c r="C230" s="5">
        <v>44272.336646857097</v>
      </c>
      <c r="D230" s="4" t="s">
        <v>114</v>
      </c>
      <c r="E230" s="4" t="s">
        <v>309</v>
      </c>
      <c r="F230" s="4" t="s">
        <v>122</v>
      </c>
      <c r="G230" s="4">
        <f t="shared" ca="1" si="3"/>
        <v>92</v>
      </c>
      <c r="H230" s="4">
        <v>11</v>
      </c>
    </row>
    <row r="231" spans="1:8" ht="15.6">
      <c r="A231" s="4" t="s">
        <v>310</v>
      </c>
      <c r="B231" s="5">
        <v>44582.276173438397</v>
      </c>
      <c r="C231" s="5">
        <v>44587.8545599801</v>
      </c>
      <c r="D231" s="4" t="s">
        <v>98</v>
      </c>
      <c r="E231" s="4" t="s">
        <v>311</v>
      </c>
      <c r="F231" s="4" t="s">
        <v>122</v>
      </c>
      <c r="G231" s="4">
        <f t="shared" ca="1" si="3"/>
        <v>10</v>
      </c>
      <c r="H231" s="4">
        <v>3</v>
      </c>
    </row>
    <row r="232" spans="1:8" ht="15.6">
      <c r="A232" s="4" t="s">
        <v>310</v>
      </c>
      <c r="B232" s="5">
        <v>44582.417760102398</v>
      </c>
      <c r="C232" s="5">
        <v>44587.724755079202</v>
      </c>
      <c r="D232" s="4" t="s">
        <v>98</v>
      </c>
      <c r="E232" s="4" t="s">
        <v>311</v>
      </c>
      <c r="F232" s="4" t="s">
        <v>125</v>
      </c>
      <c r="G232" s="4">
        <f t="shared" ca="1" si="3"/>
        <v>79</v>
      </c>
      <c r="H232" s="4">
        <v>1</v>
      </c>
    </row>
    <row r="233" spans="1:8" ht="15.6">
      <c r="A233" s="4" t="s">
        <v>312</v>
      </c>
      <c r="B233" s="5">
        <v>44523.572800130503</v>
      </c>
      <c r="C233" s="5">
        <v>44525.8224714479</v>
      </c>
      <c r="D233" s="4" t="s">
        <v>94</v>
      </c>
      <c r="E233" s="4" t="s">
        <v>183</v>
      </c>
      <c r="F233" s="4" t="s">
        <v>121</v>
      </c>
      <c r="G233" s="4">
        <f t="shared" ca="1" si="3"/>
        <v>33</v>
      </c>
      <c r="H233" s="4">
        <v>6</v>
      </c>
    </row>
    <row r="234" spans="1:8" ht="15.6">
      <c r="A234" s="4" t="s">
        <v>312</v>
      </c>
      <c r="B234" s="5">
        <v>44523.501160166699</v>
      </c>
      <c r="C234" s="5">
        <v>44525.368781608398</v>
      </c>
      <c r="D234" s="4" t="s">
        <v>94</v>
      </c>
      <c r="E234" s="4" t="s">
        <v>183</v>
      </c>
      <c r="F234" s="4" t="s">
        <v>101</v>
      </c>
      <c r="G234" s="4">
        <f t="shared" ca="1" si="3"/>
        <v>62</v>
      </c>
      <c r="H234" s="4">
        <v>2</v>
      </c>
    </row>
    <row r="235" spans="1:8" ht="15.6">
      <c r="A235" s="4" t="s">
        <v>312</v>
      </c>
      <c r="B235" s="5">
        <v>44523.857354033302</v>
      </c>
      <c r="C235" s="5">
        <v>44525.9069136951</v>
      </c>
      <c r="D235" s="4" t="s">
        <v>94</v>
      </c>
      <c r="E235" s="4" t="s">
        <v>183</v>
      </c>
      <c r="F235" s="4" t="s">
        <v>122</v>
      </c>
      <c r="G235" s="4">
        <f t="shared" ca="1" si="3"/>
        <v>43</v>
      </c>
      <c r="H235" s="4">
        <v>5</v>
      </c>
    </row>
    <row r="236" spans="1:8" ht="15.6">
      <c r="A236" s="4" t="s">
        <v>313</v>
      </c>
      <c r="B236" s="5">
        <v>45131.021626373898</v>
      </c>
      <c r="C236" s="5">
        <v>45136.933971916202</v>
      </c>
      <c r="D236" s="4" t="s">
        <v>98</v>
      </c>
      <c r="E236" s="4" t="s">
        <v>314</v>
      </c>
      <c r="F236" s="4" t="s">
        <v>125</v>
      </c>
      <c r="G236" s="4">
        <f t="shared" ca="1" si="3"/>
        <v>30</v>
      </c>
      <c r="H236" s="4">
        <v>2</v>
      </c>
    </row>
    <row r="237" spans="1:8" ht="15.6">
      <c r="A237" s="4" t="s">
        <v>315</v>
      </c>
      <c r="B237" s="5">
        <v>44670.596347337101</v>
      </c>
      <c r="C237" s="5">
        <v>44674.605265553597</v>
      </c>
      <c r="D237" s="4" t="s">
        <v>98</v>
      </c>
      <c r="E237" s="4" t="s">
        <v>316</v>
      </c>
      <c r="F237" s="4" t="s">
        <v>96</v>
      </c>
      <c r="G237" s="4">
        <f t="shared" ca="1" si="3"/>
        <v>51</v>
      </c>
      <c r="H237" s="4">
        <v>2</v>
      </c>
    </row>
    <row r="238" spans="1:8" ht="15.6">
      <c r="A238" s="4" t="s">
        <v>317</v>
      </c>
      <c r="B238" s="5">
        <v>44274.110823102303</v>
      </c>
      <c r="C238" s="5">
        <v>44277.4085158612</v>
      </c>
      <c r="D238" s="4" t="s">
        <v>98</v>
      </c>
      <c r="E238" s="4" t="s">
        <v>230</v>
      </c>
      <c r="F238" s="4" t="s">
        <v>135</v>
      </c>
      <c r="G238" s="4">
        <f t="shared" ca="1" si="3"/>
        <v>81</v>
      </c>
      <c r="H238" s="4">
        <v>3</v>
      </c>
    </row>
    <row r="239" spans="1:8" ht="15.6">
      <c r="A239" s="4" t="s">
        <v>318</v>
      </c>
      <c r="B239" s="5">
        <v>45082.914359466398</v>
      </c>
      <c r="C239" s="5">
        <v>45087.119784404298</v>
      </c>
      <c r="D239" s="4" t="s">
        <v>94</v>
      </c>
      <c r="E239" s="4" t="s">
        <v>319</v>
      </c>
      <c r="F239" s="4" t="s">
        <v>130</v>
      </c>
      <c r="G239" s="4">
        <f t="shared" ca="1" si="3"/>
        <v>55</v>
      </c>
      <c r="H239" s="4">
        <v>2</v>
      </c>
    </row>
    <row r="240" spans="1:8" ht="15.6">
      <c r="A240" s="4" t="s">
        <v>320</v>
      </c>
      <c r="B240" s="5">
        <v>44270.980585503501</v>
      </c>
      <c r="C240" s="5">
        <v>44272.971853771603</v>
      </c>
      <c r="D240" s="4" t="s">
        <v>94</v>
      </c>
      <c r="E240" s="4" t="s">
        <v>321</v>
      </c>
      <c r="F240" s="4" t="s">
        <v>125</v>
      </c>
      <c r="G240" s="4">
        <f t="shared" ca="1" si="3"/>
        <v>50</v>
      </c>
      <c r="H240" s="4">
        <v>3</v>
      </c>
    </row>
    <row r="241" spans="1:8" ht="15.6">
      <c r="A241" s="4" t="s">
        <v>322</v>
      </c>
      <c r="B241" s="5">
        <v>44538.645151212499</v>
      </c>
      <c r="C241" s="5">
        <v>44542.913438187898</v>
      </c>
      <c r="D241" s="4" t="s">
        <v>94</v>
      </c>
      <c r="E241" s="4" t="s">
        <v>323</v>
      </c>
      <c r="F241" s="4" t="s">
        <v>106</v>
      </c>
      <c r="G241" s="4">
        <f t="shared" ca="1" si="3"/>
        <v>43</v>
      </c>
      <c r="H241" s="4">
        <v>2</v>
      </c>
    </row>
    <row r="242" spans="1:8" ht="15.6">
      <c r="A242" s="4" t="s">
        <v>324</v>
      </c>
      <c r="B242" s="5">
        <v>45234.011787155498</v>
      </c>
      <c r="C242" s="5">
        <v>45236.843840449001</v>
      </c>
      <c r="D242" s="4" t="s">
        <v>98</v>
      </c>
      <c r="E242" s="4" t="s">
        <v>325</v>
      </c>
      <c r="F242" s="4" t="s">
        <v>112</v>
      </c>
      <c r="G242" s="4">
        <f t="shared" ca="1" si="3"/>
        <v>96</v>
      </c>
      <c r="H242" s="4">
        <v>3</v>
      </c>
    </row>
    <row r="243" spans="1:8" ht="15.6">
      <c r="A243" s="4" t="s">
        <v>324</v>
      </c>
      <c r="B243" s="5">
        <v>45234.165128188302</v>
      </c>
      <c r="C243" s="5">
        <v>45236.017074569201</v>
      </c>
      <c r="D243" s="4" t="s">
        <v>98</v>
      </c>
      <c r="E243" s="4" t="s">
        <v>325</v>
      </c>
      <c r="F243" s="4" t="s">
        <v>101</v>
      </c>
      <c r="G243" s="4">
        <f t="shared" ca="1" si="3"/>
        <v>14</v>
      </c>
      <c r="H243" s="4">
        <v>1</v>
      </c>
    </row>
    <row r="244" spans="1:8" ht="15.6">
      <c r="A244" s="4" t="s">
        <v>326</v>
      </c>
      <c r="B244" s="5">
        <v>44298.188924465299</v>
      </c>
      <c r="C244" s="5">
        <v>44304.716469308201</v>
      </c>
      <c r="D244" s="4" t="s">
        <v>114</v>
      </c>
      <c r="E244" s="4" t="s">
        <v>124</v>
      </c>
      <c r="F244" s="4" t="s">
        <v>122</v>
      </c>
      <c r="G244" s="4">
        <f t="shared" ca="1" si="3"/>
        <v>76</v>
      </c>
      <c r="H244" s="4">
        <v>3</v>
      </c>
    </row>
    <row r="245" spans="1:8" ht="15.6">
      <c r="A245" s="4" t="s">
        <v>327</v>
      </c>
      <c r="B245" s="5">
        <v>44885.307738649397</v>
      </c>
      <c r="C245" s="5">
        <v>44889.843007117801</v>
      </c>
      <c r="D245" s="4" t="s">
        <v>98</v>
      </c>
      <c r="E245" s="4" t="s">
        <v>328</v>
      </c>
      <c r="F245" s="4" t="s">
        <v>125</v>
      </c>
      <c r="G245" s="4">
        <f t="shared" ca="1" si="3"/>
        <v>51</v>
      </c>
      <c r="H245" s="4">
        <v>6</v>
      </c>
    </row>
    <row r="246" spans="1:8" ht="15.6">
      <c r="A246" s="4" t="s">
        <v>327</v>
      </c>
      <c r="B246" s="5">
        <v>44885.743427354602</v>
      </c>
      <c r="C246" s="5">
        <v>44889.918569039299</v>
      </c>
      <c r="D246" s="4" t="s">
        <v>98</v>
      </c>
      <c r="E246" s="4" t="s">
        <v>328</v>
      </c>
      <c r="F246" s="4" t="s">
        <v>122</v>
      </c>
      <c r="G246" s="4">
        <f t="shared" ca="1" si="3"/>
        <v>28</v>
      </c>
      <c r="H246" s="4">
        <v>4</v>
      </c>
    </row>
    <row r="247" spans="1:8" ht="15.6">
      <c r="A247" s="4" t="s">
        <v>329</v>
      </c>
      <c r="B247" s="5">
        <v>44596.804243316503</v>
      </c>
      <c r="C247" s="5">
        <v>44600.906260212403</v>
      </c>
      <c r="D247" s="4" t="s">
        <v>98</v>
      </c>
      <c r="E247" s="4" t="s">
        <v>330</v>
      </c>
      <c r="F247" s="4" t="s">
        <v>111</v>
      </c>
      <c r="G247" s="4">
        <f t="shared" ca="1" si="3"/>
        <v>76</v>
      </c>
      <c r="H247" s="4">
        <v>3</v>
      </c>
    </row>
    <row r="248" spans="1:8" ht="15.6">
      <c r="A248" s="4" t="s">
        <v>329</v>
      </c>
      <c r="B248" s="5">
        <v>44596.267255507199</v>
      </c>
      <c r="C248" s="5">
        <v>44600.0053716654</v>
      </c>
      <c r="D248" s="4" t="s">
        <v>98</v>
      </c>
      <c r="E248" s="4" t="s">
        <v>330</v>
      </c>
      <c r="F248" s="4" t="s">
        <v>135</v>
      </c>
      <c r="G248" s="4">
        <f t="shared" ca="1" si="3"/>
        <v>34</v>
      </c>
      <c r="H248" s="4">
        <v>2</v>
      </c>
    </row>
    <row r="249" spans="1:8" ht="15.6">
      <c r="A249" s="4" t="s">
        <v>331</v>
      </c>
      <c r="B249" s="5">
        <v>44232.1191625172</v>
      </c>
      <c r="C249" s="5">
        <v>44235.782591792398</v>
      </c>
      <c r="D249" s="4" t="s">
        <v>98</v>
      </c>
      <c r="E249" s="4" t="s">
        <v>332</v>
      </c>
      <c r="F249" s="4" t="s">
        <v>109</v>
      </c>
      <c r="G249" s="4">
        <f t="shared" ca="1" si="3"/>
        <v>56</v>
      </c>
      <c r="H249" s="4">
        <v>3</v>
      </c>
    </row>
    <row r="250" spans="1:8" ht="15.6">
      <c r="A250" s="4" t="s">
        <v>331</v>
      </c>
      <c r="B250" s="5">
        <v>44232.014434020297</v>
      </c>
      <c r="C250" s="5">
        <v>44235.269447846797</v>
      </c>
      <c r="D250" s="4" t="s">
        <v>98</v>
      </c>
      <c r="E250" s="4" t="s">
        <v>332</v>
      </c>
      <c r="F250" s="4" t="s">
        <v>125</v>
      </c>
      <c r="G250" s="4">
        <f t="shared" ca="1" si="3"/>
        <v>23</v>
      </c>
      <c r="H250" s="4">
        <v>4</v>
      </c>
    </row>
    <row r="251" spans="1:8" ht="15.6">
      <c r="A251" s="4" t="s">
        <v>331</v>
      </c>
      <c r="B251" s="5">
        <v>44232.692535571201</v>
      </c>
      <c r="C251" s="5">
        <v>44235.117287991401</v>
      </c>
      <c r="D251" s="4" t="s">
        <v>98</v>
      </c>
      <c r="E251" s="4" t="s">
        <v>332</v>
      </c>
      <c r="F251" s="4" t="s">
        <v>96</v>
      </c>
      <c r="G251" s="4">
        <f t="shared" ca="1" si="3"/>
        <v>56</v>
      </c>
      <c r="H251" s="4">
        <v>1</v>
      </c>
    </row>
    <row r="252" spans="1:8" ht="15.6">
      <c r="A252" s="4" t="s">
        <v>333</v>
      </c>
      <c r="B252" s="5">
        <v>44700.020003517202</v>
      </c>
      <c r="C252" s="5">
        <v>44704.529654303296</v>
      </c>
      <c r="D252" s="4" t="s">
        <v>98</v>
      </c>
      <c r="E252" s="4" t="s">
        <v>164</v>
      </c>
      <c r="F252" s="4" t="s">
        <v>112</v>
      </c>
      <c r="G252" s="4">
        <f t="shared" ca="1" si="3"/>
        <v>70</v>
      </c>
      <c r="H252" s="4">
        <v>6</v>
      </c>
    </row>
    <row r="253" spans="1:8" ht="15.6">
      <c r="A253" s="4" t="s">
        <v>334</v>
      </c>
      <c r="B253" s="5">
        <v>44599.0691519385</v>
      </c>
      <c r="C253" s="5">
        <v>44602.380845500003</v>
      </c>
      <c r="D253" s="4" t="s">
        <v>98</v>
      </c>
      <c r="E253" s="4" t="s">
        <v>152</v>
      </c>
      <c r="F253" s="4" t="s">
        <v>109</v>
      </c>
      <c r="G253" s="4">
        <f t="shared" ca="1" si="3"/>
        <v>83</v>
      </c>
      <c r="H253" s="4">
        <v>3</v>
      </c>
    </row>
    <row r="254" spans="1:8" ht="15.6">
      <c r="A254" s="4" t="s">
        <v>334</v>
      </c>
      <c r="B254" s="5">
        <v>44599.613093112202</v>
      </c>
      <c r="C254" s="5">
        <v>44602.745798804601</v>
      </c>
      <c r="D254" s="4" t="s">
        <v>98</v>
      </c>
      <c r="E254" s="4" t="s">
        <v>152</v>
      </c>
      <c r="F254" s="4" t="s">
        <v>121</v>
      </c>
      <c r="G254" s="4">
        <f t="shared" ca="1" si="3"/>
        <v>65</v>
      </c>
      <c r="H254" s="4">
        <v>2</v>
      </c>
    </row>
    <row r="255" spans="1:8" ht="15.6">
      <c r="A255" s="4" t="s">
        <v>335</v>
      </c>
      <c r="B255" s="5">
        <v>45113.167874155297</v>
      </c>
      <c r="C255" s="5">
        <v>45115.946992776597</v>
      </c>
      <c r="D255" s="4" t="s">
        <v>94</v>
      </c>
      <c r="E255" s="4" t="s">
        <v>117</v>
      </c>
      <c r="F255" s="4" t="s">
        <v>112</v>
      </c>
      <c r="G255" s="4">
        <f t="shared" ca="1" si="3"/>
        <v>48</v>
      </c>
      <c r="H255" s="4">
        <v>4</v>
      </c>
    </row>
    <row r="256" spans="1:8" ht="15.6">
      <c r="A256" s="4" t="s">
        <v>335</v>
      </c>
      <c r="B256" s="5">
        <v>45113.815630354104</v>
      </c>
      <c r="C256" s="5">
        <v>45115.211467120796</v>
      </c>
      <c r="D256" s="4" t="s">
        <v>94</v>
      </c>
      <c r="E256" s="4" t="s">
        <v>117</v>
      </c>
      <c r="F256" s="4" t="s">
        <v>122</v>
      </c>
      <c r="G256" s="4">
        <f t="shared" ca="1" si="3"/>
        <v>24</v>
      </c>
      <c r="H256" s="4">
        <v>7</v>
      </c>
    </row>
    <row r="257" spans="1:8" ht="15.6">
      <c r="A257" s="4" t="s">
        <v>336</v>
      </c>
      <c r="B257" s="5">
        <v>44815.104566630398</v>
      </c>
      <c r="C257" s="5">
        <v>44819.244750205398</v>
      </c>
      <c r="D257" s="4" t="s">
        <v>94</v>
      </c>
      <c r="E257" s="4" t="s">
        <v>337</v>
      </c>
      <c r="F257" s="4" t="s">
        <v>96</v>
      </c>
      <c r="G257" s="4">
        <f t="shared" ca="1" si="3"/>
        <v>16</v>
      </c>
      <c r="H257" s="4">
        <v>3</v>
      </c>
    </row>
    <row r="258" spans="1:8" ht="15.6">
      <c r="A258" s="4" t="s">
        <v>338</v>
      </c>
      <c r="B258" s="5">
        <v>44431.983364116597</v>
      </c>
      <c r="C258" s="5">
        <v>44431.373849306299</v>
      </c>
      <c r="D258" s="4" t="s">
        <v>98</v>
      </c>
      <c r="E258" s="4" t="s">
        <v>339</v>
      </c>
      <c r="F258" s="4" t="s">
        <v>100</v>
      </c>
      <c r="G258" s="4">
        <f t="shared" ref="G258:G321" ca="1" si="4">RANDBETWEEN(10,100)</f>
        <v>20</v>
      </c>
      <c r="H258" s="4">
        <v>2</v>
      </c>
    </row>
    <row r="259" spans="1:8" ht="15.6">
      <c r="A259" s="4" t="s">
        <v>338</v>
      </c>
      <c r="B259" s="5">
        <v>44431.333894789801</v>
      </c>
      <c r="C259" s="5">
        <v>44431.893248649198</v>
      </c>
      <c r="D259" s="4" t="s">
        <v>98</v>
      </c>
      <c r="E259" s="4" t="s">
        <v>339</v>
      </c>
      <c r="F259" s="4" t="s">
        <v>110</v>
      </c>
      <c r="G259" s="4">
        <f t="shared" ca="1" si="4"/>
        <v>23</v>
      </c>
      <c r="H259" s="4">
        <v>4</v>
      </c>
    </row>
    <row r="260" spans="1:8" ht="15.6">
      <c r="A260" s="4" t="s">
        <v>340</v>
      </c>
      <c r="B260" s="5">
        <v>44772.064845681904</v>
      </c>
      <c r="C260" s="5">
        <v>44779.800462135703</v>
      </c>
      <c r="D260" s="4" t="s">
        <v>98</v>
      </c>
      <c r="E260" s="4" t="s">
        <v>341</v>
      </c>
      <c r="F260" s="4" t="s">
        <v>125</v>
      </c>
      <c r="G260" s="4">
        <f t="shared" ca="1" si="4"/>
        <v>55</v>
      </c>
      <c r="H260" s="4">
        <v>4</v>
      </c>
    </row>
    <row r="261" spans="1:8" ht="15.6">
      <c r="A261" s="4" t="s">
        <v>340</v>
      </c>
      <c r="B261" s="5">
        <v>44772.196478987004</v>
      </c>
      <c r="C261" s="5">
        <v>44779.340292478999</v>
      </c>
      <c r="D261" s="4" t="s">
        <v>98</v>
      </c>
      <c r="E261" s="4" t="s">
        <v>341</v>
      </c>
      <c r="F261" s="4" t="s">
        <v>111</v>
      </c>
      <c r="G261" s="4">
        <f t="shared" ca="1" si="4"/>
        <v>63</v>
      </c>
      <c r="H261" s="4">
        <v>1</v>
      </c>
    </row>
    <row r="262" spans="1:8" ht="15.6">
      <c r="A262" s="4" t="s">
        <v>342</v>
      </c>
      <c r="B262" s="5">
        <v>44319.416649087303</v>
      </c>
      <c r="C262" s="5">
        <v>44323.788674715397</v>
      </c>
      <c r="D262" s="4" t="s">
        <v>94</v>
      </c>
      <c r="E262" s="4" t="s">
        <v>343</v>
      </c>
      <c r="F262" s="4" t="s">
        <v>110</v>
      </c>
      <c r="G262" s="4">
        <f t="shared" ca="1" si="4"/>
        <v>63</v>
      </c>
      <c r="H262" s="4">
        <v>6</v>
      </c>
    </row>
    <row r="263" spans="1:8" ht="15.6">
      <c r="A263" s="4" t="s">
        <v>342</v>
      </c>
      <c r="B263" s="5">
        <v>44319.353023568103</v>
      </c>
      <c r="C263" s="5">
        <v>44323.012379599</v>
      </c>
      <c r="D263" s="4" t="s">
        <v>94</v>
      </c>
      <c r="E263" s="4" t="s">
        <v>343</v>
      </c>
      <c r="F263" s="4" t="s">
        <v>135</v>
      </c>
      <c r="G263" s="4">
        <f t="shared" ca="1" si="4"/>
        <v>92</v>
      </c>
      <c r="H263" s="4">
        <v>4</v>
      </c>
    </row>
    <row r="264" spans="1:8" ht="15.6">
      <c r="A264" s="4" t="s">
        <v>342</v>
      </c>
      <c r="B264" s="5">
        <v>44319.436436177501</v>
      </c>
      <c r="C264" s="5">
        <v>44323.902858019901</v>
      </c>
      <c r="D264" s="4" t="s">
        <v>94</v>
      </c>
      <c r="E264" s="4" t="s">
        <v>343</v>
      </c>
      <c r="F264" s="4" t="s">
        <v>109</v>
      </c>
      <c r="G264" s="4">
        <f t="shared" ca="1" si="4"/>
        <v>93</v>
      </c>
      <c r="H264" s="4">
        <v>4</v>
      </c>
    </row>
    <row r="265" spans="1:8" ht="15.6">
      <c r="A265" s="4" t="s">
        <v>342</v>
      </c>
      <c r="B265" s="5">
        <v>44319.846773182602</v>
      </c>
      <c r="C265" s="5">
        <v>44323.501392054903</v>
      </c>
      <c r="D265" s="4" t="s">
        <v>94</v>
      </c>
      <c r="E265" s="4" t="s">
        <v>343</v>
      </c>
      <c r="F265" s="4" t="s">
        <v>110</v>
      </c>
      <c r="G265" s="4">
        <f t="shared" ca="1" si="4"/>
        <v>39</v>
      </c>
      <c r="H265" s="4">
        <v>5</v>
      </c>
    </row>
    <row r="266" spans="1:8" ht="15.6">
      <c r="A266" s="4" t="s">
        <v>344</v>
      </c>
      <c r="B266" s="5">
        <v>44211.554964895098</v>
      </c>
      <c r="C266" s="5">
        <v>44217.451562774098</v>
      </c>
      <c r="D266" s="4" t="s">
        <v>98</v>
      </c>
      <c r="E266" s="4" t="s">
        <v>341</v>
      </c>
      <c r="F266" s="4" t="s">
        <v>111</v>
      </c>
      <c r="G266" s="4">
        <f t="shared" ca="1" si="4"/>
        <v>25</v>
      </c>
      <c r="H266" s="4">
        <v>3</v>
      </c>
    </row>
    <row r="267" spans="1:8" ht="15.6">
      <c r="A267" s="4" t="s">
        <v>344</v>
      </c>
      <c r="B267" s="5">
        <v>44211.809841855596</v>
      </c>
      <c r="C267" s="5">
        <v>44217.184258103996</v>
      </c>
      <c r="D267" s="4" t="s">
        <v>98</v>
      </c>
      <c r="E267" s="4" t="s">
        <v>341</v>
      </c>
      <c r="F267" s="4" t="s">
        <v>122</v>
      </c>
      <c r="G267" s="4">
        <f t="shared" ca="1" si="4"/>
        <v>33</v>
      </c>
      <c r="H267" s="4">
        <v>3</v>
      </c>
    </row>
    <row r="268" spans="1:8" ht="15.6">
      <c r="A268" s="4" t="s">
        <v>345</v>
      </c>
      <c r="B268" s="5">
        <v>45272.814992582302</v>
      </c>
      <c r="C268" s="5">
        <v>45274.6660895557</v>
      </c>
      <c r="D268" s="4" t="s">
        <v>94</v>
      </c>
      <c r="E268" s="4" t="s">
        <v>292</v>
      </c>
      <c r="F268" s="4" t="s">
        <v>122</v>
      </c>
      <c r="G268" s="4">
        <f t="shared" ca="1" si="4"/>
        <v>93</v>
      </c>
      <c r="H268" s="4">
        <v>2</v>
      </c>
    </row>
    <row r="269" spans="1:8" ht="15.6">
      <c r="A269" s="4" t="s">
        <v>346</v>
      </c>
      <c r="B269" s="5">
        <v>44405.937985374803</v>
      </c>
      <c r="C269" s="5">
        <v>44407.420830359399</v>
      </c>
      <c r="D269" s="4" t="s">
        <v>94</v>
      </c>
      <c r="E269" s="4" t="s">
        <v>213</v>
      </c>
      <c r="F269" s="4" t="s">
        <v>131</v>
      </c>
      <c r="G269" s="4">
        <f t="shared" ca="1" si="4"/>
        <v>32</v>
      </c>
      <c r="H269" s="4">
        <v>2</v>
      </c>
    </row>
    <row r="270" spans="1:8" ht="15.6">
      <c r="A270" s="4" t="s">
        <v>347</v>
      </c>
      <c r="B270" s="5">
        <v>44833.719002950304</v>
      </c>
      <c r="C270" s="5">
        <v>44835.209743437503</v>
      </c>
      <c r="D270" s="4" t="s">
        <v>114</v>
      </c>
      <c r="E270" s="4" t="s">
        <v>233</v>
      </c>
      <c r="F270" s="4" t="s">
        <v>130</v>
      </c>
      <c r="G270" s="4">
        <f t="shared" ca="1" si="4"/>
        <v>87</v>
      </c>
      <c r="H270" s="4">
        <v>7</v>
      </c>
    </row>
    <row r="271" spans="1:8" ht="15.6">
      <c r="A271" s="4" t="s">
        <v>348</v>
      </c>
      <c r="B271" s="5">
        <v>45253.348769274402</v>
      </c>
      <c r="C271" s="5">
        <v>45257.802385898904</v>
      </c>
      <c r="D271" s="4" t="s">
        <v>98</v>
      </c>
      <c r="E271" s="4" t="s">
        <v>349</v>
      </c>
      <c r="F271" s="4" t="s">
        <v>100</v>
      </c>
      <c r="G271" s="4">
        <f t="shared" ca="1" si="4"/>
        <v>52</v>
      </c>
      <c r="H271" s="4">
        <v>6</v>
      </c>
    </row>
    <row r="272" spans="1:8" ht="15.6">
      <c r="A272" s="4" t="s">
        <v>350</v>
      </c>
      <c r="B272" s="5">
        <v>44608.046030897101</v>
      </c>
      <c r="C272" s="5">
        <v>44612.055019433901</v>
      </c>
      <c r="D272" s="4" t="s">
        <v>98</v>
      </c>
      <c r="E272" s="4" t="s">
        <v>181</v>
      </c>
      <c r="F272" s="4" t="s">
        <v>112</v>
      </c>
      <c r="G272" s="4">
        <f t="shared" ca="1" si="4"/>
        <v>33</v>
      </c>
      <c r="H272" s="4">
        <v>2</v>
      </c>
    </row>
    <row r="273" spans="1:8" ht="15.6">
      <c r="A273" s="4" t="s">
        <v>350</v>
      </c>
      <c r="B273" s="5">
        <v>44608.056999300803</v>
      </c>
      <c r="C273" s="5">
        <v>44612.638781105103</v>
      </c>
      <c r="D273" s="4" t="s">
        <v>98</v>
      </c>
      <c r="E273" s="4" t="s">
        <v>181</v>
      </c>
      <c r="F273" s="4" t="s">
        <v>130</v>
      </c>
      <c r="G273" s="4">
        <f t="shared" ca="1" si="4"/>
        <v>47</v>
      </c>
      <c r="H273" s="4">
        <v>2</v>
      </c>
    </row>
    <row r="274" spans="1:8" ht="15.6">
      <c r="A274" s="4" t="s">
        <v>351</v>
      </c>
      <c r="B274" s="5">
        <v>44656.546244544901</v>
      </c>
      <c r="C274" s="5">
        <v>44662.341708489497</v>
      </c>
      <c r="D274" s="4" t="s">
        <v>114</v>
      </c>
      <c r="E274" s="4" t="s">
        <v>127</v>
      </c>
      <c r="F274" s="4" t="s">
        <v>110</v>
      </c>
      <c r="G274" s="4">
        <f t="shared" ca="1" si="4"/>
        <v>15</v>
      </c>
      <c r="H274" s="4">
        <v>1</v>
      </c>
    </row>
    <row r="275" spans="1:8" ht="15.6">
      <c r="A275" s="4" t="s">
        <v>351</v>
      </c>
      <c r="B275" s="5">
        <v>44656.735470773099</v>
      </c>
      <c r="C275" s="5">
        <v>44662.7044216582</v>
      </c>
      <c r="D275" s="4" t="s">
        <v>114</v>
      </c>
      <c r="E275" s="4" t="s">
        <v>127</v>
      </c>
      <c r="F275" s="4" t="s">
        <v>125</v>
      </c>
      <c r="G275" s="4">
        <f t="shared" ca="1" si="4"/>
        <v>69</v>
      </c>
      <c r="H275" s="4">
        <v>3</v>
      </c>
    </row>
    <row r="276" spans="1:8" ht="15.6">
      <c r="A276" s="4" t="s">
        <v>352</v>
      </c>
      <c r="B276" s="5">
        <v>44246.259619278702</v>
      </c>
      <c r="C276" s="5">
        <v>44250.151471974401</v>
      </c>
      <c r="D276" s="4" t="s">
        <v>94</v>
      </c>
      <c r="E276" s="4" t="s">
        <v>183</v>
      </c>
      <c r="F276" s="4" t="s">
        <v>135</v>
      </c>
      <c r="G276" s="4">
        <f t="shared" ca="1" si="4"/>
        <v>12</v>
      </c>
      <c r="H276" s="4">
        <v>4</v>
      </c>
    </row>
    <row r="277" spans="1:8" ht="15.6">
      <c r="A277" s="4" t="s">
        <v>352</v>
      </c>
      <c r="B277" s="5">
        <v>44246.732432316698</v>
      </c>
      <c r="C277" s="5">
        <v>44250.911727567502</v>
      </c>
      <c r="D277" s="4" t="s">
        <v>94</v>
      </c>
      <c r="E277" s="4" t="s">
        <v>183</v>
      </c>
      <c r="F277" s="4" t="s">
        <v>96</v>
      </c>
      <c r="G277" s="4">
        <f t="shared" ca="1" si="4"/>
        <v>13</v>
      </c>
      <c r="H277" s="4">
        <v>4</v>
      </c>
    </row>
    <row r="278" spans="1:8" ht="15.6">
      <c r="A278" s="4" t="s">
        <v>353</v>
      </c>
      <c r="B278" s="5">
        <v>44648.919325639203</v>
      </c>
      <c r="C278" s="5">
        <v>44653.345566243697</v>
      </c>
      <c r="D278" s="4" t="s">
        <v>114</v>
      </c>
      <c r="E278" s="4" t="s">
        <v>354</v>
      </c>
      <c r="F278" s="4" t="s">
        <v>131</v>
      </c>
      <c r="G278" s="4">
        <f t="shared" ca="1" si="4"/>
        <v>37</v>
      </c>
      <c r="H278" s="4">
        <v>5</v>
      </c>
    </row>
    <row r="279" spans="1:8" ht="15.6">
      <c r="A279" s="4" t="s">
        <v>353</v>
      </c>
      <c r="B279" s="5">
        <v>44648.342730888799</v>
      </c>
      <c r="C279" s="5">
        <v>44653.045440334899</v>
      </c>
      <c r="D279" s="4" t="s">
        <v>114</v>
      </c>
      <c r="E279" s="4" t="s">
        <v>354</v>
      </c>
      <c r="F279" s="4" t="s">
        <v>121</v>
      </c>
      <c r="G279" s="4">
        <f t="shared" ca="1" si="4"/>
        <v>54</v>
      </c>
      <c r="H279" s="4">
        <v>2</v>
      </c>
    </row>
    <row r="280" spans="1:8" ht="15.6">
      <c r="A280" s="4" t="s">
        <v>355</v>
      </c>
      <c r="B280" s="5">
        <v>45171.754475974398</v>
      </c>
      <c r="C280" s="5">
        <v>45173.771562301299</v>
      </c>
      <c r="D280" s="4" t="s">
        <v>98</v>
      </c>
      <c r="E280" s="4" t="s">
        <v>99</v>
      </c>
      <c r="F280" s="4" t="s">
        <v>111</v>
      </c>
      <c r="G280" s="4">
        <f t="shared" ca="1" si="4"/>
        <v>11</v>
      </c>
      <c r="H280" s="4">
        <v>2</v>
      </c>
    </row>
    <row r="281" spans="1:8" ht="15.6">
      <c r="A281" s="4" t="s">
        <v>355</v>
      </c>
      <c r="B281" s="5">
        <v>45171.346381843498</v>
      </c>
      <c r="C281" s="5">
        <v>45173.288711322697</v>
      </c>
      <c r="D281" s="4" t="s">
        <v>98</v>
      </c>
      <c r="E281" s="4" t="s">
        <v>99</v>
      </c>
      <c r="F281" s="4" t="s">
        <v>101</v>
      </c>
      <c r="G281" s="4">
        <f t="shared" ca="1" si="4"/>
        <v>100</v>
      </c>
      <c r="H281" s="4">
        <v>3</v>
      </c>
    </row>
    <row r="282" spans="1:8" ht="15.6">
      <c r="A282" s="4" t="s">
        <v>356</v>
      </c>
      <c r="B282" s="5">
        <v>44581.047162122297</v>
      </c>
      <c r="C282" s="5">
        <v>44583.346658836002</v>
      </c>
      <c r="D282" s="4" t="s">
        <v>114</v>
      </c>
      <c r="E282" s="4" t="s">
        <v>357</v>
      </c>
      <c r="F282" s="4" t="s">
        <v>106</v>
      </c>
      <c r="G282" s="4">
        <f t="shared" ca="1" si="4"/>
        <v>29</v>
      </c>
      <c r="H282" s="4">
        <v>2</v>
      </c>
    </row>
    <row r="283" spans="1:8" ht="15.6">
      <c r="A283" s="4" t="s">
        <v>356</v>
      </c>
      <c r="B283" s="5">
        <v>44581.990421279297</v>
      </c>
      <c r="C283" s="5">
        <v>44583.671752707101</v>
      </c>
      <c r="D283" s="4" t="s">
        <v>114</v>
      </c>
      <c r="E283" s="4" t="s">
        <v>357</v>
      </c>
      <c r="F283" s="4" t="s">
        <v>135</v>
      </c>
      <c r="G283" s="4">
        <f t="shared" ca="1" si="4"/>
        <v>49</v>
      </c>
      <c r="H283" s="4">
        <v>2</v>
      </c>
    </row>
    <row r="284" spans="1:8" ht="15.6">
      <c r="A284" s="4" t="s">
        <v>356</v>
      </c>
      <c r="B284" s="5">
        <v>44581.121138826798</v>
      </c>
      <c r="C284" s="5">
        <v>44583.131813035798</v>
      </c>
      <c r="D284" s="4" t="s">
        <v>114</v>
      </c>
      <c r="E284" s="4" t="s">
        <v>357</v>
      </c>
      <c r="F284" s="4" t="s">
        <v>110</v>
      </c>
      <c r="G284" s="4">
        <f t="shared" ca="1" si="4"/>
        <v>24</v>
      </c>
      <c r="H284" s="4">
        <v>1</v>
      </c>
    </row>
    <row r="285" spans="1:8" ht="15.6">
      <c r="A285" s="4" t="s">
        <v>356</v>
      </c>
      <c r="B285" s="5">
        <v>44581.971593577902</v>
      </c>
      <c r="C285" s="5">
        <v>44583.199500885799</v>
      </c>
      <c r="D285" s="4" t="s">
        <v>114</v>
      </c>
      <c r="E285" s="4" t="s">
        <v>357</v>
      </c>
      <c r="F285" s="4" t="s">
        <v>110</v>
      </c>
      <c r="G285" s="4">
        <f t="shared" ca="1" si="4"/>
        <v>87</v>
      </c>
      <c r="H285" s="4">
        <v>2</v>
      </c>
    </row>
    <row r="286" spans="1:8" ht="15.6">
      <c r="A286" s="4" t="s">
        <v>356</v>
      </c>
      <c r="B286" s="5">
        <v>44581.092344133896</v>
      </c>
      <c r="C286" s="5">
        <v>44583.202624003803</v>
      </c>
      <c r="D286" s="4" t="s">
        <v>114</v>
      </c>
      <c r="E286" s="4" t="s">
        <v>357</v>
      </c>
      <c r="F286" s="4" t="s">
        <v>130</v>
      </c>
      <c r="G286" s="4">
        <f t="shared" ca="1" si="4"/>
        <v>25</v>
      </c>
      <c r="H286" s="4">
        <v>5</v>
      </c>
    </row>
    <row r="287" spans="1:8" ht="15.6">
      <c r="A287" s="4" t="s">
        <v>358</v>
      </c>
      <c r="B287" s="5">
        <v>44588.828119797101</v>
      </c>
      <c r="C287" s="5">
        <v>44592.307835964602</v>
      </c>
      <c r="D287" s="4" t="s">
        <v>94</v>
      </c>
      <c r="E287" s="4" t="s">
        <v>140</v>
      </c>
      <c r="F287" s="4" t="s">
        <v>122</v>
      </c>
      <c r="G287" s="4">
        <f t="shared" ca="1" si="4"/>
        <v>69</v>
      </c>
      <c r="H287" s="4">
        <v>2</v>
      </c>
    </row>
    <row r="288" spans="1:8" ht="15.6">
      <c r="A288" s="4" t="s">
        <v>358</v>
      </c>
      <c r="B288" s="5">
        <v>44588.435341926197</v>
      </c>
      <c r="C288" s="5">
        <v>44592.379877365602</v>
      </c>
      <c r="D288" s="4" t="s">
        <v>94</v>
      </c>
      <c r="E288" s="4" t="s">
        <v>140</v>
      </c>
      <c r="F288" s="4" t="s">
        <v>118</v>
      </c>
      <c r="G288" s="4">
        <f t="shared" ca="1" si="4"/>
        <v>60</v>
      </c>
      <c r="H288" s="4">
        <v>4</v>
      </c>
    </row>
    <row r="289" spans="1:8" ht="15.6">
      <c r="A289" s="4" t="s">
        <v>358</v>
      </c>
      <c r="B289" s="5">
        <v>44588.701016284402</v>
      </c>
      <c r="C289" s="5">
        <v>44592.770444929003</v>
      </c>
      <c r="D289" s="4" t="s">
        <v>94</v>
      </c>
      <c r="E289" s="4" t="s">
        <v>140</v>
      </c>
      <c r="F289" s="4" t="s">
        <v>130</v>
      </c>
      <c r="G289" s="4">
        <f t="shared" ca="1" si="4"/>
        <v>71</v>
      </c>
      <c r="H289" s="4">
        <v>2</v>
      </c>
    </row>
    <row r="290" spans="1:8" ht="15.6">
      <c r="A290" s="4" t="s">
        <v>358</v>
      </c>
      <c r="B290" s="5">
        <v>44588.979081220001</v>
      </c>
      <c r="C290" s="5">
        <v>44592.230697664498</v>
      </c>
      <c r="D290" s="4" t="s">
        <v>94</v>
      </c>
      <c r="E290" s="4" t="s">
        <v>140</v>
      </c>
      <c r="F290" s="4" t="s">
        <v>106</v>
      </c>
      <c r="G290" s="4">
        <f t="shared" ca="1" si="4"/>
        <v>55</v>
      </c>
      <c r="H290" s="4">
        <v>6</v>
      </c>
    </row>
    <row r="291" spans="1:8" ht="15.6">
      <c r="A291" s="4" t="s">
        <v>358</v>
      </c>
      <c r="B291" s="5">
        <v>44588.503999133602</v>
      </c>
      <c r="C291" s="5">
        <v>44592.890451563901</v>
      </c>
      <c r="D291" s="4" t="s">
        <v>94</v>
      </c>
      <c r="E291" s="4" t="s">
        <v>140</v>
      </c>
      <c r="F291" s="4" t="s">
        <v>112</v>
      </c>
      <c r="G291" s="4">
        <f t="shared" ca="1" si="4"/>
        <v>18</v>
      </c>
      <c r="H291" s="4">
        <v>2</v>
      </c>
    </row>
    <row r="292" spans="1:8" ht="15.6">
      <c r="A292" s="4" t="s">
        <v>358</v>
      </c>
      <c r="B292" s="5">
        <v>44588.946788219597</v>
      </c>
      <c r="C292" s="5">
        <v>44592.908071785998</v>
      </c>
      <c r="D292" s="4" t="s">
        <v>94</v>
      </c>
      <c r="E292" s="4" t="s">
        <v>140</v>
      </c>
      <c r="F292" s="4" t="s">
        <v>135</v>
      </c>
      <c r="G292" s="4">
        <f t="shared" ca="1" si="4"/>
        <v>13</v>
      </c>
      <c r="H292" s="4">
        <v>3</v>
      </c>
    </row>
    <row r="293" spans="1:8" ht="15.6">
      <c r="A293" s="4" t="s">
        <v>358</v>
      </c>
      <c r="B293" s="5">
        <v>44588.382169110097</v>
      </c>
      <c r="C293" s="5">
        <v>44592.698009232598</v>
      </c>
      <c r="D293" s="4" t="s">
        <v>94</v>
      </c>
      <c r="E293" s="4" t="s">
        <v>140</v>
      </c>
      <c r="F293" s="4" t="s">
        <v>110</v>
      </c>
      <c r="G293" s="4">
        <f t="shared" ca="1" si="4"/>
        <v>65</v>
      </c>
      <c r="H293" s="4">
        <v>7</v>
      </c>
    </row>
    <row r="294" spans="1:8" ht="15.6">
      <c r="A294" s="4" t="s">
        <v>358</v>
      </c>
      <c r="B294" s="5">
        <v>44588.8394525779</v>
      </c>
      <c r="C294" s="5">
        <v>44592.2747959177</v>
      </c>
      <c r="D294" s="4" t="s">
        <v>94</v>
      </c>
      <c r="E294" s="4" t="s">
        <v>140</v>
      </c>
      <c r="F294" s="4" t="s">
        <v>135</v>
      </c>
      <c r="G294" s="4">
        <f t="shared" ca="1" si="4"/>
        <v>71</v>
      </c>
      <c r="H294" s="4">
        <v>3</v>
      </c>
    </row>
    <row r="295" spans="1:8" ht="15.6">
      <c r="A295" s="4" t="s">
        <v>359</v>
      </c>
      <c r="B295" s="5">
        <v>45072.062702793002</v>
      </c>
      <c r="C295" s="5">
        <v>45076.798681521097</v>
      </c>
      <c r="D295" s="4" t="s">
        <v>94</v>
      </c>
      <c r="E295" s="4" t="s">
        <v>330</v>
      </c>
      <c r="F295" s="4" t="s">
        <v>135</v>
      </c>
      <c r="G295" s="4">
        <f t="shared" ca="1" si="4"/>
        <v>75</v>
      </c>
      <c r="H295" s="4">
        <v>1</v>
      </c>
    </row>
    <row r="296" spans="1:8" ht="15.6">
      <c r="A296" s="4" t="s">
        <v>360</v>
      </c>
      <c r="B296" s="5">
        <v>44907.467679021102</v>
      </c>
      <c r="C296" s="5">
        <v>44913.297352078604</v>
      </c>
      <c r="D296" s="4" t="s">
        <v>98</v>
      </c>
      <c r="E296" s="4" t="s">
        <v>361</v>
      </c>
      <c r="F296" s="4" t="s">
        <v>118</v>
      </c>
      <c r="G296" s="4">
        <f t="shared" ca="1" si="4"/>
        <v>58</v>
      </c>
      <c r="H296" s="4">
        <v>2</v>
      </c>
    </row>
    <row r="297" spans="1:8" ht="15.6">
      <c r="A297" s="4" t="s">
        <v>360</v>
      </c>
      <c r="B297" s="5">
        <v>44907.146506113801</v>
      </c>
      <c r="C297" s="5">
        <v>44913.700618192102</v>
      </c>
      <c r="D297" s="4" t="s">
        <v>98</v>
      </c>
      <c r="E297" s="4" t="s">
        <v>361</v>
      </c>
      <c r="F297" s="4" t="s">
        <v>122</v>
      </c>
      <c r="G297" s="4">
        <f t="shared" ca="1" si="4"/>
        <v>98</v>
      </c>
      <c r="H297" s="4">
        <v>3</v>
      </c>
    </row>
    <row r="298" spans="1:8" ht="15.6">
      <c r="A298" s="4" t="s">
        <v>362</v>
      </c>
      <c r="B298" s="5">
        <v>44579.885104509704</v>
      </c>
      <c r="C298" s="5">
        <v>44581.703611048601</v>
      </c>
      <c r="D298" s="4" t="s">
        <v>94</v>
      </c>
      <c r="E298" s="4" t="s">
        <v>115</v>
      </c>
      <c r="F298" s="4" t="s">
        <v>135</v>
      </c>
      <c r="G298" s="4">
        <f t="shared" ca="1" si="4"/>
        <v>77</v>
      </c>
      <c r="H298" s="4">
        <v>4</v>
      </c>
    </row>
    <row r="299" spans="1:8" ht="15.6">
      <c r="A299" s="4" t="s">
        <v>363</v>
      </c>
      <c r="B299" s="5">
        <v>44572.003772515898</v>
      </c>
      <c r="C299" s="5">
        <v>44574.567446727502</v>
      </c>
      <c r="D299" s="4" t="s">
        <v>114</v>
      </c>
      <c r="E299" s="4" t="s">
        <v>354</v>
      </c>
      <c r="F299" s="4" t="s">
        <v>106</v>
      </c>
      <c r="G299" s="4">
        <f t="shared" ca="1" si="4"/>
        <v>80</v>
      </c>
      <c r="H299" s="4">
        <v>3</v>
      </c>
    </row>
    <row r="300" spans="1:8" ht="15.6">
      <c r="A300" s="4" t="s">
        <v>364</v>
      </c>
      <c r="B300" s="5">
        <v>45170.486278250602</v>
      </c>
      <c r="C300" s="5">
        <v>45177.883987556699</v>
      </c>
      <c r="D300" s="4" t="s">
        <v>94</v>
      </c>
      <c r="E300" s="4" t="s">
        <v>152</v>
      </c>
      <c r="F300" s="4" t="s">
        <v>125</v>
      </c>
      <c r="G300" s="4">
        <f t="shared" ca="1" si="4"/>
        <v>91</v>
      </c>
      <c r="H300" s="4">
        <v>6</v>
      </c>
    </row>
    <row r="301" spans="1:8" ht="15.6">
      <c r="A301" s="4" t="s">
        <v>364</v>
      </c>
      <c r="B301" s="5">
        <v>45170.673219283897</v>
      </c>
      <c r="C301" s="5">
        <v>45177.811885486299</v>
      </c>
      <c r="D301" s="4" t="s">
        <v>94</v>
      </c>
      <c r="E301" s="4" t="s">
        <v>152</v>
      </c>
      <c r="F301" s="4" t="s">
        <v>110</v>
      </c>
      <c r="G301" s="4">
        <f t="shared" ca="1" si="4"/>
        <v>51</v>
      </c>
      <c r="H301" s="4">
        <v>3</v>
      </c>
    </row>
    <row r="302" spans="1:8" ht="15.6">
      <c r="A302" s="4" t="s">
        <v>365</v>
      </c>
      <c r="B302" s="5">
        <v>44288.092765752801</v>
      </c>
      <c r="C302" s="5">
        <v>44291.342187198097</v>
      </c>
      <c r="D302" s="4" t="s">
        <v>114</v>
      </c>
      <c r="E302" s="4" t="s">
        <v>366</v>
      </c>
      <c r="F302" s="4" t="s">
        <v>122</v>
      </c>
      <c r="G302" s="4">
        <f t="shared" ca="1" si="4"/>
        <v>39</v>
      </c>
      <c r="H302" s="4">
        <v>10</v>
      </c>
    </row>
    <row r="303" spans="1:8" ht="15.6">
      <c r="A303" s="4" t="s">
        <v>365</v>
      </c>
      <c r="B303" s="5">
        <v>44288.159794822503</v>
      </c>
      <c r="C303" s="5">
        <v>44291.239875678199</v>
      </c>
      <c r="D303" s="4" t="s">
        <v>114</v>
      </c>
      <c r="E303" s="4" t="s">
        <v>366</v>
      </c>
      <c r="F303" s="4" t="s">
        <v>109</v>
      </c>
      <c r="G303" s="4">
        <f t="shared" ca="1" si="4"/>
        <v>12</v>
      </c>
      <c r="H303" s="4">
        <v>3</v>
      </c>
    </row>
    <row r="304" spans="1:8" ht="15.6">
      <c r="A304" s="4" t="s">
        <v>365</v>
      </c>
      <c r="B304" s="5">
        <v>44288.602290045703</v>
      </c>
      <c r="C304" s="5">
        <v>44291.789955947803</v>
      </c>
      <c r="D304" s="4" t="s">
        <v>114</v>
      </c>
      <c r="E304" s="4" t="s">
        <v>366</v>
      </c>
      <c r="F304" s="4" t="s">
        <v>101</v>
      </c>
      <c r="G304" s="4">
        <f t="shared" ca="1" si="4"/>
        <v>94</v>
      </c>
      <c r="H304" s="4">
        <v>6</v>
      </c>
    </row>
    <row r="305" spans="1:8" ht="15.6">
      <c r="A305" s="4" t="s">
        <v>365</v>
      </c>
      <c r="B305" s="5">
        <v>44288.148260414098</v>
      </c>
      <c r="C305" s="5">
        <v>44291.346280417398</v>
      </c>
      <c r="D305" s="4" t="s">
        <v>114</v>
      </c>
      <c r="E305" s="4" t="s">
        <v>366</v>
      </c>
      <c r="F305" s="4" t="s">
        <v>131</v>
      </c>
      <c r="G305" s="4">
        <f t="shared" ca="1" si="4"/>
        <v>14</v>
      </c>
      <c r="H305" s="4">
        <v>3</v>
      </c>
    </row>
    <row r="306" spans="1:8" ht="15.6">
      <c r="A306" s="4" t="s">
        <v>365</v>
      </c>
      <c r="B306" s="5">
        <v>44288.551425739999</v>
      </c>
      <c r="C306" s="5">
        <v>44291.987466837803</v>
      </c>
      <c r="D306" s="4" t="s">
        <v>114</v>
      </c>
      <c r="E306" s="4" t="s">
        <v>366</v>
      </c>
      <c r="F306" s="4" t="s">
        <v>131</v>
      </c>
      <c r="G306" s="4">
        <f t="shared" ca="1" si="4"/>
        <v>65</v>
      </c>
      <c r="H306" s="4">
        <v>5</v>
      </c>
    </row>
    <row r="307" spans="1:8" ht="15.6">
      <c r="A307" s="4" t="s">
        <v>365</v>
      </c>
      <c r="B307" s="5">
        <v>44288.288042582702</v>
      </c>
      <c r="C307" s="5">
        <v>44291.564952344401</v>
      </c>
      <c r="D307" s="4" t="s">
        <v>114</v>
      </c>
      <c r="E307" s="4" t="s">
        <v>366</v>
      </c>
      <c r="F307" s="4" t="s">
        <v>100</v>
      </c>
      <c r="G307" s="4">
        <f t="shared" ca="1" si="4"/>
        <v>74</v>
      </c>
      <c r="H307" s="4">
        <v>4</v>
      </c>
    </row>
    <row r="308" spans="1:8" ht="15.6">
      <c r="A308" s="4" t="s">
        <v>367</v>
      </c>
      <c r="B308" s="5">
        <v>45136.451990485599</v>
      </c>
      <c r="C308" s="5">
        <v>45140.957043098897</v>
      </c>
      <c r="D308" s="4" t="s">
        <v>98</v>
      </c>
      <c r="E308" s="4" t="s">
        <v>368</v>
      </c>
      <c r="F308" s="4" t="s">
        <v>110</v>
      </c>
      <c r="G308" s="4">
        <f t="shared" ca="1" si="4"/>
        <v>88</v>
      </c>
      <c r="H308" s="4">
        <v>6</v>
      </c>
    </row>
    <row r="309" spans="1:8" ht="15.6">
      <c r="A309" s="4" t="s">
        <v>367</v>
      </c>
      <c r="B309" s="5">
        <v>45136.597618032298</v>
      </c>
      <c r="C309" s="5">
        <v>45140.883893964798</v>
      </c>
      <c r="D309" s="4" t="s">
        <v>98</v>
      </c>
      <c r="E309" s="4" t="s">
        <v>368</v>
      </c>
      <c r="F309" s="4" t="s">
        <v>135</v>
      </c>
      <c r="G309" s="4">
        <f t="shared" ca="1" si="4"/>
        <v>86</v>
      </c>
      <c r="H309" s="4">
        <v>3</v>
      </c>
    </row>
    <row r="310" spans="1:8" ht="15.6">
      <c r="A310" s="4" t="s">
        <v>369</v>
      </c>
      <c r="B310" s="5">
        <v>44629.329421830502</v>
      </c>
      <c r="C310" s="5">
        <v>44635.368922932401</v>
      </c>
      <c r="D310" s="4" t="s">
        <v>98</v>
      </c>
      <c r="E310" s="4" t="s">
        <v>160</v>
      </c>
      <c r="F310" s="4" t="s">
        <v>110</v>
      </c>
      <c r="G310" s="4">
        <f t="shared" ca="1" si="4"/>
        <v>48</v>
      </c>
      <c r="H310" s="4">
        <v>1</v>
      </c>
    </row>
    <row r="311" spans="1:8" ht="15.6">
      <c r="A311" s="4" t="s">
        <v>370</v>
      </c>
      <c r="B311" s="5">
        <v>44407.8866639349</v>
      </c>
      <c r="C311" s="5">
        <v>44411.605364579103</v>
      </c>
      <c r="D311" s="4" t="s">
        <v>94</v>
      </c>
      <c r="E311" s="4" t="s">
        <v>117</v>
      </c>
      <c r="F311" s="4" t="s">
        <v>121</v>
      </c>
      <c r="G311" s="4">
        <f t="shared" ca="1" si="4"/>
        <v>59</v>
      </c>
      <c r="H311" s="4">
        <v>3</v>
      </c>
    </row>
    <row r="312" spans="1:8" ht="15.6">
      <c r="A312" s="4" t="s">
        <v>370</v>
      </c>
      <c r="B312" s="5">
        <v>44407.956407858299</v>
      </c>
      <c r="C312" s="5">
        <v>44411.119428529499</v>
      </c>
      <c r="D312" s="4" t="s">
        <v>94</v>
      </c>
      <c r="E312" s="4" t="s">
        <v>117</v>
      </c>
      <c r="F312" s="4" t="s">
        <v>101</v>
      </c>
      <c r="G312" s="4">
        <f t="shared" ca="1" si="4"/>
        <v>40</v>
      </c>
      <c r="H312" s="4">
        <v>3</v>
      </c>
    </row>
    <row r="313" spans="1:8" ht="15.6">
      <c r="A313" s="4" t="s">
        <v>371</v>
      </c>
      <c r="B313" s="5">
        <v>44426.137345230301</v>
      </c>
      <c r="C313" s="5">
        <v>44430.841392047398</v>
      </c>
      <c r="D313" s="4" t="s">
        <v>98</v>
      </c>
      <c r="E313" s="4" t="s">
        <v>372</v>
      </c>
      <c r="F313" s="4" t="s">
        <v>130</v>
      </c>
      <c r="G313" s="4">
        <f t="shared" ca="1" si="4"/>
        <v>44</v>
      </c>
      <c r="H313" s="4">
        <v>3</v>
      </c>
    </row>
    <row r="314" spans="1:8" ht="15.6">
      <c r="A314" s="4" t="s">
        <v>373</v>
      </c>
      <c r="B314" s="5">
        <v>44656.2447068127</v>
      </c>
      <c r="C314" s="5">
        <v>44662.324690790199</v>
      </c>
      <c r="D314" s="4" t="s">
        <v>98</v>
      </c>
      <c r="E314" s="4" t="s">
        <v>374</v>
      </c>
      <c r="F314" s="4" t="s">
        <v>100</v>
      </c>
      <c r="G314" s="4">
        <f t="shared" ca="1" si="4"/>
        <v>64</v>
      </c>
      <c r="H314" s="4">
        <v>3</v>
      </c>
    </row>
    <row r="315" spans="1:8" ht="15.6">
      <c r="A315" s="4" t="s">
        <v>373</v>
      </c>
      <c r="B315" s="5">
        <v>44656.949539152702</v>
      </c>
      <c r="C315" s="5">
        <v>44662.506706379398</v>
      </c>
      <c r="D315" s="4" t="s">
        <v>98</v>
      </c>
      <c r="E315" s="4" t="s">
        <v>374</v>
      </c>
      <c r="F315" s="4" t="s">
        <v>96</v>
      </c>
      <c r="G315" s="4">
        <f t="shared" ca="1" si="4"/>
        <v>76</v>
      </c>
      <c r="H315" s="4">
        <v>7</v>
      </c>
    </row>
    <row r="316" spans="1:8" ht="15.6">
      <c r="A316" s="4" t="s">
        <v>373</v>
      </c>
      <c r="B316" s="5">
        <v>44656.709048883597</v>
      </c>
      <c r="C316" s="5">
        <v>44662.114051216297</v>
      </c>
      <c r="D316" s="4" t="s">
        <v>98</v>
      </c>
      <c r="E316" s="4" t="s">
        <v>374</v>
      </c>
      <c r="F316" s="4" t="s">
        <v>125</v>
      </c>
      <c r="G316" s="4">
        <f t="shared" ca="1" si="4"/>
        <v>48</v>
      </c>
      <c r="H316" s="4">
        <v>9</v>
      </c>
    </row>
    <row r="317" spans="1:8" ht="15.6">
      <c r="A317" s="4" t="s">
        <v>375</v>
      </c>
      <c r="B317" s="5">
        <v>44259.610346869697</v>
      </c>
      <c r="C317" s="5">
        <v>44262.305984967301</v>
      </c>
      <c r="D317" s="4" t="s">
        <v>98</v>
      </c>
      <c r="E317" s="4" t="s">
        <v>376</v>
      </c>
      <c r="F317" s="4" t="s">
        <v>110</v>
      </c>
      <c r="G317" s="4">
        <f t="shared" ca="1" si="4"/>
        <v>77</v>
      </c>
      <c r="H317" s="4">
        <v>4</v>
      </c>
    </row>
    <row r="318" spans="1:8" ht="15.6">
      <c r="A318" s="4" t="s">
        <v>375</v>
      </c>
      <c r="B318" s="5">
        <v>44259.7754201762</v>
      </c>
      <c r="C318" s="5">
        <v>44262.1722126206</v>
      </c>
      <c r="D318" s="4" t="s">
        <v>98</v>
      </c>
      <c r="E318" s="4" t="s">
        <v>376</v>
      </c>
      <c r="F318" s="4" t="s">
        <v>141</v>
      </c>
      <c r="G318" s="4">
        <f t="shared" ca="1" si="4"/>
        <v>38</v>
      </c>
      <c r="H318" s="4">
        <v>5</v>
      </c>
    </row>
    <row r="319" spans="1:8" ht="15.6">
      <c r="A319" s="4" t="s">
        <v>375</v>
      </c>
      <c r="B319" s="5">
        <v>44259.547619331897</v>
      </c>
      <c r="C319" s="5">
        <v>44262.104368911103</v>
      </c>
      <c r="D319" s="4" t="s">
        <v>98</v>
      </c>
      <c r="E319" s="4" t="s">
        <v>376</v>
      </c>
      <c r="F319" s="4" t="s">
        <v>130</v>
      </c>
      <c r="G319" s="4">
        <f t="shared" ca="1" si="4"/>
        <v>24</v>
      </c>
      <c r="H319" s="4">
        <v>2</v>
      </c>
    </row>
    <row r="320" spans="1:8" ht="15.6">
      <c r="A320" s="4" t="s">
        <v>377</v>
      </c>
      <c r="B320" s="5">
        <v>44533.564203131798</v>
      </c>
      <c r="C320" s="5">
        <v>44538.677428773801</v>
      </c>
      <c r="D320" s="4" t="s">
        <v>98</v>
      </c>
      <c r="E320" s="4" t="s">
        <v>378</v>
      </c>
      <c r="F320" s="4" t="s">
        <v>111</v>
      </c>
      <c r="G320" s="4">
        <f t="shared" ca="1" si="4"/>
        <v>59</v>
      </c>
      <c r="H320" s="4">
        <v>4</v>
      </c>
    </row>
    <row r="321" spans="1:8" ht="15.6">
      <c r="A321" s="4" t="s">
        <v>377</v>
      </c>
      <c r="B321" s="5">
        <v>44533.846006654399</v>
      </c>
      <c r="C321" s="5">
        <v>44538.584962323097</v>
      </c>
      <c r="D321" s="4" t="s">
        <v>98</v>
      </c>
      <c r="E321" s="4" t="s">
        <v>378</v>
      </c>
      <c r="F321" s="4" t="s">
        <v>135</v>
      </c>
      <c r="G321" s="4">
        <f t="shared" ca="1" si="4"/>
        <v>53</v>
      </c>
      <c r="H321" s="4">
        <v>2</v>
      </c>
    </row>
    <row r="322" spans="1:8" ht="15.6">
      <c r="A322" s="4" t="s">
        <v>377</v>
      </c>
      <c r="B322" s="5">
        <v>44533.595118618301</v>
      </c>
      <c r="C322" s="5">
        <v>44538.415224325799</v>
      </c>
      <c r="D322" s="4" t="s">
        <v>98</v>
      </c>
      <c r="E322" s="4" t="s">
        <v>378</v>
      </c>
      <c r="F322" s="4" t="s">
        <v>130</v>
      </c>
      <c r="G322" s="4">
        <f t="shared" ref="G322:G385" ca="1" si="5">RANDBETWEEN(10,100)</f>
        <v>20</v>
      </c>
      <c r="H322" s="4">
        <v>2</v>
      </c>
    </row>
    <row r="323" spans="1:8" ht="15.6">
      <c r="A323" s="4" t="s">
        <v>377</v>
      </c>
      <c r="B323" s="5">
        <v>44533.845139194404</v>
      </c>
      <c r="C323" s="5">
        <v>44538.352940087301</v>
      </c>
      <c r="D323" s="4" t="s">
        <v>98</v>
      </c>
      <c r="E323" s="4" t="s">
        <v>378</v>
      </c>
      <c r="F323" s="4" t="s">
        <v>101</v>
      </c>
      <c r="G323" s="4">
        <f t="shared" ca="1" si="5"/>
        <v>57</v>
      </c>
      <c r="H323" s="4">
        <v>5</v>
      </c>
    </row>
    <row r="324" spans="1:8" ht="15.6">
      <c r="A324" s="4" t="s">
        <v>377</v>
      </c>
      <c r="B324" s="5">
        <v>44533.889935688501</v>
      </c>
      <c r="C324" s="5">
        <v>44538.028912131202</v>
      </c>
      <c r="D324" s="4" t="s">
        <v>98</v>
      </c>
      <c r="E324" s="4" t="s">
        <v>378</v>
      </c>
      <c r="F324" s="4" t="s">
        <v>100</v>
      </c>
      <c r="G324" s="4">
        <f t="shared" ca="1" si="5"/>
        <v>89</v>
      </c>
      <c r="H324" s="4">
        <v>9</v>
      </c>
    </row>
    <row r="325" spans="1:8" ht="15.6">
      <c r="A325" s="4" t="s">
        <v>379</v>
      </c>
      <c r="B325" s="5">
        <v>45128.150316860403</v>
      </c>
      <c r="C325" s="5">
        <v>45130.675368706703</v>
      </c>
      <c r="D325" s="4" t="s">
        <v>98</v>
      </c>
      <c r="E325" s="4" t="s">
        <v>380</v>
      </c>
      <c r="F325" s="4" t="s">
        <v>122</v>
      </c>
      <c r="G325" s="4">
        <f t="shared" ca="1" si="5"/>
        <v>18</v>
      </c>
      <c r="H325" s="4">
        <v>3</v>
      </c>
    </row>
    <row r="326" spans="1:8" ht="15.6">
      <c r="A326" s="4" t="s">
        <v>381</v>
      </c>
      <c r="B326" s="5">
        <v>45093.752591561897</v>
      </c>
      <c r="C326" s="5">
        <v>45099.352632813498</v>
      </c>
      <c r="D326" s="4" t="s">
        <v>98</v>
      </c>
      <c r="E326" s="4" t="s">
        <v>382</v>
      </c>
      <c r="F326" s="4" t="s">
        <v>131</v>
      </c>
      <c r="G326" s="4">
        <f t="shared" ca="1" si="5"/>
        <v>71</v>
      </c>
      <c r="H326" s="4">
        <v>2</v>
      </c>
    </row>
    <row r="327" spans="1:8" ht="15.6">
      <c r="A327" s="4" t="s">
        <v>383</v>
      </c>
      <c r="B327" s="5">
        <v>44466.0162827432</v>
      </c>
      <c r="C327" s="5">
        <v>44471.363192394798</v>
      </c>
      <c r="D327" s="4" t="s">
        <v>98</v>
      </c>
      <c r="E327" s="4" t="s">
        <v>181</v>
      </c>
      <c r="F327" s="4" t="s">
        <v>111</v>
      </c>
      <c r="G327" s="4">
        <f t="shared" ca="1" si="5"/>
        <v>14</v>
      </c>
      <c r="H327" s="4">
        <v>6</v>
      </c>
    </row>
    <row r="328" spans="1:8" ht="15.6">
      <c r="A328" s="4" t="s">
        <v>384</v>
      </c>
      <c r="B328" s="5">
        <v>44340.800021135998</v>
      </c>
      <c r="C328" s="5">
        <v>44345.363083285498</v>
      </c>
      <c r="D328" s="4" t="s">
        <v>98</v>
      </c>
      <c r="E328" s="4" t="s">
        <v>385</v>
      </c>
      <c r="F328" s="4" t="s">
        <v>111</v>
      </c>
      <c r="G328" s="4">
        <f t="shared" ca="1" si="5"/>
        <v>83</v>
      </c>
      <c r="H328" s="4">
        <v>4</v>
      </c>
    </row>
    <row r="329" spans="1:8" ht="15.6">
      <c r="A329" s="4" t="s">
        <v>386</v>
      </c>
      <c r="B329" s="5">
        <v>44413.483677518299</v>
      </c>
      <c r="C329" s="5">
        <v>44419.814027755499</v>
      </c>
      <c r="D329" s="4" t="s">
        <v>94</v>
      </c>
      <c r="E329" s="4" t="s">
        <v>387</v>
      </c>
      <c r="F329" s="4" t="s">
        <v>112</v>
      </c>
      <c r="G329" s="4">
        <f t="shared" ca="1" si="5"/>
        <v>30</v>
      </c>
      <c r="H329" s="4">
        <v>9</v>
      </c>
    </row>
    <row r="330" spans="1:8" ht="15.6">
      <c r="A330" s="4" t="s">
        <v>388</v>
      </c>
      <c r="B330" s="5">
        <v>44946.148616881401</v>
      </c>
      <c r="C330" s="5">
        <v>44948.051993553097</v>
      </c>
      <c r="D330" s="4" t="s">
        <v>114</v>
      </c>
      <c r="E330" s="4" t="s">
        <v>207</v>
      </c>
      <c r="F330" s="4" t="s">
        <v>100</v>
      </c>
      <c r="G330" s="4">
        <f t="shared" ca="1" si="5"/>
        <v>15</v>
      </c>
      <c r="H330" s="4">
        <v>4</v>
      </c>
    </row>
    <row r="331" spans="1:8" ht="15.6">
      <c r="A331" s="4" t="s">
        <v>389</v>
      </c>
      <c r="B331" s="5">
        <v>45183.015563020599</v>
      </c>
      <c r="C331" s="5">
        <v>45188.652310069701</v>
      </c>
      <c r="D331" s="4" t="s">
        <v>94</v>
      </c>
      <c r="E331" s="4" t="s">
        <v>390</v>
      </c>
      <c r="F331" s="4" t="s">
        <v>96</v>
      </c>
      <c r="G331" s="4">
        <f t="shared" ca="1" si="5"/>
        <v>36</v>
      </c>
      <c r="H331" s="4">
        <v>2</v>
      </c>
    </row>
    <row r="332" spans="1:8" ht="15.6">
      <c r="A332" s="4" t="s">
        <v>389</v>
      </c>
      <c r="B332" s="5">
        <v>45183.142599435203</v>
      </c>
      <c r="C332" s="5">
        <v>45188.870494549999</v>
      </c>
      <c r="D332" s="4" t="s">
        <v>94</v>
      </c>
      <c r="E332" s="4" t="s">
        <v>390</v>
      </c>
      <c r="F332" s="4" t="s">
        <v>144</v>
      </c>
      <c r="G332" s="4">
        <f t="shared" ca="1" si="5"/>
        <v>20</v>
      </c>
      <c r="H332" s="4">
        <v>11</v>
      </c>
    </row>
    <row r="333" spans="1:8" ht="15.6">
      <c r="A333" s="4" t="s">
        <v>389</v>
      </c>
      <c r="B333" s="5">
        <v>45183.513405772101</v>
      </c>
      <c r="C333" s="5">
        <v>45188.178451804102</v>
      </c>
      <c r="D333" s="4" t="s">
        <v>94</v>
      </c>
      <c r="E333" s="4" t="s">
        <v>390</v>
      </c>
      <c r="F333" s="4" t="s">
        <v>106</v>
      </c>
      <c r="G333" s="4">
        <f t="shared" ca="1" si="5"/>
        <v>76</v>
      </c>
      <c r="H333" s="4">
        <v>8</v>
      </c>
    </row>
    <row r="334" spans="1:8" ht="15.6">
      <c r="A334" s="4" t="s">
        <v>391</v>
      </c>
      <c r="B334" s="5">
        <v>44947.103261326403</v>
      </c>
      <c r="C334" s="5">
        <v>44951.9996200557</v>
      </c>
      <c r="D334" s="4" t="s">
        <v>98</v>
      </c>
      <c r="E334" s="4" t="s">
        <v>392</v>
      </c>
      <c r="F334" s="4" t="s">
        <v>122</v>
      </c>
      <c r="G334" s="4">
        <f t="shared" ca="1" si="5"/>
        <v>19</v>
      </c>
      <c r="H334" s="4">
        <v>2</v>
      </c>
    </row>
    <row r="335" spans="1:8" ht="15.6">
      <c r="A335" s="4" t="s">
        <v>393</v>
      </c>
      <c r="B335" s="5">
        <v>44232.976260765201</v>
      </c>
      <c r="C335" s="5">
        <v>44239.578420174599</v>
      </c>
      <c r="D335" s="4" t="s">
        <v>98</v>
      </c>
      <c r="E335" s="4" t="s">
        <v>385</v>
      </c>
      <c r="F335" s="4" t="s">
        <v>111</v>
      </c>
      <c r="G335" s="4">
        <f t="shared" ca="1" si="5"/>
        <v>49</v>
      </c>
      <c r="H335" s="4">
        <v>3</v>
      </c>
    </row>
    <row r="336" spans="1:8" ht="15.6">
      <c r="A336" s="4" t="s">
        <v>393</v>
      </c>
      <c r="B336" s="5">
        <v>44232.341703778096</v>
      </c>
      <c r="C336" s="5">
        <v>44239.399520636398</v>
      </c>
      <c r="D336" s="4" t="s">
        <v>98</v>
      </c>
      <c r="E336" s="4" t="s">
        <v>385</v>
      </c>
      <c r="F336" s="4" t="s">
        <v>118</v>
      </c>
      <c r="G336" s="4">
        <f t="shared" ca="1" si="5"/>
        <v>87</v>
      </c>
      <c r="H336" s="4">
        <v>1</v>
      </c>
    </row>
    <row r="337" spans="1:8" ht="15.6">
      <c r="A337" s="4" t="s">
        <v>394</v>
      </c>
      <c r="B337" s="5">
        <v>45275.471856522803</v>
      </c>
      <c r="C337" s="5">
        <v>45280.134717105102</v>
      </c>
      <c r="D337" s="4" t="s">
        <v>98</v>
      </c>
      <c r="E337" s="4" t="s">
        <v>361</v>
      </c>
      <c r="F337" s="4" t="s">
        <v>121</v>
      </c>
      <c r="G337" s="4">
        <f t="shared" ca="1" si="5"/>
        <v>20</v>
      </c>
      <c r="H337" s="4">
        <v>5</v>
      </c>
    </row>
    <row r="338" spans="1:8" ht="15.6">
      <c r="A338" s="4" t="s">
        <v>394</v>
      </c>
      <c r="B338" s="5">
        <v>45275.553836069797</v>
      </c>
      <c r="C338" s="5">
        <v>45280.526580169899</v>
      </c>
      <c r="D338" s="4" t="s">
        <v>98</v>
      </c>
      <c r="E338" s="4" t="s">
        <v>361</v>
      </c>
      <c r="F338" s="4" t="s">
        <v>110</v>
      </c>
      <c r="G338" s="4">
        <f t="shared" ca="1" si="5"/>
        <v>80</v>
      </c>
      <c r="H338" s="4">
        <v>4</v>
      </c>
    </row>
    <row r="339" spans="1:8" ht="15.6">
      <c r="A339" s="4" t="s">
        <v>395</v>
      </c>
      <c r="B339" s="5">
        <v>44320.885319733701</v>
      </c>
      <c r="C339" s="5">
        <v>44324.510005757402</v>
      </c>
      <c r="D339" s="4" t="s">
        <v>94</v>
      </c>
      <c r="E339" s="4" t="s">
        <v>264</v>
      </c>
      <c r="F339" s="4" t="s">
        <v>111</v>
      </c>
      <c r="G339" s="4">
        <f t="shared" ca="1" si="5"/>
        <v>63</v>
      </c>
      <c r="H339" s="4">
        <v>3</v>
      </c>
    </row>
    <row r="340" spans="1:8" ht="15.6">
      <c r="A340" s="4" t="s">
        <v>395</v>
      </c>
      <c r="B340" s="5">
        <v>44320.3222300536</v>
      </c>
      <c r="C340" s="5">
        <v>44324.659323858301</v>
      </c>
      <c r="D340" s="4" t="s">
        <v>94</v>
      </c>
      <c r="E340" s="4" t="s">
        <v>264</v>
      </c>
      <c r="F340" s="4" t="s">
        <v>135</v>
      </c>
      <c r="G340" s="4">
        <f t="shared" ca="1" si="5"/>
        <v>31</v>
      </c>
      <c r="H340" s="4">
        <v>9</v>
      </c>
    </row>
    <row r="341" spans="1:8" ht="15.6">
      <c r="A341" s="4" t="s">
        <v>395</v>
      </c>
      <c r="B341" s="5">
        <v>44320.707521321703</v>
      </c>
      <c r="C341" s="5">
        <v>44324.504608068703</v>
      </c>
      <c r="D341" s="4" t="s">
        <v>94</v>
      </c>
      <c r="E341" s="4" t="s">
        <v>264</v>
      </c>
      <c r="F341" s="4" t="s">
        <v>101</v>
      </c>
      <c r="G341" s="4">
        <f t="shared" ca="1" si="5"/>
        <v>88</v>
      </c>
      <c r="H341" s="4">
        <v>3</v>
      </c>
    </row>
    <row r="342" spans="1:8" ht="15.6">
      <c r="A342" s="4" t="s">
        <v>395</v>
      </c>
      <c r="B342" s="5">
        <v>44320.831637102099</v>
      </c>
      <c r="C342" s="5">
        <v>44324.754024542803</v>
      </c>
      <c r="D342" s="4" t="s">
        <v>94</v>
      </c>
      <c r="E342" s="4" t="s">
        <v>264</v>
      </c>
      <c r="F342" s="4" t="s">
        <v>112</v>
      </c>
      <c r="G342" s="4">
        <f t="shared" ca="1" si="5"/>
        <v>16</v>
      </c>
      <c r="H342" s="4">
        <v>3</v>
      </c>
    </row>
    <row r="343" spans="1:8" ht="15.6">
      <c r="A343" s="4" t="s">
        <v>395</v>
      </c>
      <c r="B343" s="5">
        <v>44320.128141408699</v>
      </c>
      <c r="C343" s="5">
        <v>44324.6155610844</v>
      </c>
      <c r="D343" s="4" t="s">
        <v>94</v>
      </c>
      <c r="E343" s="4" t="s">
        <v>264</v>
      </c>
      <c r="F343" s="4" t="s">
        <v>130</v>
      </c>
      <c r="G343" s="4">
        <f t="shared" ca="1" si="5"/>
        <v>56</v>
      </c>
      <c r="H343" s="4">
        <v>5</v>
      </c>
    </row>
    <row r="344" spans="1:8" ht="15.6">
      <c r="A344" s="4" t="s">
        <v>396</v>
      </c>
      <c r="B344" s="5">
        <v>45136.841144807098</v>
      </c>
      <c r="C344" s="5">
        <v>45138.663469012303</v>
      </c>
      <c r="D344" s="4" t="s">
        <v>94</v>
      </c>
      <c r="E344" s="4" t="s">
        <v>397</v>
      </c>
      <c r="F344" s="4" t="s">
        <v>106</v>
      </c>
      <c r="G344" s="4">
        <f t="shared" ca="1" si="5"/>
        <v>36</v>
      </c>
      <c r="H344" s="4">
        <v>1</v>
      </c>
    </row>
    <row r="345" spans="1:8" ht="15.6">
      <c r="A345" s="4" t="s">
        <v>398</v>
      </c>
      <c r="B345" s="5">
        <v>45243.616582745701</v>
      </c>
      <c r="C345" s="5">
        <v>45249.347047122297</v>
      </c>
      <c r="D345" s="4" t="s">
        <v>94</v>
      </c>
      <c r="E345" s="4" t="s">
        <v>148</v>
      </c>
      <c r="F345" s="4" t="s">
        <v>122</v>
      </c>
      <c r="G345" s="4">
        <f t="shared" ca="1" si="5"/>
        <v>77</v>
      </c>
      <c r="H345" s="4">
        <v>2</v>
      </c>
    </row>
    <row r="346" spans="1:8" ht="15.6">
      <c r="A346" s="4" t="s">
        <v>398</v>
      </c>
      <c r="B346" s="5">
        <v>45243.821600453797</v>
      </c>
      <c r="C346" s="5">
        <v>45249.141071885497</v>
      </c>
      <c r="D346" s="4" t="s">
        <v>94</v>
      </c>
      <c r="E346" s="4" t="s">
        <v>148</v>
      </c>
      <c r="F346" s="4" t="s">
        <v>112</v>
      </c>
      <c r="G346" s="4">
        <f t="shared" ca="1" si="5"/>
        <v>72</v>
      </c>
      <c r="H346" s="4">
        <v>5</v>
      </c>
    </row>
    <row r="347" spans="1:8" ht="15.6">
      <c r="A347" s="4" t="s">
        <v>398</v>
      </c>
      <c r="B347" s="5">
        <v>45243.494883494401</v>
      </c>
      <c r="C347" s="5">
        <v>45249.758993252399</v>
      </c>
      <c r="D347" s="4" t="s">
        <v>94</v>
      </c>
      <c r="E347" s="4" t="s">
        <v>148</v>
      </c>
      <c r="F347" s="4" t="s">
        <v>111</v>
      </c>
      <c r="G347" s="4">
        <f t="shared" ca="1" si="5"/>
        <v>13</v>
      </c>
      <c r="H347" s="4">
        <v>2</v>
      </c>
    </row>
    <row r="348" spans="1:8" ht="15.6">
      <c r="A348" s="4" t="s">
        <v>399</v>
      </c>
      <c r="B348" s="5">
        <v>44644.703568302903</v>
      </c>
      <c r="C348" s="5">
        <v>44646.099310477897</v>
      </c>
      <c r="D348" s="4" t="s">
        <v>98</v>
      </c>
      <c r="E348" s="4" t="s">
        <v>400</v>
      </c>
      <c r="F348" s="4" t="s">
        <v>130</v>
      </c>
      <c r="G348" s="4">
        <f t="shared" ca="1" si="5"/>
        <v>82</v>
      </c>
      <c r="H348" s="4">
        <v>3</v>
      </c>
    </row>
    <row r="349" spans="1:8" ht="15.6">
      <c r="A349" s="4" t="s">
        <v>399</v>
      </c>
      <c r="B349" s="5">
        <v>44644.213159010302</v>
      </c>
      <c r="C349" s="5">
        <v>44646.6055654757</v>
      </c>
      <c r="D349" s="4" t="s">
        <v>98</v>
      </c>
      <c r="E349" s="4" t="s">
        <v>400</v>
      </c>
      <c r="F349" s="4" t="s">
        <v>109</v>
      </c>
      <c r="G349" s="4">
        <f t="shared" ca="1" si="5"/>
        <v>19</v>
      </c>
      <c r="H349" s="4">
        <v>2</v>
      </c>
    </row>
    <row r="350" spans="1:8" ht="15.6">
      <c r="A350" s="4" t="s">
        <v>401</v>
      </c>
      <c r="B350" s="5">
        <v>45065.933352296401</v>
      </c>
      <c r="C350" s="5">
        <v>45070.288141358396</v>
      </c>
      <c r="D350" s="4" t="s">
        <v>114</v>
      </c>
      <c r="E350" s="4" t="s">
        <v>286</v>
      </c>
      <c r="F350" s="4" t="s">
        <v>101</v>
      </c>
      <c r="G350" s="4">
        <f t="shared" ca="1" si="5"/>
        <v>26</v>
      </c>
      <c r="H350" s="4">
        <v>3</v>
      </c>
    </row>
    <row r="351" spans="1:8" ht="15.6">
      <c r="A351" s="4" t="s">
        <v>401</v>
      </c>
      <c r="B351" s="5">
        <v>45065.454168028104</v>
      </c>
      <c r="C351" s="5">
        <v>45070.026972429398</v>
      </c>
      <c r="D351" s="4" t="s">
        <v>114</v>
      </c>
      <c r="E351" s="4" t="s">
        <v>286</v>
      </c>
      <c r="F351" s="4" t="s">
        <v>131</v>
      </c>
      <c r="G351" s="4">
        <f t="shared" ca="1" si="5"/>
        <v>27</v>
      </c>
      <c r="H351" s="4">
        <v>1</v>
      </c>
    </row>
    <row r="352" spans="1:8" ht="15.6">
      <c r="A352" s="4" t="s">
        <v>402</v>
      </c>
      <c r="B352" s="5">
        <v>44197.148533271698</v>
      </c>
      <c r="C352" s="5">
        <v>44201.2821460458</v>
      </c>
      <c r="D352" s="4" t="s">
        <v>94</v>
      </c>
      <c r="E352" s="4" t="s">
        <v>403</v>
      </c>
      <c r="F352" s="4" t="s">
        <v>130</v>
      </c>
      <c r="G352" s="4">
        <f t="shared" ca="1" si="5"/>
        <v>61</v>
      </c>
      <c r="H352" s="4">
        <v>6</v>
      </c>
    </row>
    <row r="353" spans="1:8" ht="15.6">
      <c r="A353" s="4" t="s">
        <v>402</v>
      </c>
      <c r="B353" s="5">
        <v>44197.998451218999</v>
      </c>
      <c r="C353" s="5">
        <v>44201.531760691803</v>
      </c>
      <c r="D353" s="4" t="s">
        <v>94</v>
      </c>
      <c r="E353" s="4" t="s">
        <v>403</v>
      </c>
      <c r="F353" s="4" t="s">
        <v>112</v>
      </c>
      <c r="G353" s="4">
        <f t="shared" ca="1" si="5"/>
        <v>69</v>
      </c>
      <c r="H353" s="4">
        <v>2</v>
      </c>
    </row>
    <row r="354" spans="1:8" ht="15.6">
      <c r="A354" s="4" t="s">
        <v>402</v>
      </c>
      <c r="B354" s="5">
        <v>44197.915030033801</v>
      </c>
      <c r="C354" s="5">
        <v>44201.576982022802</v>
      </c>
      <c r="D354" s="4" t="s">
        <v>94</v>
      </c>
      <c r="E354" s="4" t="s">
        <v>403</v>
      </c>
      <c r="F354" s="4" t="s">
        <v>96</v>
      </c>
      <c r="G354" s="4">
        <f t="shared" ca="1" si="5"/>
        <v>72</v>
      </c>
      <c r="H354" s="4">
        <v>3</v>
      </c>
    </row>
    <row r="355" spans="1:8" ht="15.6">
      <c r="A355" s="4" t="s">
        <v>404</v>
      </c>
      <c r="B355" s="5">
        <v>45151.232519854602</v>
      </c>
      <c r="C355" s="5">
        <v>45156.985583516704</v>
      </c>
      <c r="D355" s="4" t="s">
        <v>94</v>
      </c>
      <c r="E355" s="4" t="s">
        <v>105</v>
      </c>
      <c r="F355" s="4" t="s">
        <v>122</v>
      </c>
      <c r="G355" s="4">
        <f t="shared" ca="1" si="5"/>
        <v>90</v>
      </c>
      <c r="H355" s="4">
        <v>3</v>
      </c>
    </row>
    <row r="356" spans="1:8" ht="15.6">
      <c r="A356" s="4" t="s">
        <v>405</v>
      </c>
      <c r="B356" s="5">
        <v>44630.183929682797</v>
      </c>
      <c r="C356" s="5">
        <v>44635.305499334201</v>
      </c>
      <c r="D356" s="4" t="s">
        <v>94</v>
      </c>
      <c r="E356" s="4" t="s">
        <v>297</v>
      </c>
      <c r="F356" s="4" t="s">
        <v>101</v>
      </c>
      <c r="G356" s="4">
        <f t="shared" ca="1" si="5"/>
        <v>10</v>
      </c>
      <c r="H356" s="4">
        <v>2</v>
      </c>
    </row>
    <row r="357" spans="1:8" ht="15.6">
      <c r="A357" s="4" t="s">
        <v>405</v>
      </c>
      <c r="B357" s="5">
        <v>44630.118426217297</v>
      </c>
      <c r="C357" s="5">
        <v>44635.537895920403</v>
      </c>
      <c r="D357" s="4" t="s">
        <v>94</v>
      </c>
      <c r="E357" s="4" t="s">
        <v>297</v>
      </c>
      <c r="F357" s="4" t="s">
        <v>141</v>
      </c>
      <c r="G357" s="4">
        <f t="shared" ca="1" si="5"/>
        <v>15</v>
      </c>
      <c r="H357" s="4">
        <v>7</v>
      </c>
    </row>
    <row r="358" spans="1:8" ht="15.6">
      <c r="A358" s="4" t="s">
        <v>405</v>
      </c>
      <c r="B358" s="5">
        <v>44630.844483430898</v>
      </c>
      <c r="C358" s="5">
        <v>44635.949669502399</v>
      </c>
      <c r="D358" s="4" t="s">
        <v>94</v>
      </c>
      <c r="E358" s="4" t="s">
        <v>297</v>
      </c>
      <c r="F358" s="4" t="s">
        <v>130</v>
      </c>
      <c r="G358" s="4">
        <f t="shared" ca="1" si="5"/>
        <v>74</v>
      </c>
      <c r="H358" s="4">
        <v>5</v>
      </c>
    </row>
    <row r="359" spans="1:8" ht="15.6">
      <c r="A359" s="4" t="s">
        <v>405</v>
      </c>
      <c r="B359" s="5">
        <v>44630.111958979003</v>
      </c>
      <c r="C359" s="5">
        <v>44635.733453016903</v>
      </c>
      <c r="D359" s="4" t="s">
        <v>94</v>
      </c>
      <c r="E359" s="4" t="s">
        <v>297</v>
      </c>
      <c r="F359" s="4" t="s">
        <v>130</v>
      </c>
      <c r="G359" s="4">
        <f t="shared" ca="1" si="5"/>
        <v>66</v>
      </c>
      <c r="H359" s="4">
        <v>7</v>
      </c>
    </row>
    <row r="360" spans="1:8" ht="15.6">
      <c r="A360" s="4" t="s">
        <v>405</v>
      </c>
      <c r="B360" s="5">
        <v>44630.081255752797</v>
      </c>
      <c r="C360" s="5">
        <v>44635.472283039497</v>
      </c>
      <c r="D360" s="4" t="s">
        <v>94</v>
      </c>
      <c r="E360" s="4" t="s">
        <v>297</v>
      </c>
      <c r="F360" s="4" t="s">
        <v>101</v>
      </c>
      <c r="G360" s="4">
        <f t="shared" ca="1" si="5"/>
        <v>23</v>
      </c>
      <c r="H360" s="4">
        <v>2</v>
      </c>
    </row>
    <row r="361" spans="1:8" ht="15.6">
      <c r="A361" s="4" t="s">
        <v>405</v>
      </c>
      <c r="B361" s="5">
        <v>44630.456220407701</v>
      </c>
      <c r="C361" s="5">
        <v>44635.315493129099</v>
      </c>
      <c r="D361" s="4" t="s">
        <v>94</v>
      </c>
      <c r="E361" s="4" t="s">
        <v>297</v>
      </c>
      <c r="F361" s="4" t="s">
        <v>122</v>
      </c>
      <c r="G361" s="4">
        <f t="shared" ca="1" si="5"/>
        <v>99</v>
      </c>
      <c r="H361" s="4">
        <v>2</v>
      </c>
    </row>
    <row r="362" spans="1:8" ht="15.6">
      <c r="A362" s="4" t="s">
        <v>406</v>
      </c>
      <c r="B362" s="5">
        <v>44608.431819595899</v>
      </c>
      <c r="C362" s="5">
        <v>44612.888773459803</v>
      </c>
      <c r="D362" s="4" t="s">
        <v>94</v>
      </c>
      <c r="E362" s="4" t="s">
        <v>407</v>
      </c>
      <c r="F362" s="4" t="s">
        <v>125</v>
      </c>
      <c r="G362" s="4">
        <f t="shared" ca="1" si="5"/>
        <v>43</v>
      </c>
      <c r="H362" s="4">
        <v>5</v>
      </c>
    </row>
    <row r="363" spans="1:8" ht="15.6">
      <c r="A363" s="4" t="s">
        <v>408</v>
      </c>
      <c r="B363" s="5">
        <v>44950.5473631399</v>
      </c>
      <c r="C363" s="5">
        <v>44954.449790650797</v>
      </c>
      <c r="D363" s="4" t="s">
        <v>98</v>
      </c>
      <c r="E363" s="4" t="s">
        <v>409</v>
      </c>
      <c r="F363" s="4" t="s">
        <v>118</v>
      </c>
      <c r="G363" s="4">
        <f t="shared" ca="1" si="5"/>
        <v>40</v>
      </c>
      <c r="H363" s="4">
        <v>4</v>
      </c>
    </row>
    <row r="364" spans="1:8" ht="15.6">
      <c r="A364" s="4" t="s">
        <v>408</v>
      </c>
      <c r="B364" s="5">
        <v>44950.031207740401</v>
      </c>
      <c r="C364" s="5">
        <v>44954.506432960101</v>
      </c>
      <c r="D364" s="4" t="s">
        <v>98</v>
      </c>
      <c r="E364" s="4" t="s">
        <v>409</v>
      </c>
      <c r="F364" s="4" t="s">
        <v>141</v>
      </c>
      <c r="G364" s="4">
        <f t="shared" ca="1" si="5"/>
        <v>27</v>
      </c>
      <c r="H364" s="4">
        <v>3</v>
      </c>
    </row>
    <row r="365" spans="1:8" ht="15.6">
      <c r="A365" s="4" t="s">
        <v>410</v>
      </c>
      <c r="B365" s="5">
        <v>44935.432347177302</v>
      </c>
      <c r="C365" s="5">
        <v>44939.046545024103</v>
      </c>
      <c r="D365" s="4" t="s">
        <v>98</v>
      </c>
      <c r="E365" s="4" t="s">
        <v>411</v>
      </c>
      <c r="F365" s="4" t="s">
        <v>135</v>
      </c>
      <c r="G365" s="4">
        <f t="shared" ca="1" si="5"/>
        <v>48</v>
      </c>
      <c r="H365" s="4">
        <v>2</v>
      </c>
    </row>
    <row r="366" spans="1:8" ht="15.6">
      <c r="A366" s="4" t="s">
        <v>410</v>
      </c>
      <c r="B366" s="5">
        <v>44935.920282410603</v>
      </c>
      <c r="C366" s="5">
        <v>44939.0413747825</v>
      </c>
      <c r="D366" s="4" t="s">
        <v>98</v>
      </c>
      <c r="E366" s="4" t="s">
        <v>411</v>
      </c>
      <c r="F366" s="4" t="s">
        <v>100</v>
      </c>
      <c r="G366" s="4">
        <f t="shared" ca="1" si="5"/>
        <v>10</v>
      </c>
      <c r="H366" s="4">
        <v>2</v>
      </c>
    </row>
    <row r="367" spans="1:8" ht="15.6">
      <c r="A367" s="4" t="s">
        <v>412</v>
      </c>
      <c r="B367" s="5">
        <v>44454.575170470896</v>
      </c>
      <c r="C367" s="5">
        <v>44459.875001835302</v>
      </c>
      <c r="D367" s="4" t="s">
        <v>98</v>
      </c>
      <c r="E367" s="4" t="s">
        <v>152</v>
      </c>
      <c r="F367" s="4" t="s">
        <v>112</v>
      </c>
      <c r="G367" s="4">
        <f t="shared" ca="1" si="5"/>
        <v>13</v>
      </c>
      <c r="H367" s="4">
        <v>1</v>
      </c>
    </row>
    <row r="368" spans="1:8" ht="15.6">
      <c r="A368" s="4" t="s">
        <v>413</v>
      </c>
      <c r="B368" s="5">
        <v>44602.240770617398</v>
      </c>
      <c r="C368" s="5">
        <v>44606.050624217802</v>
      </c>
      <c r="D368" s="4" t="s">
        <v>94</v>
      </c>
      <c r="E368" s="4" t="s">
        <v>160</v>
      </c>
      <c r="F368" s="4" t="s">
        <v>106</v>
      </c>
      <c r="G368" s="4">
        <f t="shared" ca="1" si="5"/>
        <v>57</v>
      </c>
      <c r="H368" s="4">
        <v>6</v>
      </c>
    </row>
    <row r="369" spans="1:8" ht="15.6">
      <c r="A369" s="4" t="s">
        <v>413</v>
      </c>
      <c r="B369" s="5">
        <v>44602.392210695303</v>
      </c>
      <c r="C369" s="5">
        <v>44606.722873764898</v>
      </c>
      <c r="D369" s="4" t="s">
        <v>94</v>
      </c>
      <c r="E369" s="4" t="s">
        <v>160</v>
      </c>
      <c r="F369" s="4" t="s">
        <v>101</v>
      </c>
      <c r="G369" s="4">
        <f t="shared" ca="1" si="5"/>
        <v>86</v>
      </c>
      <c r="H369" s="4">
        <v>8</v>
      </c>
    </row>
    <row r="370" spans="1:8" ht="15.6">
      <c r="A370" s="4" t="s">
        <v>413</v>
      </c>
      <c r="B370" s="5">
        <v>44602.595195670503</v>
      </c>
      <c r="C370" s="5">
        <v>44606.702506124901</v>
      </c>
      <c r="D370" s="4" t="s">
        <v>94</v>
      </c>
      <c r="E370" s="4" t="s">
        <v>160</v>
      </c>
      <c r="F370" s="4" t="s">
        <v>100</v>
      </c>
      <c r="G370" s="4">
        <f t="shared" ca="1" si="5"/>
        <v>59</v>
      </c>
      <c r="H370" s="4">
        <v>4</v>
      </c>
    </row>
    <row r="371" spans="1:8" ht="15.6">
      <c r="A371" s="4" t="s">
        <v>413</v>
      </c>
      <c r="B371" s="5">
        <v>44602.788293063903</v>
      </c>
      <c r="C371" s="5">
        <v>44606.444189589398</v>
      </c>
      <c r="D371" s="4" t="s">
        <v>94</v>
      </c>
      <c r="E371" s="4" t="s">
        <v>160</v>
      </c>
      <c r="F371" s="4" t="s">
        <v>100</v>
      </c>
      <c r="G371" s="4">
        <f t="shared" ca="1" si="5"/>
        <v>66</v>
      </c>
      <c r="H371" s="4">
        <v>2</v>
      </c>
    </row>
    <row r="372" spans="1:8" ht="15.6">
      <c r="A372" s="4" t="s">
        <v>414</v>
      </c>
      <c r="B372" s="5">
        <v>45094.979580628598</v>
      </c>
      <c r="C372" s="5">
        <v>45098.132566457098</v>
      </c>
      <c r="D372" s="4" t="s">
        <v>98</v>
      </c>
      <c r="E372" s="4" t="s">
        <v>95</v>
      </c>
      <c r="F372" s="4" t="s">
        <v>101</v>
      </c>
      <c r="G372" s="4">
        <f t="shared" ca="1" si="5"/>
        <v>17</v>
      </c>
      <c r="H372" s="4">
        <v>4</v>
      </c>
    </row>
    <row r="373" spans="1:8" ht="15.6">
      <c r="A373" s="4" t="s">
        <v>414</v>
      </c>
      <c r="B373" s="5">
        <v>45094.699115262098</v>
      </c>
      <c r="C373" s="5">
        <v>45098.565686845097</v>
      </c>
      <c r="D373" s="4" t="s">
        <v>98</v>
      </c>
      <c r="E373" s="4" t="s">
        <v>95</v>
      </c>
      <c r="F373" s="4" t="s">
        <v>109</v>
      </c>
      <c r="G373" s="4">
        <f t="shared" ca="1" si="5"/>
        <v>95</v>
      </c>
      <c r="H373" s="4">
        <v>3</v>
      </c>
    </row>
    <row r="374" spans="1:8" ht="15.6">
      <c r="A374" s="4" t="s">
        <v>415</v>
      </c>
      <c r="B374" s="5">
        <v>44298.631990569003</v>
      </c>
      <c r="C374" s="5">
        <v>44300.892265217801</v>
      </c>
      <c r="D374" s="4" t="s">
        <v>98</v>
      </c>
      <c r="E374" s="4" t="s">
        <v>416</v>
      </c>
      <c r="F374" s="4" t="s">
        <v>110</v>
      </c>
      <c r="G374" s="4">
        <f t="shared" ca="1" si="5"/>
        <v>97</v>
      </c>
      <c r="H374" s="4">
        <v>3</v>
      </c>
    </row>
    <row r="375" spans="1:8" ht="15.6">
      <c r="A375" s="4" t="s">
        <v>415</v>
      </c>
      <c r="B375" s="5">
        <v>44298.504095475197</v>
      </c>
      <c r="C375" s="5">
        <v>44300.741552968902</v>
      </c>
      <c r="D375" s="4" t="s">
        <v>98</v>
      </c>
      <c r="E375" s="4" t="s">
        <v>416</v>
      </c>
      <c r="F375" s="4" t="s">
        <v>101</v>
      </c>
      <c r="G375" s="4">
        <f t="shared" ca="1" si="5"/>
        <v>68</v>
      </c>
      <c r="H375" s="4">
        <v>3</v>
      </c>
    </row>
    <row r="376" spans="1:8" ht="15.6">
      <c r="A376" s="4" t="s">
        <v>415</v>
      </c>
      <c r="B376" s="5">
        <v>44298.750811755199</v>
      </c>
      <c r="C376" s="5">
        <v>44300.2978958737</v>
      </c>
      <c r="D376" s="4" t="s">
        <v>98</v>
      </c>
      <c r="E376" s="4" t="s">
        <v>416</v>
      </c>
      <c r="F376" s="4" t="s">
        <v>135</v>
      </c>
      <c r="G376" s="4">
        <f t="shared" ca="1" si="5"/>
        <v>28</v>
      </c>
      <c r="H376" s="4">
        <v>3</v>
      </c>
    </row>
    <row r="377" spans="1:8" ht="15.6">
      <c r="A377" s="4" t="s">
        <v>417</v>
      </c>
      <c r="B377" s="5">
        <v>45264.5420741907</v>
      </c>
      <c r="C377" s="5">
        <v>45268.755128700403</v>
      </c>
      <c r="D377" s="4" t="s">
        <v>98</v>
      </c>
      <c r="E377" s="4" t="s">
        <v>418</v>
      </c>
      <c r="F377" s="4" t="s">
        <v>121</v>
      </c>
      <c r="G377" s="4">
        <f t="shared" ca="1" si="5"/>
        <v>91</v>
      </c>
      <c r="H377" s="4">
        <v>2</v>
      </c>
    </row>
    <row r="378" spans="1:8" ht="15.6">
      <c r="A378" s="4" t="s">
        <v>419</v>
      </c>
      <c r="B378" s="5">
        <v>45284.663632334101</v>
      </c>
      <c r="C378" s="5">
        <v>45289.626260028599</v>
      </c>
      <c r="D378" s="4" t="s">
        <v>94</v>
      </c>
      <c r="E378" s="4" t="s">
        <v>411</v>
      </c>
      <c r="F378" s="4" t="s">
        <v>121</v>
      </c>
      <c r="G378" s="4">
        <f t="shared" ca="1" si="5"/>
        <v>36</v>
      </c>
      <c r="H378" s="4">
        <v>2</v>
      </c>
    </row>
    <row r="379" spans="1:8" ht="15.6">
      <c r="A379" s="4" t="s">
        <v>419</v>
      </c>
      <c r="B379" s="5">
        <v>45284.408462945903</v>
      </c>
      <c r="C379" s="5">
        <v>45289.297933305301</v>
      </c>
      <c r="D379" s="4" t="s">
        <v>94</v>
      </c>
      <c r="E379" s="4" t="s">
        <v>411</v>
      </c>
      <c r="F379" s="4" t="s">
        <v>101</v>
      </c>
      <c r="G379" s="4">
        <f t="shared" ca="1" si="5"/>
        <v>43</v>
      </c>
      <c r="H379" s="4">
        <v>4</v>
      </c>
    </row>
    <row r="380" spans="1:8" ht="15.6">
      <c r="A380" s="4" t="s">
        <v>420</v>
      </c>
      <c r="B380" s="5">
        <v>44524.904687545401</v>
      </c>
      <c r="C380" s="5">
        <v>44528.285308695602</v>
      </c>
      <c r="D380" s="4" t="s">
        <v>114</v>
      </c>
      <c r="E380" s="4" t="s">
        <v>95</v>
      </c>
      <c r="F380" s="4" t="s">
        <v>112</v>
      </c>
      <c r="G380" s="4">
        <f t="shared" ca="1" si="5"/>
        <v>81</v>
      </c>
      <c r="H380" s="4">
        <v>5</v>
      </c>
    </row>
    <row r="381" spans="1:8" ht="15.6">
      <c r="A381" s="4" t="s">
        <v>421</v>
      </c>
      <c r="B381" s="5">
        <v>44200.295999547197</v>
      </c>
      <c r="C381" s="5">
        <v>44202.891261450997</v>
      </c>
      <c r="D381" s="4" t="s">
        <v>98</v>
      </c>
      <c r="E381" s="4" t="s">
        <v>134</v>
      </c>
      <c r="F381" s="4" t="s">
        <v>111</v>
      </c>
      <c r="G381" s="4">
        <f t="shared" ca="1" si="5"/>
        <v>67</v>
      </c>
      <c r="H381" s="4">
        <v>4</v>
      </c>
    </row>
    <row r="382" spans="1:8" ht="15.6">
      <c r="A382" s="4" t="s">
        <v>421</v>
      </c>
      <c r="B382" s="5">
        <v>44200.314594130403</v>
      </c>
      <c r="C382" s="5">
        <v>44202.439802729597</v>
      </c>
      <c r="D382" s="4" t="s">
        <v>98</v>
      </c>
      <c r="E382" s="4" t="s">
        <v>134</v>
      </c>
      <c r="F382" s="4" t="s">
        <v>131</v>
      </c>
      <c r="G382" s="4">
        <f t="shared" ca="1" si="5"/>
        <v>23</v>
      </c>
      <c r="H382" s="4">
        <v>2</v>
      </c>
    </row>
    <row r="383" spans="1:8" ht="15.6">
      <c r="A383" s="4" t="s">
        <v>421</v>
      </c>
      <c r="B383" s="5">
        <v>44200.166253147101</v>
      </c>
      <c r="C383" s="5">
        <v>44202.392380751196</v>
      </c>
      <c r="D383" s="4" t="s">
        <v>98</v>
      </c>
      <c r="E383" s="4" t="s">
        <v>134</v>
      </c>
      <c r="F383" s="4" t="s">
        <v>112</v>
      </c>
      <c r="G383" s="4">
        <f t="shared" ca="1" si="5"/>
        <v>42</v>
      </c>
      <c r="H383" s="4">
        <v>6</v>
      </c>
    </row>
    <row r="384" spans="1:8" ht="15.6">
      <c r="A384" s="4" t="s">
        <v>421</v>
      </c>
      <c r="B384" s="5">
        <v>44200.883060630302</v>
      </c>
      <c r="C384" s="5">
        <v>44202.475164343603</v>
      </c>
      <c r="D384" s="4" t="s">
        <v>98</v>
      </c>
      <c r="E384" s="4" t="s">
        <v>134</v>
      </c>
      <c r="F384" s="4" t="s">
        <v>96</v>
      </c>
      <c r="G384" s="4">
        <f t="shared" ca="1" si="5"/>
        <v>92</v>
      </c>
      <c r="H384" s="4">
        <v>3</v>
      </c>
    </row>
    <row r="385" spans="1:8" ht="15.6">
      <c r="A385" s="4" t="s">
        <v>421</v>
      </c>
      <c r="B385" s="5">
        <v>44200.488397329696</v>
      </c>
      <c r="C385" s="5">
        <v>44202.022787334899</v>
      </c>
      <c r="D385" s="4" t="s">
        <v>98</v>
      </c>
      <c r="E385" s="4" t="s">
        <v>134</v>
      </c>
      <c r="F385" s="4" t="s">
        <v>110</v>
      </c>
      <c r="G385" s="4">
        <f t="shared" ca="1" si="5"/>
        <v>55</v>
      </c>
      <c r="H385" s="4">
        <v>3</v>
      </c>
    </row>
    <row r="386" spans="1:8" ht="15.6">
      <c r="A386" s="4" t="s">
        <v>421</v>
      </c>
      <c r="B386" s="5">
        <v>44200.657985075799</v>
      </c>
      <c r="C386" s="5">
        <v>44202.597001828901</v>
      </c>
      <c r="D386" s="4" t="s">
        <v>98</v>
      </c>
      <c r="E386" s="4" t="s">
        <v>134</v>
      </c>
      <c r="F386" s="4" t="s">
        <v>101</v>
      </c>
      <c r="G386" s="4">
        <f t="shared" ref="G386:G449" ca="1" si="6">RANDBETWEEN(10,100)</f>
        <v>19</v>
      </c>
      <c r="H386" s="4">
        <v>4</v>
      </c>
    </row>
    <row r="387" spans="1:8" ht="15.6">
      <c r="A387" s="4" t="s">
        <v>421</v>
      </c>
      <c r="B387" s="5">
        <v>44200.260587739103</v>
      </c>
      <c r="C387" s="5">
        <v>44202.029851541498</v>
      </c>
      <c r="D387" s="4" t="s">
        <v>98</v>
      </c>
      <c r="E387" s="4" t="s">
        <v>134</v>
      </c>
      <c r="F387" s="4" t="s">
        <v>111</v>
      </c>
      <c r="G387" s="4">
        <f t="shared" ca="1" si="6"/>
        <v>27</v>
      </c>
      <c r="H387" s="4">
        <v>12</v>
      </c>
    </row>
    <row r="388" spans="1:8" ht="15.6">
      <c r="A388" s="4" t="s">
        <v>422</v>
      </c>
      <c r="B388" s="5">
        <v>44575.290397504701</v>
      </c>
      <c r="C388" s="5">
        <v>44579.997795120398</v>
      </c>
      <c r="D388" s="4" t="s">
        <v>98</v>
      </c>
      <c r="E388" s="4" t="s">
        <v>423</v>
      </c>
      <c r="F388" s="4" t="s">
        <v>131</v>
      </c>
      <c r="G388" s="4">
        <f t="shared" ca="1" si="6"/>
        <v>39</v>
      </c>
      <c r="H388" s="4">
        <v>4</v>
      </c>
    </row>
    <row r="389" spans="1:8" ht="15.6">
      <c r="A389" s="4" t="s">
        <v>422</v>
      </c>
      <c r="B389" s="5">
        <v>44575.333501225003</v>
      </c>
      <c r="C389" s="5">
        <v>44579.910289707899</v>
      </c>
      <c r="D389" s="4" t="s">
        <v>98</v>
      </c>
      <c r="E389" s="4" t="s">
        <v>423</v>
      </c>
      <c r="F389" s="4" t="s">
        <v>135</v>
      </c>
      <c r="G389" s="4">
        <f t="shared" ca="1" si="6"/>
        <v>50</v>
      </c>
      <c r="H389" s="4">
        <v>13</v>
      </c>
    </row>
    <row r="390" spans="1:8" ht="15.6">
      <c r="A390" s="4" t="s">
        <v>422</v>
      </c>
      <c r="B390" s="5">
        <v>44575.261166379198</v>
      </c>
      <c r="C390" s="5">
        <v>44579.862246925302</v>
      </c>
      <c r="D390" s="4" t="s">
        <v>98</v>
      </c>
      <c r="E390" s="4" t="s">
        <v>423</v>
      </c>
      <c r="F390" s="4" t="s">
        <v>101</v>
      </c>
      <c r="G390" s="4">
        <f t="shared" ca="1" si="6"/>
        <v>25</v>
      </c>
      <c r="H390" s="4">
        <v>2</v>
      </c>
    </row>
    <row r="391" spans="1:8" ht="15.6">
      <c r="A391" s="4" t="s">
        <v>424</v>
      </c>
      <c r="B391" s="5">
        <v>44676.518088310899</v>
      </c>
      <c r="C391" s="5">
        <v>44677.0129100337</v>
      </c>
      <c r="D391" s="4" t="s">
        <v>114</v>
      </c>
      <c r="E391" s="4" t="s">
        <v>425</v>
      </c>
      <c r="F391" s="4" t="s">
        <v>135</v>
      </c>
      <c r="G391" s="4">
        <f t="shared" ca="1" si="6"/>
        <v>41</v>
      </c>
      <c r="H391" s="4">
        <v>3</v>
      </c>
    </row>
    <row r="392" spans="1:8" ht="15.6">
      <c r="A392" s="4" t="s">
        <v>424</v>
      </c>
      <c r="B392" s="5">
        <v>44676.340463680302</v>
      </c>
      <c r="C392" s="5">
        <v>44677.5101401188</v>
      </c>
      <c r="D392" s="4" t="s">
        <v>114</v>
      </c>
      <c r="E392" s="4" t="s">
        <v>425</v>
      </c>
      <c r="F392" s="4" t="s">
        <v>110</v>
      </c>
      <c r="G392" s="4">
        <f t="shared" ca="1" si="6"/>
        <v>83</v>
      </c>
      <c r="H392" s="4">
        <v>2</v>
      </c>
    </row>
    <row r="393" spans="1:8" ht="15.6">
      <c r="A393" s="4" t="s">
        <v>426</v>
      </c>
      <c r="B393" s="5">
        <v>45201.993667452298</v>
      </c>
      <c r="C393" s="5">
        <v>45206.588055923698</v>
      </c>
      <c r="D393" s="4" t="s">
        <v>98</v>
      </c>
      <c r="E393" s="4" t="s">
        <v>427</v>
      </c>
      <c r="F393" s="4" t="s">
        <v>125</v>
      </c>
      <c r="G393" s="4">
        <f t="shared" ca="1" si="6"/>
        <v>75</v>
      </c>
      <c r="H393" s="4">
        <v>5</v>
      </c>
    </row>
    <row r="394" spans="1:8" ht="15.6">
      <c r="A394" s="4" t="s">
        <v>428</v>
      </c>
      <c r="B394" s="5">
        <v>44956.057088647503</v>
      </c>
      <c r="C394" s="5">
        <v>44960.532819197899</v>
      </c>
      <c r="D394" s="4" t="s">
        <v>98</v>
      </c>
      <c r="E394" s="4" t="s">
        <v>429</v>
      </c>
      <c r="F394" s="4" t="s">
        <v>106</v>
      </c>
      <c r="G394" s="4">
        <f t="shared" ca="1" si="6"/>
        <v>61</v>
      </c>
      <c r="H394" s="4">
        <v>4</v>
      </c>
    </row>
    <row r="395" spans="1:8" ht="15.6">
      <c r="A395" s="4" t="s">
        <v>428</v>
      </c>
      <c r="B395" s="5">
        <v>44956.919711691997</v>
      </c>
      <c r="C395" s="5">
        <v>44960.088271951303</v>
      </c>
      <c r="D395" s="4" t="s">
        <v>98</v>
      </c>
      <c r="E395" s="4" t="s">
        <v>429</v>
      </c>
      <c r="F395" s="4" t="s">
        <v>130</v>
      </c>
      <c r="G395" s="4">
        <f t="shared" ca="1" si="6"/>
        <v>31</v>
      </c>
      <c r="H395" s="4">
        <v>2</v>
      </c>
    </row>
    <row r="396" spans="1:8" ht="15.6">
      <c r="A396" s="4" t="s">
        <v>430</v>
      </c>
      <c r="B396" s="5">
        <v>44272.383981469502</v>
      </c>
      <c r="C396" s="5">
        <v>44277.649687336198</v>
      </c>
      <c r="D396" s="4" t="s">
        <v>98</v>
      </c>
      <c r="E396" s="4" t="s">
        <v>216</v>
      </c>
      <c r="F396" s="4" t="s">
        <v>110</v>
      </c>
      <c r="G396" s="4">
        <f t="shared" ca="1" si="6"/>
        <v>95</v>
      </c>
      <c r="H396" s="4">
        <v>6</v>
      </c>
    </row>
    <row r="397" spans="1:8" ht="15.6">
      <c r="A397" s="4" t="s">
        <v>430</v>
      </c>
      <c r="B397" s="5">
        <v>44272.495873320397</v>
      </c>
      <c r="C397" s="5">
        <v>44277.125867274597</v>
      </c>
      <c r="D397" s="4" t="s">
        <v>98</v>
      </c>
      <c r="E397" s="4" t="s">
        <v>216</v>
      </c>
      <c r="F397" s="4" t="s">
        <v>101</v>
      </c>
      <c r="G397" s="4">
        <f t="shared" ca="1" si="6"/>
        <v>58</v>
      </c>
      <c r="H397" s="4">
        <v>2</v>
      </c>
    </row>
    <row r="398" spans="1:8" ht="15.6">
      <c r="A398" s="4" t="s">
        <v>431</v>
      </c>
      <c r="B398" s="5">
        <v>44647.5412784894</v>
      </c>
      <c r="C398" s="5">
        <v>44651.345290277997</v>
      </c>
      <c r="D398" s="4" t="s">
        <v>114</v>
      </c>
      <c r="E398" s="4" t="s">
        <v>432</v>
      </c>
      <c r="F398" s="4" t="s">
        <v>110</v>
      </c>
      <c r="G398" s="4">
        <f t="shared" ca="1" si="6"/>
        <v>89</v>
      </c>
      <c r="H398" s="4">
        <v>10</v>
      </c>
    </row>
    <row r="399" spans="1:8" ht="15.6">
      <c r="A399" s="4" t="s">
        <v>433</v>
      </c>
      <c r="B399" s="5">
        <v>44302.678691384303</v>
      </c>
      <c r="C399" s="5">
        <v>44309.810106648198</v>
      </c>
      <c r="D399" s="4" t="s">
        <v>94</v>
      </c>
      <c r="E399" s="4" t="s">
        <v>361</v>
      </c>
      <c r="F399" s="4" t="s">
        <v>96</v>
      </c>
      <c r="G399" s="4">
        <f t="shared" ca="1" si="6"/>
        <v>87</v>
      </c>
      <c r="H399" s="4">
        <v>5</v>
      </c>
    </row>
    <row r="400" spans="1:8" ht="15.6">
      <c r="A400" s="4" t="s">
        <v>434</v>
      </c>
      <c r="B400" s="5">
        <v>44539.100507270101</v>
      </c>
      <c r="C400" s="5">
        <v>44544.676045349297</v>
      </c>
      <c r="D400" s="4" t="s">
        <v>114</v>
      </c>
      <c r="E400" s="4" t="s">
        <v>435</v>
      </c>
      <c r="F400" s="4" t="s">
        <v>141</v>
      </c>
      <c r="G400" s="4">
        <f t="shared" ca="1" si="6"/>
        <v>36</v>
      </c>
      <c r="H400" s="4">
        <v>7</v>
      </c>
    </row>
    <row r="401" spans="1:8" ht="15.6">
      <c r="A401" s="4" t="s">
        <v>434</v>
      </c>
      <c r="B401" s="5">
        <v>44539.457147907196</v>
      </c>
      <c r="C401" s="5">
        <v>44544.503062236399</v>
      </c>
      <c r="D401" s="4" t="s">
        <v>114</v>
      </c>
      <c r="E401" s="4" t="s">
        <v>435</v>
      </c>
      <c r="F401" s="4" t="s">
        <v>106</v>
      </c>
      <c r="G401" s="4">
        <f t="shared" ca="1" si="6"/>
        <v>31</v>
      </c>
      <c r="H401" s="4">
        <v>9</v>
      </c>
    </row>
    <row r="402" spans="1:8" ht="15.6">
      <c r="A402" s="4" t="s">
        <v>434</v>
      </c>
      <c r="B402" s="5">
        <v>44539.342765143403</v>
      </c>
      <c r="C402" s="5">
        <v>44544.554451813397</v>
      </c>
      <c r="D402" s="4" t="s">
        <v>114</v>
      </c>
      <c r="E402" s="4" t="s">
        <v>435</v>
      </c>
      <c r="F402" s="4" t="s">
        <v>101</v>
      </c>
      <c r="G402" s="4">
        <f t="shared" ca="1" si="6"/>
        <v>69</v>
      </c>
      <c r="H402" s="4">
        <v>3</v>
      </c>
    </row>
    <row r="403" spans="1:8" ht="15.6">
      <c r="A403" s="4" t="s">
        <v>436</v>
      </c>
      <c r="B403" s="5">
        <v>45015.025176688403</v>
      </c>
      <c r="C403" s="5">
        <v>45020.3939673692</v>
      </c>
      <c r="D403" s="4" t="s">
        <v>94</v>
      </c>
      <c r="E403" s="4" t="s">
        <v>437</v>
      </c>
      <c r="F403" s="4" t="s">
        <v>106</v>
      </c>
      <c r="G403" s="4">
        <f t="shared" ca="1" si="6"/>
        <v>64</v>
      </c>
      <c r="H403" s="4">
        <v>7</v>
      </c>
    </row>
    <row r="404" spans="1:8" ht="15.6">
      <c r="A404" s="4" t="s">
        <v>436</v>
      </c>
      <c r="B404" s="5">
        <v>45015.625210209699</v>
      </c>
      <c r="C404" s="5">
        <v>45020.580929246898</v>
      </c>
      <c r="D404" s="4" t="s">
        <v>94</v>
      </c>
      <c r="E404" s="4" t="s">
        <v>437</v>
      </c>
      <c r="F404" s="4" t="s">
        <v>112</v>
      </c>
      <c r="G404" s="4">
        <f t="shared" ca="1" si="6"/>
        <v>35</v>
      </c>
      <c r="H404" s="4">
        <v>4</v>
      </c>
    </row>
    <row r="405" spans="1:8" ht="15.6">
      <c r="A405" s="4" t="s">
        <v>436</v>
      </c>
      <c r="B405" s="5">
        <v>45015.721993402403</v>
      </c>
      <c r="C405" s="5">
        <v>45020.186730733702</v>
      </c>
      <c r="D405" s="4" t="s">
        <v>94</v>
      </c>
      <c r="E405" s="4" t="s">
        <v>437</v>
      </c>
      <c r="F405" s="4" t="s">
        <v>100</v>
      </c>
      <c r="G405" s="4">
        <f t="shared" ca="1" si="6"/>
        <v>28</v>
      </c>
      <c r="H405" s="4">
        <v>7</v>
      </c>
    </row>
    <row r="406" spans="1:8" ht="15.6">
      <c r="A406" s="4" t="s">
        <v>436</v>
      </c>
      <c r="B406" s="5">
        <v>45015.6630822558</v>
      </c>
      <c r="C406" s="5">
        <v>45020.700081757903</v>
      </c>
      <c r="D406" s="4" t="s">
        <v>94</v>
      </c>
      <c r="E406" s="4" t="s">
        <v>437</v>
      </c>
      <c r="F406" s="4" t="s">
        <v>121</v>
      </c>
      <c r="G406" s="4">
        <f t="shared" ca="1" si="6"/>
        <v>87</v>
      </c>
      <c r="H406" s="4">
        <v>2</v>
      </c>
    </row>
    <row r="407" spans="1:8" ht="15.6">
      <c r="A407" s="4" t="s">
        <v>436</v>
      </c>
      <c r="B407" s="5">
        <v>45015.693538335501</v>
      </c>
      <c r="C407" s="5">
        <v>45020.049529578399</v>
      </c>
      <c r="D407" s="4" t="s">
        <v>94</v>
      </c>
      <c r="E407" s="4" t="s">
        <v>437</v>
      </c>
      <c r="F407" s="4" t="s">
        <v>122</v>
      </c>
      <c r="G407" s="4">
        <f t="shared" ca="1" si="6"/>
        <v>57</v>
      </c>
      <c r="H407" s="4">
        <v>7</v>
      </c>
    </row>
    <row r="408" spans="1:8" ht="15.6">
      <c r="A408" s="4" t="s">
        <v>436</v>
      </c>
      <c r="B408" s="5">
        <v>45015.078021105197</v>
      </c>
      <c r="C408" s="5">
        <v>45020.712468700302</v>
      </c>
      <c r="D408" s="4" t="s">
        <v>94</v>
      </c>
      <c r="E408" s="4" t="s">
        <v>437</v>
      </c>
      <c r="F408" s="4" t="s">
        <v>100</v>
      </c>
      <c r="G408" s="4">
        <f t="shared" ca="1" si="6"/>
        <v>96</v>
      </c>
      <c r="H408" s="4">
        <v>3</v>
      </c>
    </row>
    <row r="409" spans="1:8" ht="15.6">
      <c r="A409" s="4" t="s">
        <v>436</v>
      </c>
      <c r="B409" s="5">
        <v>45015.6384380155</v>
      </c>
      <c r="C409" s="5">
        <v>45020.327661120296</v>
      </c>
      <c r="D409" s="4" t="s">
        <v>94</v>
      </c>
      <c r="E409" s="4" t="s">
        <v>437</v>
      </c>
      <c r="F409" s="4" t="s">
        <v>141</v>
      </c>
      <c r="G409" s="4">
        <f t="shared" ca="1" si="6"/>
        <v>41</v>
      </c>
      <c r="H409" s="4">
        <v>5</v>
      </c>
    </row>
    <row r="410" spans="1:8" ht="15.6">
      <c r="A410" s="4" t="s">
        <v>438</v>
      </c>
      <c r="B410" s="5">
        <v>44245.686612351899</v>
      </c>
      <c r="C410" s="5">
        <v>44249.031341440001</v>
      </c>
      <c r="D410" s="4" t="s">
        <v>98</v>
      </c>
      <c r="E410" s="4" t="s">
        <v>439</v>
      </c>
      <c r="F410" s="4" t="s">
        <v>118</v>
      </c>
      <c r="G410" s="4">
        <f t="shared" ca="1" si="6"/>
        <v>88</v>
      </c>
      <c r="H410" s="4">
        <v>3</v>
      </c>
    </row>
    <row r="411" spans="1:8" ht="15.6">
      <c r="A411" s="4" t="s">
        <v>438</v>
      </c>
      <c r="B411" s="5">
        <v>44245.257877950397</v>
      </c>
      <c r="C411" s="5">
        <v>44249.219872445603</v>
      </c>
      <c r="D411" s="4" t="s">
        <v>98</v>
      </c>
      <c r="E411" s="4" t="s">
        <v>439</v>
      </c>
      <c r="F411" s="4" t="s">
        <v>121</v>
      </c>
      <c r="G411" s="4">
        <f t="shared" ca="1" si="6"/>
        <v>27</v>
      </c>
      <c r="H411" s="4">
        <v>2</v>
      </c>
    </row>
    <row r="412" spans="1:8" ht="15.6">
      <c r="A412" s="4" t="s">
        <v>438</v>
      </c>
      <c r="B412" s="5">
        <v>44245.560701269198</v>
      </c>
      <c r="C412" s="5">
        <v>44249.699094060401</v>
      </c>
      <c r="D412" s="4" t="s">
        <v>98</v>
      </c>
      <c r="E412" s="4" t="s">
        <v>439</v>
      </c>
      <c r="F412" s="4" t="s">
        <v>101</v>
      </c>
      <c r="G412" s="4">
        <f t="shared" ca="1" si="6"/>
        <v>58</v>
      </c>
      <c r="H412" s="4">
        <v>5</v>
      </c>
    </row>
    <row r="413" spans="1:8" ht="15.6">
      <c r="A413" s="4" t="s">
        <v>438</v>
      </c>
      <c r="B413" s="5">
        <v>44245.010062403897</v>
      </c>
      <c r="C413" s="5">
        <v>44249.047672582499</v>
      </c>
      <c r="D413" s="4" t="s">
        <v>98</v>
      </c>
      <c r="E413" s="4" t="s">
        <v>439</v>
      </c>
      <c r="F413" s="4" t="s">
        <v>96</v>
      </c>
      <c r="G413" s="4">
        <f t="shared" ca="1" si="6"/>
        <v>54</v>
      </c>
      <c r="H413" s="4">
        <v>4</v>
      </c>
    </row>
    <row r="414" spans="1:8" ht="15.6">
      <c r="A414" s="4" t="s">
        <v>438</v>
      </c>
      <c r="B414" s="5">
        <v>44245.145088096499</v>
      </c>
      <c r="C414" s="5">
        <v>44249.988929855303</v>
      </c>
      <c r="D414" s="4" t="s">
        <v>98</v>
      </c>
      <c r="E414" s="4" t="s">
        <v>439</v>
      </c>
      <c r="F414" s="4" t="s">
        <v>131</v>
      </c>
      <c r="G414" s="4">
        <f t="shared" ca="1" si="6"/>
        <v>26</v>
      </c>
      <c r="H414" s="4">
        <v>4</v>
      </c>
    </row>
    <row r="415" spans="1:8" ht="15.6">
      <c r="A415" s="4" t="s">
        <v>438</v>
      </c>
      <c r="B415" s="5">
        <v>44245.380786232898</v>
      </c>
      <c r="C415" s="5">
        <v>44249.4268453724</v>
      </c>
      <c r="D415" s="4" t="s">
        <v>98</v>
      </c>
      <c r="E415" s="4" t="s">
        <v>439</v>
      </c>
      <c r="F415" s="4" t="s">
        <v>141</v>
      </c>
      <c r="G415" s="4">
        <f t="shared" ca="1" si="6"/>
        <v>24</v>
      </c>
      <c r="H415" s="4">
        <v>1</v>
      </c>
    </row>
    <row r="416" spans="1:8" ht="15.6">
      <c r="A416" s="4" t="s">
        <v>440</v>
      </c>
      <c r="B416" s="5">
        <v>44342.5542167561</v>
      </c>
      <c r="C416" s="5">
        <v>44348.5194852606</v>
      </c>
      <c r="D416" s="4" t="s">
        <v>94</v>
      </c>
      <c r="E416" s="4" t="s">
        <v>164</v>
      </c>
      <c r="F416" s="4" t="s">
        <v>141</v>
      </c>
      <c r="G416" s="4">
        <f t="shared" ca="1" si="6"/>
        <v>50</v>
      </c>
      <c r="H416" s="4">
        <v>6</v>
      </c>
    </row>
    <row r="417" spans="1:8" ht="15.6">
      <c r="A417" s="4" t="s">
        <v>441</v>
      </c>
      <c r="B417" s="5">
        <v>44232.201496114998</v>
      </c>
      <c r="C417" s="5">
        <v>44235.069853313697</v>
      </c>
      <c r="D417" s="4" t="s">
        <v>98</v>
      </c>
      <c r="E417" s="4" t="s">
        <v>442</v>
      </c>
      <c r="F417" s="4" t="s">
        <v>131</v>
      </c>
      <c r="G417" s="4">
        <f t="shared" ca="1" si="6"/>
        <v>76</v>
      </c>
      <c r="H417" s="4">
        <v>2</v>
      </c>
    </row>
    <row r="418" spans="1:8" ht="15.6">
      <c r="A418" s="4" t="s">
        <v>443</v>
      </c>
      <c r="B418" s="5">
        <v>44563.385437012803</v>
      </c>
      <c r="C418" s="5">
        <v>44568.401858355799</v>
      </c>
      <c r="D418" s="4" t="s">
        <v>114</v>
      </c>
      <c r="E418" s="4" t="s">
        <v>444</v>
      </c>
      <c r="F418" s="4" t="s">
        <v>101</v>
      </c>
      <c r="G418" s="4">
        <f t="shared" ca="1" si="6"/>
        <v>84</v>
      </c>
      <c r="H418" s="4">
        <v>7</v>
      </c>
    </row>
    <row r="419" spans="1:8" ht="15.6">
      <c r="A419" s="4" t="s">
        <v>443</v>
      </c>
      <c r="B419" s="5">
        <v>44563.612540463</v>
      </c>
      <c r="C419" s="5">
        <v>44568.808124844298</v>
      </c>
      <c r="D419" s="4" t="s">
        <v>114</v>
      </c>
      <c r="E419" s="4" t="s">
        <v>444</v>
      </c>
      <c r="F419" s="4" t="s">
        <v>141</v>
      </c>
      <c r="G419" s="4">
        <f t="shared" ca="1" si="6"/>
        <v>94</v>
      </c>
      <c r="H419" s="4">
        <v>5</v>
      </c>
    </row>
    <row r="420" spans="1:8" ht="15.6">
      <c r="A420" s="4" t="s">
        <v>443</v>
      </c>
      <c r="B420" s="5">
        <v>44563.591463350502</v>
      </c>
      <c r="C420" s="5">
        <v>44568.339728617299</v>
      </c>
      <c r="D420" s="4" t="s">
        <v>114</v>
      </c>
      <c r="E420" s="4" t="s">
        <v>444</v>
      </c>
      <c r="F420" s="4" t="s">
        <v>130</v>
      </c>
      <c r="G420" s="4">
        <f t="shared" ca="1" si="6"/>
        <v>21</v>
      </c>
      <c r="H420" s="4">
        <v>3</v>
      </c>
    </row>
    <row r="421" spans="1:8" ht="15.6">
      <c r="A421" s="4" t="s">
        <v>443</v>
      </c>
      <c r="B421" s="5">
        <v>44563.646404970103</v>
      </c>
      <c r="C421" s="5">
        <v>44568.594185208203</v>
      </c>
      <c r="D421" s="4" t="s">
        <v>114</v>
      </c>
      <c r="E421" s="4" t="s">
        <v>444</v>
      </c>
      <c r="F421" s="4" t="s">
        <v>135</v>
      </c>
      <c r="G421" s="4">
        <f t="shared" ca="1" si="6"/>
        <v>29</v>
      </c>
      <c r="H421" s="4">
        <v>7</v>
      </c>
    </row>
    <row r="422" spans="1:8" ht="15.6">
      <c r="A422" s="4" t="s">
        <v>443</v>
      </c>
      <c r="B422" s="5">
        <v>44563.5839543033</v>
      </c>
      <c r="C422" s="5">
        <v>44568.729594554199</v>
      </c>
      <c r="D422" s="4" t="s">
        <v>114</v>
      </c>
      <c r="E422" s="4" t="s">
        <v>444</v>
      </c>
      <c r="F422" s="4" t="s">
        <v>106</v>
      </c>
      <c r="G422" s="4">
        <f t="shared" ca="1" si="6"/>
        <v>31</v>
      </c>
      <c r="H422" s="4">
        <v>12</v>
      </c>
    </row>
    <row r="423" spans="1:8" ht="15.6">
      <c r="A423" s="4" t="s">
        <v>445</v>
      </c>
      <c r="B423" s="5">
        <v>44634.043068467603</v>
      </c>
      <c r="C423" s="5">
        <v>44638.103675562597</v>
      </c>
      <c r="D423" s="4" t="s">
        <v>114</v>
      </c>
      <c r="E423" s="4" t="s">
        <v>154</v>
      </c>
      <c r="F423" s="4" t="s">
        <v>101</v>
      </c>
      <c r="G423" s="4">
        <f t="shared" ca="1" si="6"/>
        <v>11</v>
      </c>
      <c r="H423" s="4">
        <v>2</v>
      </c>
    </row>
    <row r="424" spans="1:8" ht="15.6">
      <c r="A424" s="4" t="s">
        <v>446</v>
      </c>
      <c r="B424" s="5">
        <v>44636.080219523399</v>
      </c>
      <c r="C424" s="5">
        <v>44640.243550355801</v>
      </c>
      <c r="D424" s="4" t="s">
        <v>98</v>
      </c>
      <c r="E424" s="4" t="s">
        <v>95</v>
      </c>
      <c r="F424" s="4" t="s">
        <v>96</v>
      </c>
      <c r="G424" s="4">
        <f t="shared" ca="1" si="6"/>
        <v>93</v>
      </c>
      <c r="H424" s="4">
        <v>5</v>
      </c>
    </row>
    <row r="425" spans="1:8" ht="15.6">
      <c r="A425" s="4" t="s">
        <v>447</v>
      </c>
      <c r="B425" s="5">
        <v>44607.545534406097</v>
      </c>
      <c r="C425" s="5">
        <v>44611.614329669501</v>
      </c>
      <c r="D425" s="4" t="s">
        <v>98</v>
      </c>
      <c r="E425" s="4" t="s">
        <v>349</v>
      </c>
      <c r="F425" s="4" t="s">
        <v>121</v>
      </c>
      <c r="G425" s="4">
        <f t="shared" ca="1" si="6"/>
        <v>95</v>
      </c>
      <c r="H425" s="4">
        <v>3</v>
      </c>
    </row>
    <row r="426" spans="1:8" ht="15.6">
      <c r="A426" s="4" t="s">
        <v>447</v>
      </c>
      <c r="B426" s="5">
        <v>44607.598371229702</v>
      </c>
      <c r="C426" s="5">
        <v>44611.399634364599</v>
      </c>
      <c r="D426" s="4" t="s">
        <v>98</v>
      </c>
      <c r="E426" s="4" t="s">
        <v>349</v>
      </c>
      <c r="F426" s="4" t="s">
        <v>135</v>
      </c>
      <c r="G426" s="4">
        <f t="shared" ca="1" si="6"/>
        <v>20</v>
      </c>
      <c r="H426" s="4">
        <v>4</v>
      </c>
    </row>
    <row r="427" spans="1:8" ht="15.6">
      <c r="A427" s="4" t="s">
        <v>447</v>
      </c>
      <c r="B427" s="5">
        <v>44607.538024824098</v>
      </c>
      <c r="C427" s="5">
        <v>44611.7678642584</v>
      </c>
      <c r="D427" s="4" t="s">
        <v>98</v>
      </c>
      <c r="E427" s="4" t="s">
        <v>349</v>
      </c>
      <c r="F427" s="4" t="s">
        <v>121</v>
      </c>
      <c r="G427" s="4">
        <f t="shared" ca="1" si="6"/>
        <v>82</v>
      </c>
      <c r="H427" s="4">
        <v>2</v>
      </c>
    </row>
    <row r="428" spans="1:8" ht="15.6">
      <c r="A428" s="4" t="s">
        <v>448</v>
      </c>
      <c r="B428" s="5">
        <v>44995.677284739402</v>
      </c>
      <c r="C428" s="5">
        <v>44997.600150017897</v>
      </c>
      <c r="D428" s="4" t="s">
        <v>114</v>
      </c>
      <c r="E428" s="4" t="s">
        <v>449</v>
      </c>
      <c r="F428" s="4" t="s">
        <v>101</v>
      </c>
      <c r="G428" s="4">
        <f t="shared" ca="1" si="6"/>
        <v>28</v>
      </c>
      <c r="H428" s="4">
        <v>3</v>
      </c>
    </row>
    <row r="429" spans="1:8" ht="15.6">
      <c r="A429" s="4" t="s">
        <v>448</v>
      </c>
      <c r="B429" s="5">
        <v>44995.471685263699</v>
      </c>
      <c r="C429" s="5">
        <v>44997.179035901798</v>
      </c>
      <c r="D429" s="4" t="s">
        <v>114</v>
      </c>
      <c r="E429" s="4" t="s">
        <v>449</v>
      </c>
      <c r="F429" s="4" t="s">
        <v>118</v>
      </c>
      <c r="G429" s="4">
        <f t="shared" ca="1" si="6"/>
        <v>74</v>
      </c>
      <c r="H429" s="4">
        <v>9</v>
      </c>
    </row>
    <row r="430" spans="1:8" ht="15.6">
      <c r="A430" s="4" t="s">
        <v>450</v>
      </c>
      <c r="B430" s="5">
        <v>45204.197031697302</v>
      </c>
      <c r="C430" s="5">
        <v>45208.137202584701</v>
      </c>
      <c r="D430" s="4" t="s">
        <v>98</v>
      </c>
      <c r="E430" s="4" t="s">
        <v>124</v>
      </c>
      <c r="F430" s="4" t="s">
        <v>106</v>
      </c>
      <c r="G430" s="4">
        <f t="shared" ca="1" si="6"/>
        <v>100</v>
      </c>
      <c r="H430" s="4">
        <v>4</v>
      </c>
    </row>
    <row r="431" spans="1:8" ht="15.6">
      <c r="A431" s="4" t="s">
        <v>451</v>
      </c>
      <c r="B431" s="5">
        <v>44485.073862257203</v>
      </c>
      <c r="C431" s="5">
        <v>44487.307665986496</v>
      </c>
      <c r="D431" s="4" t="s">
        <v>98</v>
      </c>
      <c r="E431" s="4" t="s">
        <v>452</v>
      </c>
      <c r="F431" s="4" t="s">
        <v>122</v>
      </c>
      <c r="G431" s="4">
        <f t="shared" ca="1" si="6"/>
        <v>33</v>
      </c>
      <c r="H431" s="4">
        <v>5</v>
      </c>
    </row>
    <row r="432" spans="1:8" ht="15.6">
      <c r="A432" s="4" t="s">
        <v>453</v>
      </c>
      <c r="B432" s="5">
        <v>44612.755246094603</v>
      </c>
      <c r="C432" s="5">
        <v>44616.605076684798</v>
      </c>
      <c r="D432" s="4" t="s">
        <v>98</v>
      </c>
      <c r="E432" s="4" t="s">
        <v>233</v>
      </c>
      <c r="F432" s="4" t="s">
        <v>121</v>
      </c>
      <c r="G432" s="4">
        <f t="shared" ca="1" si="6"/>
        <v>88</v>
      </c>
      <c r="H432" s="4">
        <v>7</v>
      </c>
    </row>
    <row r="433" spans="1:8" ht="15.6">
      <c r="A433" s="4" t="s">
        <v>453</v>
      </c>
      <c r="B433" s="5">
        <v>44612.816514022299</v>
      </c>
      <c r="C433" s="5">
        <v>44616.696861092598</v>
      </c>
      <c r="D433" s="4" t="s">
        <v>98</v>
      </c>
      <c r="E433" s="4" t="s">
        <v>233</v>
      </c>
      <c r="F433" s="4" t="s">
        <v>109</v>
      </c>
      <c r="G433" s="4">
        <f t="shared" ca="1" si="6"/>
        <v>45</v>
      </c>
      <c r="H433" s="4">
        <v>5</v>
      </c>
    </row>
    <row r="434" spans="1:8" ht="15.6">
      <c r="A434" s="4" t="s">
        <v>453</v>
      </c>
      <c r="B434" s="5">
        <v>44612.7067363475</v>
      </c>
      <c r="C434" s="5">
        <v>44616.725188853197</v>
      </c>
      <c r="D434" s="4" t="s">
        <v>98</v>
      </c>
      <c r="E434" s="4" t="s">
        <v>233</v>
      </c>
      <c r="F434" s="4" t="s">
        <v>110</v>
      </c>
      <c r="G434" s="4">
        <f t="shared" ca="1" si="6"/>
        <v>42</v>
      </c>
      <c r="H434" s="4">
        <v>3</v>
      </c>
    </row>
    <row r="435" spans="1:8" ht="15.6">
      <c r="A435" s="4" t="s">
        <v>454</v>
      </c>
      <c r="B435" s="5">
        <v>45195.004373608099</v>
      </c>
      <c r="C435" s="5">
        <v>45198.616911069097</v>
      </c>
      <c r="D435" s="4" t="s">
        <v>98</v>
      </c>
      <c r="E435" s="4" t="s">
        <v>455</v>
      </c>
      <c r="F435" s="4" t="s">
        <v>122</v>
      </c>
      <c r="G435" s="4">
        <f t="shared" ca="1" si="6"/>
        <v>77</v>
      </c>
      <c r="H435" s="4">
        <v>1</v>
      </c>
    </row>
    <row r="436" spans="1:8" ht="15.6">
      <c r="A436" s="4" t="s">
        <v>454</v>
      </c>
      <c r="B436" s="5">
        <v>45195.043917831099</v>
      </c>
      <c r="C436" s="5">
        <v>45198.821954937499</v>
      </c>
      <c r="D436" s="4" t="s">
        <v>98</v>
      </c>
      <c r="E436" s="4" t="s">
        <v>455</v>
      </c>
      <c r="F436" s="4" t="s">
        <v>118</v>
      </c>
      <c r="G436" s="4">
        <f t="shared" ca="1" si="6"/>
        <v>43</v>
      </c>
      <c r="H436" s="4">
        <v>1</v>
      </c>
    </row>
    <row r="437" spans="1:8" ht="15.6">
      <c r="A437" s="4" t="s">
        <v>456</v>
      </c>
      <c r="B437" s="5">
        <v>44739.598845185799</v>
      </c>
      <c r="C437" s="5">
        <v>44743.777068388998</v>
      </c>
      <c r="D437" s="4" t="s">
        <v>94</v>
      </c>
      <c r="E437" s="4" t="s">
        <v>354</v>
      </c>
      <c r="F437" s="4" t="s">
        <v>122</v>
      </c>
      <c r="G437" s="4">
        <f t="shared" ca="1" si="6"/>
        <v>95</v>
      </c>
      <c r="H437" s="4">
        <v>9</v>
      </c>
    </row>
    <row r="438" spans="1:8" ht="15.6">
      <c r="A438" s="4" t="s">
        <v>456</v>
      </c>
      <c r="B438" s="5">
        <v>44739.862108471498</v>
      </c>
      <c r="C438" s="5">
        <v>44743.361638971001</v>
      </c>
      <c r="D438" s="4" t="s">
        <v>94</v>
      </c>
      <c r="E438" s="4" t="s">
        <v>354</v>
      </c>
      <c r="F438" s="4" t="s">
        <v>106</v>
      </c>
      <c r="G438" s="4">
        <f t="shared" ca="1" si="6"/>
        <v>71</v>
      </c>
      <c r="H438" s="4">
        <v>2</v>
      </c>
    </row>
    <row r="439" spans="1:8" ht="15.6">
      <c r="A439" s="4" t="s">
        <v>456</v>
      </c>
      <c r="B439" s="5">
        <v>44739.412400639099</v>
      </c>
      <c r="C439" s="5">
        <v>44743.835723055403</v>
      </c>
      <c r="D439" s="4" t="s">
        <v>94</v>
      </c>
      <c r="E439" s="4" t="s">
        <v>354</v>
      </c>
      <c r="F439" s="4" t="s">
        <v>112</v>
      </c>
      <c r="G439" s="4">
        <f t="shared" ca="1" si="6"/>
        <v>48</v>
      </c>
      <c r="H439" s="4">
        <v>4</v>
      </c>
    </row>
    <row r="440" spans="1:8" ht="15.6">
      <c r="A440" s="4" t="s">
        <v>456</v>
      </c>
      <c r="B440" s="5">
        <v>44739.003097084802</v>
      </c>
      <c r="C440" s="5">
        <v>44743.865126245997</v>
      </c>
      <c r="D440" s="4" t="s">
        <v>94</v>
      </c>
      <c r="E440" s="4" t="s">
        <v>354</v>
      </c>
      <c r="F440" s="4" t="s">
        <v>112</v>
      </c>
      <c r="G440" s="4">
        <f t="shared" ca="1" si="6"/>
        <v>78</v>
      </c>
      <c r="H440" s="4">
        <v>4</v>
      </c>
    </row>
    <row r="441" spans="1:8" ht="15.6">
      <c r="A441" s="4" t="s">
        <v>456</v>
      </c>
      <c r="B441" s="5">
        <v>44739.498712467903</v>
      </c>
      <c r="C441" s="5">
        <v>44743.672872868403</v>
      </c>
      <c r="D441" s="4" t="s">
        <v>94</v>
      </c>
      <c r="E441" s="4" t="s">
        <v>354</v>
      </c>
      <c r="F441" s="4" t="s">
        <v>130</v>
      </c>
      <c r="G441" s="4">
        <f t="shared" ca="1" si="6"/>
        <v>32</v>
      </c>
      <c r="H441" s="4">
        <v>7</v>
      </c>
    </row>
    <row r="442" spans="1:8" ht="15.6">
      <c r="A442" s="4" t="s">
        <v>456</v>
      </c>
      <c r="B442" s="5">
        <v>44739.331922785197</v>
      </c>
      <c r="C442" s="5">
        <v>44743.527492725902</v>
      </c>
      <c r="D442" s="4" t="s">
        <v>94</v>
      </c>
      <c r="E442" s="4" t="s">
        <v>354</v>
      </c>
      <c r="F442" s="4" t="s">
        <v>111</v>
      </c>
      <c r="G442" s="4">
        <f t="shared" ca="1" si="6"/>
        <v>38</v>
      </c>
      <c r="H442" s="4">
        <v>2</v>
      </c>
    </row>
    <row r="443" spans="1:8" ht="15.6">
      <c r="A443" s="4" t="s">
        <v>457</v>
      </c>
      <c r="B443" s="5">
        <v>44285.116474749797</v>
      </c>
      <c r="C443" s="5">
        <v>44288.368040843103</v>
      </c>
      <c r="D443" s="4" t="s">
        <v>98</v>
      </c>
      <c r="E443" s="4" t="s">
        <v>458</v>
      </c>
      <c r="F443" s="4" t="s">
        <v>110</v>
      </c>
      <c r="G443" s="4">
        <f t="shared" ca="1" si="6"/>
        <v>74</v>
      </c>
      <c r="H443" s="4">
        <v>4</v>
      </c>
    </row>
    <row r="444" spans="1:8" ht="15.6">
      <c r="A444" s="4" t="s">
        <v>457</v>
      </c>
      <c r="B444" s="5">
        <v>44285.753196841702</v>
      </c>
      <c r="C444" s="5">
        <v>44288.596286192202</v>
      </c>
      <c r="D444" s="4" t="s">
        <v>98</v>
      </c>
      <c r="E444" s="4" t="s">
        <v>458</v>
      </c>
      <c r="F444" s="4" t="s">
        <v>111</v>
      </c>
      <c r="G444" s="4">
        <f t="shared" ca="1" si="6"/>
        <v>33</v>
      </c>
      <c r="H444" s="4">
        <v>2</v>
      </c>
    </row>
    <row r="445" spans="1:8" ht="15.6">
      <c r="A445" s="4" t="s">
        <v>457</v>
      </c>
      <c r="B445" s="5">
        <v>44285.7076221077</v>
      </c>
      <c r="C445" s="5">
        <v>44288.944317191999</v>
      </c>
      <c r="D445" s="4" t="s">
        <v>98</v>
      </c>
      <c r="E445" s="4" t="s">
        <v>458</v>
      </c>
      <c r="F445" s="4" t="s">
        <v>112</v>
      </c>
      <c r="G445" s="4">
        <f t="shared" ca="1" si="6"/>
        <v>67</v>
      </c>
      <c r="H445" s="4">
        <v>2</v>
      </c>
    </row>
    <row r="446" spans="1:8" ht="15.6">
      <c r="A446" s="4" t="s">
        <v>457</v>
      </c>
      <c r="B446" s="5">
        <v>44285.2668000216</v>
      </c>
      <c r="C446" s="5">
        <v>44288.335746673001</v>
      </c>
      <c r="D446" s="4" t="s">
        <v>98</v>
      </c>
      <c r="E446" s="4" t="s">
        <v>458</v>
      </c>
      <c r="F446" s="4" t="s">
        <v>130</v>
      </c>
      <c r="G446" s="4">
        <f t="shared" ca="1" si="6"/>
        <v>23</v>
      </c>
      <c r="H446" s="4">
        <v>2</v>
      </c>
    </row>
    <row r="447" spans="1:8" ht="15.6">
      <c r="A447" s="4" t="s">
        <v>457</v>
      </c>
      <c r="B447" s="5">
        <v>44285.278716736197</v>
      </c>
      <c r="C447" s="5">
        <v>44288.124044984303</v>
      </c>
      <c r="D447" s="4" t="s">
        <v>98</v>
      </c>
      <c r="E447" s="4" t="s">
        <v>458</v>
      </c>
      <c r="F447" s="4" t="s">
        <v>118</v>
      </c>
      <c r="G447" s="4">
        <f t="shared" ca="1" si="6"/>
        <v>33</v>
      </c>
      <c r="H447" s="4">
        <v>6</v>
      </c>
    </row>
    <row r="448" spans="1:8" ht="15.6">
      <c r="A448" s="4" t="s">
        <v>457</v>
      </c>
      <c r="B448" s="5">
        <v>44285.5163280099</v>
      </c>
      <c r="C448" s="5">
        <v>44288.525696849101</v>
      </c>
      <c r="D448" s="4" t="s">
        <v>98</v>
      </c>
      <c r="E448" s="4" t="s">
        <v>458</v>
      </c>
      <c r="F448" s="4" t="s">
        <v>111</v>
      </c>
      <c r="G448" s="4">
        <f t="shared" ca="1" si="6"/>
        <v>72</v>
      </c>
      <c r="H448" s="4">
        <v>5</v>
      </c>
    </row>
    <row r="449" spans="1:8" ht="15.6">
      <c r="A449" s="4" t="s">
        <v>457</v>
      </c>
      <c r="B449" s="5">
        <v>44285.149266813001</v>
      </c>
      <c r="C449" s="5">
        <v>44288.443881085499</v>
      </c>
      <c r="D449" s="4" t="s">
        <v>98</v>
      </c>
      <c r="E449" s="4" t="s">
        <v>458</v>
      </c>
      <c r="F449" s="4" t="s">
        <v>106</v>
      </c>
      <c r="G449" s="4">
        <f t="shared" ca="1" si="6"/>
        <v>23</v>
      </c>
      <c r="H449" s="4">
        <v>2</v>
      </c>
    </row>
    <row r="450" spans="1:8" ht="15.6">
      <c r="A450" s="4" t="s">
        <v>459</v>
      </c>
      <c r="B450" s="5">
        <v>44601.774915567199</v>
      </c>
      <c r="C450" s="5">
        <v>44606.3056822781</v>
      </c>
      <c r="D450" s="4" t="s">
        <v>114</v>
      </c>
      <c r="E450" s="4" t="s">
        <v>292</v>
      </c>
      <c r="F450" s="4" t="s">
        <v>122</v>
      </c>
      <c r="G450" s="4">
        <f t="shared" ref="G450:G513" ca="1" si="7">RANDBETWEEN(10,100)</f>
        <v>23</v>
      </c>
      <c r="H450" s="4">
        <v>6</v>
      </c>
    </row>
    <row r="451" spans="1:8" ht="15.6">
      <c r="A451" s="4" t="s">
        <v>460</v>
      </c>
      <c r="B451" s="5">
        <v>45089.410839116099</v>
      </c>
      <c r="C451" s="5">
        <v>45094.133425720203</v>
      </c>
      <c r="D451" s="4" t="s">
        <v>94</v>
      </c>
      <c r="E451" s="4" t="s">
        <v>455</v>
      </c>
      <c r="F451" s="4" t="s">
        <v>112</v>
      </c>
      <c r="G451" s="4">
        <f t="shared" ca="1" si="7"/>
        <v>31</v>
      </c>
      <c r="H451" s="4">
        <v>2</v>
      </c>
    </row>
    <row r="452" spans="1:8" ht="15.6">
      <c r="A452" s="4" t="s">
        <v>461</v>
      </c>
      <c r="B452" s="5">
        <v>44202.106161027499</v>
      </c>
      <c r="C452" s="5">
        <v>44202.120976403698</v>
      </c>
      <c r="D452" s="4" t="s">
        <v>94</v>
      </c>
      <c r="E452" s="4" t="s">
        <v>462</v>
      </c>
      <c r="F452" s="4" t="s">
        <v>101</v>
      </c>
      <c r="G452" s="4">
        <f t="shared" ca="1" si="7"/>
        <v>94</v>
      </c>
      <c r="H452" s="4">
        <v>9</v>
      </c>
    </row>
    <row r="453" spans="1:8" ht="15.6">
      <c r="A453" s="4" t="s">
        <v>463</v>
      </c>
      <c r="B453" s="5">
        <v>44710.35324746</v>
      </c>
      <c r="C453" s="5">
        <v>44712.759582335399</v>
      </c>
      <c r="D453" s="4" t="s">
        <v>98</v>
      </c>
      <c r="E453" s="4" t="s">
        <v>127</v>
      </c>
      <c r="F453" s="4" t="s">
        <v>135</v>
      </c>
      <c r="G453" s="4">
        <f t="shared" ca="1" si="7"/>
        <v>24</v>
      </c>
      <c r="H453" s="4">
        <v>11</v>
      </c>
    </row>
    <row r="454" spans="1:8" ht="15.6">
      <c r="A454" s="4" t="s">
        <v>463</v>
      </c>
      <c r="B454" s="5">
        <v>44710.548253151101</v>
      </c>
      <c r="C454" s="5">
        <v>44712.220844389303</v>
      </c>
      <c r="D454" s="4" t="s">
        <v>98</v>
      </c>
      <c r="E454" s="4" t="s">
        <v>127</v>
      </c>
      <c r="F454" s="4" t="s">
        <v>141</v>
      </c>
      <c r="G454" s="4">
        <f t="shared" ca="1" si="7"/>
        <v>56</v>
      </c>
      <c r="H454" s="4">
        <v>7</v>
      </c>
    </row>
    <row r="455" spans="1:8" ht="15.6">
      <c r="A455" s="4" t="s">
        <v>463</v>
      </c>
      <c r="B455" s="5">
        <v>44710.022533323601</v>
      </c>
      <c r="C455" s="5">
        <v>44712.773336434097</v>
      </c>
      <c r="D455" s="4" t="s">
        <v>98</v>
      </c>
      <c r="E455" s="4" t="s">
        <v>127</v>
      </c>
      <c r="F455" s="4" t="s">
        <v>110</v>
      </c>
      <c r="G455" s="4">
        <f t="shared" ca="1" si="7"/>
        <v>90</v>
      </c>
      <c r="H455" s="4">
        <v>1</v>
      </c>
    </row>
    <row r="456" spans="1:8" ht="15.6">
      <c r="A456" s="4" t="s">
        <v>463</v>
      </c>
      <c r="B456" s="5">
        <v>44710.7917298709</v>
      </c>
      <c r="C456" s="5">
        <v>44712.010079849497</v>
      </c>
      <c r="D456" s="4" t="s">
        <v>98</v>
      </c>
      <c r="E456" s="4" t="s">
        <v>127</v>
      </c>
      <c r="F456" s="4" t="s">
        <v>110</v>
      </c>
      <c r="G456" s="4">
        <f t="shared" ca="1" si="7"/>
        <v>18</v>
      </c>
      <c r="H456" s="4">
        <v>6</v>
      </c>
    </row>
    <row r="457" spans="1:8" ht="15.6">
      <c r="A457" s="4" t="s">
        <v>464</v>
      </c>
      <c r="B457" s="5">
        <v>44648.590622503099</v>
      </c>
      <c r="C457" s="5">
        <v>44654.628097889101</v>
      </c>
      <c r="D457" s="4" t="s">
        <v>94</v>
      </c>
      <c r="E457" s="4" t="s">
        <v>152</v>
      </c>
      <c r="F457" s="4" t="s">
        <v>141</v>
      </c>
      <c r="G457" s="4">
        <f t="shared" ca="1" si="7"/>
        <v>51</v>
      </c>
      <c r="H457" s="4">
        <v>13</v>
      </c>
    </row>
    <row r="458" spans="1:8" ht="15.6">
      <c r="A458" s="4" t="s">
        <v>464</v>
      </c>
      <c r="B458" s="5">
        <v>44648.455299847599</v>
      </c>
      <c r="C458" s="5">
        <v>44654.072150570799</v>
      </c>
      <c r="D458" s="4" t="s">
        <v>94</v>
      </c>
      <c r="E458" s="4" t="s">
        <v>152</v>
      </c>
      <c r="F458" s="4" t="s">
        <v>118</v>
      </c>
      <c r="G458" s="4">
        <f t="shared" ca="1" si="7"/>
        <v>27</v>
      </c>
      <c r="H458" s="4">
        <v>3</v>
      </c>
    </row>
    <row r="459" spans="1:8" ht="15.6">
      <c r="A459" s="4" t="s">
        <v>465</v>
      </c>
      <c r="B459" s="5">
        <v>45022.977342854902</v>
      </c>
      <c r="C459" s="5">
        <v>45026.643937711196</v>
      </c>
      <c r="D459" s="4" t="s">
        <v>114</v>
      </c>
      <c r="E459" s="4" t="s">
        <v>466</v>
      </c>
      <c r="F459" s="4" t="s">
        <v>135</v>
      </c>
      <c r="G459" s="4">
        <f t="shared" ca="1" si="7"/>
        <v>11</v>
      </c>
      <c r="H459" s="4">
        <v>1</v>
      </c>
    </row>
    <row r="460" spans="1:8" ht="15.6">
      <c r="A460" s="4" t="s">
        <v>467</v>
      </c>
      <c r="B460" s="5">
        <v>44368.340765008397</v>
      </c>
      <c r="C460" s="5">
        <v>44373.581758085602</v>
      </c>
      <c r="D460" s="4" t="s">
        <v>98</v>
      </c>
      <c r="E460" s="4" t="s">
        <v>468</v>
      </c>
      <c r="F460" s="4" t="s">
        <v>131</v>
      </c>
      <c r="G460" s="4">
        <f t="shared" ca="1" si="7"/>
        <v>23</v>
      </c>
      <c r="H460" s="4">
        <v>11</v>
      </c>
    </row>
    <row r="461" spans="1:8" ht="15.6">
      <c r="A461" s="4" t="s">
        <v>467</v>
      </c>
      <c r="B461" s="5">
        <v>44368.906366290801</v>
      </c>
      <c r="C461" s="5">
        <v>44373.034371170303</v>
      </c>
      <c r="D461" s="4" t="s">
        <v>98</v>
      </c>
      <c r="E461" s="4" t="s">
        <v>468</v>
      </c>
      <c r="F461" s="4" t="s">
        <v>110</v>
      </c>
      <c r="G461" s="4">
        <f t="shared" ca="1" si="7"/>
        <v>28</v>
      </c>
      <c r="H461" s="4">
        <v>3</v>
      </c>
    </row>
    <row r="462" spans="1:8" ht="15.6">
      <c r="A462" s="4" t="s">
        <v>469</v>
      </c>
      <c r="B462" s="5">
        <v>44584.530970362503</v>
      </c>
      <c r="C462" s="5">
        <v>44588.431494133401</v>
      </c>
      <c r="D462" s="4" t="s">
        <v>98</v>
      </c>
      <c r="E462" s="4" t="s">
        <v>470</v>
      </c>
      <c r="F462" s="4" t="s">
        <v>130</v>
      </c>
      <c r="G462" s="4">
        <f t="shared" ca="1" si="7"/>
        <v>76</v>
      </c>
      <c r="H462" s="4">
        <v>4</v>
      </c>
    </row>
    <row r="463" spans="1:8" ht="15.6">
      <c r="A463" s="4" t="s">
        <v>469</v>
      </c>
      <c r="B463" s="5">
        <v>44584.674524654103</v>
      </c>
      <c r="C463" s="5">
        <v>44588.156840165102</v>
      </c>
      <c r="D463" s="4" t="s">
        <v>98</v>
      </c>
      <c r="E463" s="4" t="s">
        <v>470</v>
      </c>
      <c r="F463" s="4" t="s">
        <v>144</v>
      </c>
      <c r="G463" s="4">
        <f t="shared" ca="1" si="7"/>
        <v>99</v>
      </c>
      <c r="H463" s="4">
        <v>3</v>
      </c>
    </row>
    <row r="464" spans="1:8" ht="15.6">
      <c r="A464" s="4" t="s">
        <v>471</v>
      </c>
      <c r="B464" s="5">
        <v>44642.522101927199</v>
      </c>
      <c r="C464" s="5">
        <v>44645.093510168103</v>
      </c>
      <c r="D464" s="4" t="s">
        <v>98</v>
      </c>
      <c r="E464" s="4" t="s">
        <v>472</v>
      </c>
      <c r="F464" s="4" t="s">
        <v>122</v>
      </c>
      <c r="G464" s="4">
        <f t="shared" ca="1" si="7"/>
        <v>88</v>
      </c>
      <c r="H464" s="4">
        <v>1</v>
      </c>
    </row>
    <row r="465" spans="1:8" ht="15.6">
      <c r="A465" s="4" t="s">
        <v>473</v>
      </c>
      <c r="B465" s="5">
        <v>44611.506282579699</v>
      </c>
      <c r="C465" s="5">
        <v>44616.410607537102</v>
      </c>
      <c r="D465" s="4" t="s">
        <v>94</v>
      </c>
      <c r="E465" s="4" t="s">
        <v>474</v>
      </c>
      <c r="F465" s="4" t="s">
        <v>131</v>
      </c>
      <c r="G465" s="4">
        <f t="shared" ca="1" si="7"/>
        <v>28</v>
      </c>
      <c r="H465" s="4">
        <v>3</v>
      </c>
    </row>
    <row r="466" spans="1:8" ht="15.6">
      <c r="A466" s="4" t="s">
        <v>473</v>
      </c>
      <c r="B466" s="5">
        <v>44611.794010384103</v>
      </c>
      <c r="C466" s="5">
        <v>44616.8153943414</v>
      </c>
      <c r="D466" s="4" t="s">
        <v>94</v>
      </c>
      <c r="E466" s="4" t="s">
        <v>474</v>
      </c>
      <c r="F466" s="4" t="s">
        <v>109</v>
      </c>
      <c r="G466" s="4">
        <f t="shared" ca="1" si="7"/>
        <v>45</v>
      </c>
      <c r="H466" s="4">
        <v>2</v>
      </c>
    </row>
    <row r="467" spans="1:8" ht="15.6">
      <c r="A467" s="4" t="s">
        <v>475</v>
      </c>
      <c r="B467" s="5">
        <v>44635.405741893097</v>
      </c>
      <c r="C467" s="5">
        <v>44641.286644226697</v>
      </c>
      <c r="D467" s="4" t="s">
        <v>98</v>
      </c>
      <c r="E467" s="4" t="s">
        <v>476</v>
      </c>
      <c r="F467" s="4" t="s">
        <v>101</v>
      </c>
      <c r="G467" s="4">
        <f t="shared" ca="1" si="7"/>
        <v>39</v>
      </c>
      <c r="H467" s="4">
        <v>2</v>
      </c>
    </row>
    <row r="468" spans="1:8" ht="15.6">
      <c r="A468" s="4" t="s">
        <v>475</v>
      </c>
      <c r="B468" s="5">
        <v>44635.220300722998</v>
      </c>
      <c r="C468" s="5">
        <v>44641.332389138101</v>
      </c>
      <c r="D468" s="4" t="s">
        <v>98</v>
      </c>
      <c r="E468" s="4" t="s">
        <v>476</v>
      </c>
      <c r="F468" s="4" t="s">
        <v>144</v>
      </c>
      <c r="G468" s="4">
        <f t="shared" ca="1" si="7"/>
        <v>30</v>
      </c>
      <c r="H468" s="4">
        <v>3</v>
      </c>
    </row>
    <row r="469" spans="1:8" ht="15.6">
      <c r="A469" s="4" t="s">
        <v>475</v>
      </c>
      <c r="B469" s="5">
        <v>44635.0742106869</v>
      </c>
      <c r="C469" s="5">
        <v>44641.577934838802</v>
      </c>
      <c r="D469" s="4" t="s">
        <v>98</v>
      </c>
      <c r="E469" s="4" t="s">
        <v>476</v>
      </c>
      <c r="F469" s="4" t="s">
        <v>106</v>
      </c>
      <c r="G469" s="4">
        <f t="shared" ca="1" si="7"/>
        <v>84</v>
      </c>
      <c r="H469" s="4">
        <v>4</v>
      </c>
    </row>
    <row r="470" spans="1:8" ht="15.6">
      <c r="A470" s="4" t="s">
        <v>475</v>
      </c>
      <c r="B470" s="5">
        <v>44635.0711056828</v>
      </c>
      <c r="C470" s="5">
        <v>44641.056284211802</v>
      </c>
      <c r="D470" s="4" t="s">
        <v>98</v>
      </c>
      <c r="E470" s="4" t="s">
        <v>476</v>
      </c>
      <c r="F470" s="4" t="s">
        <v>110</v>
      </c>
      <c r="G470" s="4">
        <f t="shared" ca="1" si="7"/>
        <v>23</v>
      </c>
      <c r="H470" s="4">
        <v>3</v>
      </c>
    </row>
    <row r="471" spans="1:8" ht="15.6">
      <c r="A471" s="4" t="s">
        <v>477</v>
      </c>
      <c r="B471" s="5">
        <v>44445.601493720198</v>
      </c>
      <c r="C471" s="5">
        <v>44450.119601557402</v>
      </c>
      <c r="D471" s="4" t="s">
        <v>94</v>
      </c>
      <c r="E471" s="4" t="s">
        <v>378</v>
      </c>
      <c r="F471" s="4" t="s">
        <v>101</v>
      </c>
      <c r="G471" s="4">
        <f t="shared" ca="1" si="7"/>
        <v>42</v>
      </c>
      <c r="H471" s="4">
        <v>4</v>
      </c>
    </row>
    <row r="472" spans="1:8" ht="15.6">
      <c r="A472" s="4" t="s">
        <v>477</v>
      </c>
      <c r="B472" s="5">
        <v>44445.262294058302</v>
      </c>
      <c r="C472" s="5">
        <v>44450.492550771902</v>
      </c>
      <c r="D472" s="4" t="s">
        <v>94</v>
      </c>
      <c r="E472" s="4" t="s">
        <v>378</v>
      </c>
      <c r="F472" s="4" t="s">
        <v>118</v>
      </c>
      <c r="G472" s="4">
        <f t="shared" ca="1" si="7"/>
        <v>14</v>
      </c>
      <c r="H472" s="4">
        <v>2</v>
      </c>
    </row>
    <row r="473" spans="1:8" ht="15.6">
      <c r="A473" s="4" t="s">
        <v>478</v>
      </c>
      <c r="B473" s="5">
        <v>44626.5352014788</v>
      </c>
      <c r="C473" s="5">
        <v>44631.5937140881</v>
      </c>
      <c r="D473" s="4" t="s">
        <v>94</v>
      </c>
      <c r="E473" s="4" t="s">
        <v>479</v>
      </c>
      <c r="F473" s="4" t="s">
        <v>122</v>
      </c>
      <c r="G473" s="4">
        <f t="shared" ca="1" si="7"/>
        <v>62</v>
      </c>
      <c r="H473" s="4">
        <v>5</v>
      </c>
    </row>
    <row r="474" spans="1:8" ht="15.6">
      <c r="A474" s="4" t="s">
        <v>478</v>
      </c>
      <c r="B474" s="5">
        <v>44626.254257694702</v>
      </c>
      <c r="C474" s="5">
        <v>44631.410874751498</v>
      </c>
      <c r="D474" s="4" t="s">
        <v>94</v>
      </c>
      <c r="E474" s="4" t="s">
        <v>479</v>
      </c>
      <c r="F474" s="4" t="s">
        <v>118</v>
      </c>
      <c r="G474" s="4">
        <f t="shared" ca="1" si="7"/>
        <v>28</v>
      </c>
      <c r="H474" s="4">
        <v>5</v>
      </c>
    </row>
    <row r="475" spans="1:8" ht="15.6">
      <c r="A475" s="4" t="s">
        <v>480</v>
      </c>
      <c r="B475" s="5">
        <v>44295.052343245901</v>
      </c>
      <c r="C475" s="5">
        <v>44299.145359585702</v>
      </c>
      <c r="D475" s="4" t="s">
        <v>98</v>
      </c>
      <c r="E475" s="4" t="s">
        <v>481</v>
      </c>
      <c r="F475" s="4" t="s">
        <v>112</v>
      </c>
      <c r="G475" s="4">
        <f t="shared" ca="1" si="7"/>
        <v>26</v>
      </c>
      <c r="H475" s="4">
        <v>3</v>
      </c>
    </row>
    <row r="476" spans="1:8" ht="15.6">
      <c r="A476" s="4" t="s">
        <v>482</v>
      </c>
      <c r="B476" s="5">
        <v>44573.8787310189</v>
      </c>
      <c r="C476" s="5">
        <v>44578.794582410097</v>
      </c>
      <c r="D476" s="4" t="s">
        <v>98</v>
      </c>
      <c r="E476" s="4" t="s">
        <v>279</v>
      </c>
      <c r="F476" s="4" t="s">
        <v>111</v>
      </c>
      <c r="G476" s="4">
        <f t="shared" ca="1" si="7"/>
        <v>88</v>
      </c>
      <c r="H476" s="4">
        <v>2</v>
      </c>
    </row>
    <row r="477" spans="1:8" ht="15.6">
      <c r="A477" s="4" t="s">
        <v>482</v>
      </c>
      <c r="B477" s="5">
        <v>44573.2300449373</v>
      </c>
      <c r="C477" s="5">
        <v>44578.552785890097</v>
      </c>
      <c r="D477" s="4" t="s">
        <v>98</v>
      </c>
      <c r="E477" s="4" t="s">
        <v>279</v>
      </c>
      <c r="F477" s="4" t="s">
        <v>112</v>
      </c>
      <c r="G477" s="4">
        <f t="shared" ca="1" si="7"/>
        <v>26</v>
      </c>
      <c r="H477" s="4">
        <v>5</v>
      </c>
    </row>
    <row r="478" spans="1:8" ht="15.6">
      <c r="A478" s="4" t="s">
        <v>482</v>
      </c>
      <c r="B478" s="5">
        <v>44573.346445693001</v>
      </c>
      <c r="C478" s="5">
        <v>44578.9948622886</v>
      </c>
      <c r="D478" s="4" t="s">
        <v>98</v>
      </c>
      <c r="E478" s="4" t="s">
        <v>279</v>
      </c>
      <c r="F478" s="4" t="s">
        <v>100</v>
      </c>
      <c r="G478" s="4">
        <f t="shared" ca="1" si="7"/>
        <v>75</v>
      </c>
      <c r="H478" s="4">
        <v>6</v>
      </c>
    </row>
    <row r="479" spans="1:8" ht="15.6">
      <c r="A479" s="4" t="s">
        <v>482</v>
      </c>
      <c r="B479" s="5">
        <v>44573.057081343002</v>
      </c>
      <c r="C479" s="5">
        <v>44578.512854668901</v>
      </c>
      <c r="D479" s="4" t="s">
        <v>98</v>
      </c>
      <c r="E479" s="4" t="s">
        <v>279</v>
      </c>
      <c r="F479" s="4" t="s">
        <v>109</v>
      </c>
      <c r="G479" s="4">
        <f t="shared" ca="1" si="7"/>
        <v>50</v>
      </c>
      <c r="H479" s="4">
        <v>1</v>
      </c>
    </row>
    <row r="480" spans="1:8" ht="15.6">
      <c r="A480" s="4" t="s">
        <v>483</v>
      </c>
      <c r="B480" s="5">
        <v>45087.041928062899</v>
      </c>
      <c r="C480" s="5">
        <v>45092.751706685602</v>
      </c>
      <c r="D480" s="4" t="s">
        <v>94</v>
      </c>
      <c r="E480" s="4" t="s">
        <v>479</v>
      </c>
      <c r="F480" s="4" t="s">
        <v>101</v>
      </c>
      <c r="G480" s="4">
        <f t="shared" ca="1" si="7"/>
        <v>75</v>
      </c>
      <c r="H480" s="4">
        <v>5</v>
      </c>
    </row>
    <row r="481" spans="1:8" ht="15.6">
      <c r="A481" s="4" t="s">
        <v>484</v>
      </c>
      <c r="B481" s="5">
        <v>44251.824065690103</v>
      </c>
      <c r="C481" s="5">
        <v>44253.1475304044</v>
      </c>
      <c r="D481" s="4" t="s">
        <v>98</v>
      </c>
      <c r="E481" s="4" t="s">
        <v>176</v>
      </c>
      <c r="F481" s="4" t="s">
        <v>131</v>
      </c>
      <c r="G481" s="4">
        <f t="shared" ca="1" si="7"/>
        <v>57</v>
      </c>
      <c r="H481" s="4">
        <v>3</v>
      </c>
    </row>
    <row r="482" spans="1:8" ht="15.6">
      <c r="A482" s="4" t="s">
        <v>485</v>
      </c>
      <c r="B482" s="5">
        <v>44944.823401796399</v>
      </c>
      <c r="C482" s="5">
        <v>44948.160467296402</v>
      </c>
      <c r="D482" s="4" t="s">
        <v>98</v>
      </c>
      <c r="E482" s="4" t="s">
        <v>179</v>
      </c>
      <c r="F482" s="4" t="s">
        <v>96</v>
      </c>
      <c r="G482" s="4">
        <f t="shared" ca="1" si="7"/>
        <v>24</v>
      </c>
      <c r="H482" s="4">
        <v>2</v>
      </c>
    </row>
    <row r="483" spans="1:8" ht="15.6">
      <c r="A483" s="4" t="s">
        <v>486</v>
      </c>
      <c r="B483" s="5">
        <v>44611.909090986199</v>
      </c>
      <c r="C483" s="5">
        <v>44615.6167434288</v>
      </c>
      <c r="D483" s="4" t="s">
        <v>94</v>
      </c>
      <c r="E483" s="4" t="s">
        <v>487</v>
      </c>
      <c r="F483" s="4" t="s">
        <v>130</v>
      </c>
      <c r="G483" s="4">
        <f t="shared" ca="1" si="7"/>
        <v>48</v>
      </c>
      <c r="H483" s="4">
        <v>3</v>
      </c>
    </row>
    <row r="484" spans="1:8" ht="15.6">
      <c r="A484" s="4" t="s">
        <v>488</v>
      </c>
      <c r="B484" s="5">
        <v>44684.009951823202</v>
      </c>
      <c r="C484" s="5">
        <v>44689.7424259908</v>
      </c>
      <c r="D484" s="4" t="s">
        <v>98</v>
      </c>
      <c r="E484" s="4" t="s">
        <v>489</v>
      </c>
      <c r="F484" s="4" t="s">
        <v>100</v>
      </c>
      <c r="G484" s="4">
        <f t="shared" ca="1" si="7"/>
        <v>22</v>
      </c>
      <c r="H484" s="4">
        <v>2</v>
      </c>
    </row>
    <row r="485" spans="1:8" ht="15.6">
      <c r="A485" s="4" t="s">
        <v>488</v>
      </c>
      <c r="B485" s="5">
        <v>44684.149137052103</v>
      </c>
      <c r="C485" s="5">
        <v>44689.091468327802</v>
      </c>
      <c r="D485" s="4" t="s">
        <v>98</v>
      </c>
      <c r="E485" s="4" t="s">
        <v>489</v>
      </c>
      <c r="F485" s="4" t="s">
        <v>101</v>
      </c>
      <c r="G485" s="4">
        <f t="shared" ca="1" si="7"/>
        <v>41</v>
      </c>
      <c r="H485" s="4">
        <v>3</v>
      </c>
    </row>
    <row r="486" spans="1:8" ht="15.6">
      <c r="A486" s="4" t="s">
        <v>490</v>
      </c>
      <c r="B486" s="5">
        <v>44505.049104107798</v>
      </c>
      <c r="C486" s="5">
        <v>44512.117258240098</v>
      </c>
      <c r="D486" s="4" t="s">
        <v>94</v>
      </c>
      <c r="E486" s="4" t="s">
        <v>491</v>
      </c>
      <c r="F486" s="4" t="s">
        <v>96</v>
      </c>
      <c r="G486" s="4">
        <f t="shared" ca="1" si="7"/>
        <v>61</v>
      </c>
      <c r="H486" s="4">
        <v>2</v>
      </c>
    </row>
    <row r="487" spans="1:8" ht="15.6">
      <c r="A487" s="4" t="s">
        <v>490</v>
      </c>
      <c r="B487" s="5">
        <v>44505.7141817753</v>
      </c>
      <c r="C487" s="5">
        <v>44512.5130720003</v>
      </c>
      <c r="D487" s="4" t="s">
        <v>94</v>
      </c>
      <c r="E487" s="4" t="s">
        <v>491</v>
      </c>
      <c r="F487" s="4" t="s">
        <v>110</v>
      </c>
      <c r="G487" s="4">
        <f t="shared" ca="1" si="7"/>
        <v>11</v>
      </c>
      <c r="H487" s="4">
        <v>8</v>
      </c>
    </row>
    <row r="488" spans="1:8" ht="15.6">
      <c r="A488" s="4" t="s">
        <v>492</v>
      </c>
      <c r="B488" s="5">
        <v>45244.581191698402</v>
      </c>
      <c r="C488" s="5">
        <v>45248.433161551897</v>
      </c>
      <c r="D488" s="4" t="s">
        <v>98</v>
      </c>
      <c r="E488" s="4" t="s">
        <v>493</v>
      </c>
      <c r="F488" s="4" t="s">
        <v>121</v>
      </c>
      <c r="G488" s="4">
        <f t="shared" ca="1" si="7"/>
        <v>40</v>
      </c>
      <c r="H488" s="4">
        <v>2</v>
      </c>
    </row>
    <row r="489" spans="1:8" ht="15.6">
      <c r="A489" s="4" t="s">
        <v>492</v>
      </c>
      <c r="B489" s="5">
        <v>45244.472525112498</v>
      </c>
      <c r="C489" s="5">
        <v>45248.972129383503</v>
      </c>
      <c r="D489" s="4" t="s">
        <v>98</v>
      </c>
      <c r="E489" s="4" t="s">
        <v>493</v>
      </c>
      <c r="F489" s="4" t="s">
        <v>118</v>
      </c>
      <c r="G489" s="4">
        <f t="shared" ca="1" si="7"/>
        <v>25</v>
      </c>
      <c r="H489" s="4">
        <v>4</v>
      </c>
    </row>
    <row r="490" spans="1:8" ht="15.6">
      <c r="A490" s="4" t="s">
        <v>492</v>
      </c>
      <c r="B490" s="5">
        <v>45244.114994504998</v>
      </c>
      <c r="C490" s="5">
        <v>45248.237788543098</v>
      </c>
      <c r="D490" s="4" t="s">
        <v>98</v>
      </c>
      <c r="E490" s="4" t="s">
        <v>493</v>
      </c>
      <c r="F490" s="4" t="s">
        <v>135</v>
      </c>
      <c r="G490" s="4">
        <f t="shared" ca="1" si="7"/>
        <v>73</v>
      </c>
      <c r="H490" s="4">
        <v>3</v>
      </c>
    </row>
    <row r="491" spans="1:8" ht="15.6">
      <c r="A491" s="4" t="s">
        <v>492</v>
      </c>
      <c r="B491" s="5">
        <v>45244.367723825701</v>
      </c>
      <c r="C491" s="5">
        <v>45248.708528033399</v>
      </c>
      <c r="D491" s="4" t="s">
        <v>98</v>
      </c>
      <c r="E491" s="4" t="s">
        <v>493</v>
      </c>
      <c r="F491" s="4" t="s">
        <v>131</v>
      </c>
      <c r="G491" s="4">
        <f t="shared" ca="1" si="7"/>
        <v>29</v>
      </c>
      <c r="H491" s="4">
        <v>3</v>
      </c>
    </row>
    <row r="492" spans="1:8" ht="15.6">
      <c r="A492" s="4" t="s">
        <v>492</v>
      </c>
      <c r="B492" s="5">
        <v>45244.011827549999</v>
      </c>
      <c r="C492" s="5">
        <v>45248.573261102603</v>
      </c>
      <c r="D492" s="4" t="s">
        <v>98</v>
      </c>
      <c r="E492" s="4" t="s">
        <v>493</v>
      </c>
      <c r="F492" s="4" t="s">
        <v>121</v>
      </c>
      <c r="G492" s="4">
        <f t="shared" ca="1" si="7"/>
        <v>30</v>
      </c>
      <c r="H492" s="4">
        <v>3</v>
      </c>
    </row>
    <row r="493" spans="1:8" ht="15.6">
      <c r="A493" s="4" t="s">
        <v>494</v>
      </c>
      <c r="B493" s="5">
        <v>45271.790147895503</v>
      </c>
      <c r="C493" s="5">
        <v>45275.721285357999</v>
      </c>
      <c r="D493" s="4" t="s">
        <v>94</v>
      </c>
      <c r="E493" s="4" t="s">
        <v>279</v>
      </c>
      <c r="F493" s="4" t="s">
        <v>106</v>
      </c>
      <c r="G493" s="4">
        <f t="shared" ca="1" si="7"/>
        <v>64</v>
      </c>
      <c r="H493" s="4">
        <v>2</v>
      </c>
    </row>
    <row r="494" spans="1:8" ht="15.6">
      <c r="A494" s="4" t="s">
        <v>494</v>
      </c>
      <c r="B494" s="5">
        <v>45271.793480004198</v>
      </c>
      <c r="C494" s="5">
        <v>45275.430475677</v>
      </c>
      <c r="D494" s="4" t="s">
        <v>94</v>
      </c>
      <c r="E494" s="4" t="s">
        <v>279</v>
      </c>
      <c r="F494" s="4" t="s">
        <v>100</v>
      </c>
      <c r="G494" s="4">
        <f t="shared" ca="1" si="7"/>
        <v>41</v>
      </c>
      <c r="H494" s="4">
        <v>4</v>
      </c>
    </row>
    <row r="495" spans="1:8" ht="15.6">
      <c r="A495" s="4" t="s">
        <v>494</v>
      </c>
      <c r="B495" s="5">
        <v>45271.409993995003</v>
      </c>
      <c r="C495" s="5">
        <v>45275.743751576498</v>
      </c>
      <c r="D495" s="4" t="s">
        <v>94</v>
      </c>
      <c r="E495" s="4" t="s">
        <v>279</v>
      </c>
      <c r="F495" s="4" t="s">
        <v>96</v>
      </c>
      <c r="G495" s="4">
        <f t="shared" ca="1" si="7"/>
        <v>79</v>
      </c>
      <c r="H495" s="4">
        <v>2</v>
      </c>
    </row>
    <row r="496" spans="1:8" ht="15.6">
      <c r="A496" s="4" t="s">
        <v>494</v>
      </c>
      <c r="B496" s="5">
        <v>45271.752130587898</v>
      </c>
      <c r="C496" s="5">
        <v>45275.717343025499</v>
      </c>
      <c r="D496" s="4" t="s">
        <v>94</v>
      </c>
      <c r="E496" s="4" t="s">
        <v>279</v>
      </c>
      <c r="F496" s="4" t="s">
        <v>144</v>
      </c>
      <c r="G496" s="4">
        <f t="shared" ca="1" si="7"/>
        <v>50</v>
      </c>
      <c r="H496" s="4">
        <v>2</v>
      </c>
    </row>
    <row r="497" spans="1:8" ht="15.6">
      <c r="A497" s="4" t="s">
        <v>495</v>
      </c>
      <c r="B497" s="5">
        <v>44307.347839451599</v>
      </c>
      <c r="C497" s="5">
        <v>44310.593790824401</v>
      </c>
      <c r="D497" s="4" t="s">
        <v>98</v>
      </c>
      <c r="E497" s="4" t="s">
        <v>496</v>
      </c>
      <c r="F497" s="4" t="s">
        <v>101</v>
      </c>
      <c r="G497" s="4">
        <f t="shared" ca="1" si="7"/>
        <v>37</v>
      </c>
      <c r="H497" s="4">
        <v>2</v>
      </c>
    </row>
    <row r="498" spans="1:8" ht="15.6">
      <c r="A498" s="4" t="s">
        <v>495</v>
      </c>
      <c r="B498" s="5">
        <v>44307.536866586197</v>
      </c>
      <c r="C498" s="5">
        <v>44310.885264295997</v>
      </c>
      <c r="D498" s="4" t="s">
        <v>98</v>
      </c>
      <c r="E498" s="4" t="s">
        <v>496</v>
      </c>
      <c r="F498" s="4" t="s">
        <v>109</v>
      </c>
      <c r="G498" s="4">
        <f t="shared" ca="1" si="7"/>
        <v>75</v>
      </c>
      <c r="H498" s="4">
        <v>5</v>
      </c>
    </row>
    <row r="499" spans="1:8" ht="15.6">
      <c r="A499" s="4" t="s">
        <v>495</v>
      </c>
      <c r="B499" s="5">
        <v>44307.637181697399</v>
      </c>
      <c r="C499" s="5">
        <v>44310.951106726498</v>
      </c>
      <c r="D499" s="4" t="s">
        <v>98</v>
      </c>
      <c r="E499" s="4" t="s">
        <v>496</v>
      </c>
      <c r="F499" s="4" t="s">
        <v>100</v>
      </c>
      <c r="G499" s="4">
        <f t="shared" ca="1" si="7"/>
        <v>66</v>
      </c>
      <c r="H499" s="4">
        <v>2</v>
      </c>
    </row>
    <row r="500" spans="1:8" ht="15.6">
      <c r="A500" s="4" t="s">
        <v>495</v>
      </c>
      <c r="B500" s="5">
        <v>44307.740716102402</v>
      </c>
      <c r="C500" s="5">
        <v>44310.8354307915</v>
      </c>
      <c r="D500" s="4" t="s">
        <v>98</v>
      </c>
      <c r="E500" s="4" t="s">
        <v>496</v>
      </c>
      <c r="F500" s="4" t="s">
        <v>96</v>
      </c>
      <c r="G500" s="4">
        <f t="shared" ca="1" si="7"/>
        <v>29</v>
      </c>
      <c r="H500" s="4">
        <v>6</v>
      </c>
    </row>
    <row r="501" spans="1:8" ht="15.6">
      <c r="A501" s="4" t="s">
        <v>495</v>
      </c>
      <c r="B501" s="5">
        <v>44307.759016553697</v>
      </c>
      <c r="C501" s="5">
        <v>44310.013581553001</v>
      </c>
      <c r="D501" s="4" t="s">
        <v>98</v>
      </c>
      <c r="E501" s="4" t="s">
        <v>496</v>
      </c>
      <c r="F501" s="4" t="s">
        <v>111</v>
      </c>
      <c r="G501" s="4">
        <f t="shared" ca="1" si="7"/>
        <v>89</v>
      </c>
      <c r="H501" s="4">
        <v>2</v>
      </c>
    </row>
    <row r="502" spans="1:8" ht="15.6">
      <c r="A502" s="4" t="s">
        <v>495</v>
      </c>
      <c r="B502" s="5">
        <v>44307.9952977145</v>
      </c>
      <c r="C502" s="5">
        <v>44310.702397667199</v>
      </c>
      <c r="D502" s="4" t="s">
        <v>98</v>
      </c>
      <c r="E502" s="4" t="s">
        <v>496</v>
      </c>
      <c r="F502" s="4" t="s">
        <v>121</v>
      </c>
      <c r="G502" s="4">
        <f t="shared" ca="1" si="7"/>
        <v>36</v>
      </c>
      <c r="H502" s="4">
        <v>2</v>
      </c>
    </row>
    <row r="503" spans="1:8" ht="15.6">
      <c r="A503" s="4" t="s">
        <v>495</v>
      </c>
      <c r="B503" s="5">
        <v>44307.752120869802</v>
      </c>
      <c r="C503" s="5">
        <v>44310.571411463898</v>
      </c>
      <c r="D503" s="4" t="s">
        <v>98</v>
      </c>
      <c r="E503" s="4" t="s">
        <v>496</v>
      </c>
      <c r="F503" s="4" t="s">
        <v>135</v>
      </c>
      <c r="G503" s="4">
        <f t="shared" ca="1" si="7"/>
        <v>60</v>
      </c>
      <c r="H503" s="4">
        <v>3</v>
      </c>
    </row>
    <row r="504" spans="1:8" ht="15.6">
      <c r="A504" s="4" t="s">
        <v>497</v>
      </c>
      <c r="B504" s="5">
        <v>44643.639970963603</v>
      </c>
      <c r="C504" s="5">
        <v>44643.751486142697</v>
      </c>
      <c r="D504" s="4" t="s">
        <v>98</v>
      </c>
      <c r="E504" s="4" t="s">
        <v>183</v>
      </c>
      <c r="F504" s="4" t="s">
        <v>131</v>
      </c>
      <c r="G504" s="4">
        <f t="shared" ca="1" si="7"/>
        <v>66</v>
      </c>
      <c r="H504" s="4">
        <v>4</v>
      </c>
    </row>
    <row r="505" spans="1:8" ht="15.6">
      <c r="A505" s="4" t="s">
        <v>497</v>
      </c>
      <c r="B505" s="5">
        <v>44643.713734221703</v>
      </c>
      <c r="C505" s="5">
        <v>44643.915011531397</v>
      </c>
      <c r="D505" s="4" t="s">
        <v>98</v>
      </c>
      <c r="E505" s="4" t="s">
        <v>183</v>
      </c>
      <c r="F505" s="4" t="s">
        <v>131</v>
      </c>
      <c r="G505" s="4">
        <f t="shared" ca="1" si="7"/>
        <v>22</v>
      </c>
      <c r="H505" s="4">
        <v>2</v>
      </c>
    </row>
    <row r="506" spans="1:8" ht="15.6">
      <c r="A506" s="4" t="s">
        <v>498</v>
      </c>
      <c r="B506" s="5">
        <v>45173.2172451121</v>
      </c>
      <c r="C506" s="5">
        <v>45177.008836852401</v>
      </c>
      <c r="D506" s="4" t="s">
        <v>98</v>
      </c>
      <c r="E506" s="4" t="s">
        <v>472</v>
      </c>
      <c r="F506" s="4" t="s">
        <v>112</v>
      </c>
      <c r="G506" s="4">
        <f t="shared" ca="1" si="7"/>
        <v>17</v>
      </c>
      <c r="H506" s="4">
        <v>4</v>
      </c>
    </row>
    <row r="507" spans="1:8" ht="15.6">
      <c r="A507" s="4" t="s">
        <v>499</v>
      </c>
      <c r="B507" s="5">
        <v>44461.915168628599</v>
      </c>
      <c r="C507" s="5">
        <v>44466.696103502298</v>
      </c>
      <c r="D507" s="4" t="s">
        <v>114</v>
      </c>
      <c r="E507" s="4" t="s">
        <v>500</v>
      </c>
      <c r="F507" s="4" t="s">
        <v>141</v>
      </c>
      <c r="G507" s="4">
        <f t="shared" ca="1" si="7"/>
        <v>58</v>
      </c>
      <c r="H507" s="4">
        <v>5</v>
      </c>
    </row>
    <row r="508" spans="1:8" ht="15.6">
      <c r="A508" s="4" t="s">
        <v>501</v>
      </c>
      <c r="B508" s="5">
        <v>45219.5729165429</v>
      </c>
      <c r="C508" s="5">
        <v>45221.525659183302</v>
      </c>
      <c r="D508" s="4" t="s">
        <v>98</v>
      </c>
      <c r="E508" s="4" t="s">
        <v>502</v>
      </c>
      <c r="F508" s="4" t="s">
        <v>125</v>
      </c>
      <c r="G508" s="4">
        <f t="shared" ca="1" si="7"/>
        <v>97</v>
      </c>
      <c r="H508" s="4">
        <v>3</v>
      </c>
    </row>
    <row r="509" spans="1:8" ht="15.6">
      <c r="A509" s="4" t="s">
        <v>503</v>
      </c>
      <c r="B509" s="5">
        <v>44245.5993517815</v>
      </c>
      <c r="C509" s="5">
        <v>44252.725587565103</v>
      </c>
      <c r="D509" s="4" t="s">
        <v>114</v>
      </c>
      <c r="E509" s="4" t="s">
        <v>207</v>
      </c>
      <c r="F509" s="4" t="s">
        <v>109</v>
      </c>
      <c r="G509" s="4">
        <f t="shared" ca="1" si="7"/>
        <v>17</v>
      </c>
      <c r="H509" s="4">
        <v>3</v>
      </c>
    </row>
    <row r="510" spans="1:8" ht="15.6">
      <c r="A510" s="4" t="s">
        <v>504</v>
      </c>
      <c r="B510" s="5">
        <v>44586.439593110597</v>
      </c>
      <c r="C510" s="5">
        <v>44590.734179783503</v>
      </c>
      <c r="D510" s="4" t="s">
        <v>94</v>
      </c>
      <c r="E510" s="4" t="s">
        <v>505</v>
      </c>
      <c r="F510" s="4" t="s">
        <v>131</v>
      </c>
      <c r="G510" s="4">
        <f t="shared" ca="1" si="7"/>
        <v>99</v>
      </c>
      <c r="H510" s="4">
        <v>3</v>
      </c>
    </row>
    <row r="511" spans="1:8" ht="15.6">
      <c r="A511" s="4" t="s">
        <v>506</v>
      </c>
      <c r="B511" s="5">
        <v>45125.033196956101</v>
      </c>
      <c r="C511" s="5">
        <v>45129.9534878306</v>
      </c>
      <c r="D511" s="4" t="s">
        <v>98</v>
      </c>
      <c r="E511" s="4" t="s">
        <v>502</v>
      </c>
      <c r="F511" s="4" t="s">
        <v>121</v>
      </c>
      <c r="G511" s="4">
        <f t="shared" ca="1" si="7"/>
        <v>78</v>
      </c>
      <c r="H511" s="4">
        <v>3</v>
      </c>
    </row>
    <row r="512" spans="1:8" ht="15.6">
      <c r="A512" s="4" t="s">
        <v>506</v>
      </c>
      <c r="B512" s="5">
        <v>45125.049288938397</v>
      </c>
      <c r="C512" s="5">
        <v>45129.505862429403</v>
      </c>
      <c r="D512" s="4" t="s">
        <v>98</v>
      </c>
      <c r="E512" s="4" t="s">
        <v>502</v>
      </c>
      <c r="F512" s="4" t="s">
        <v>96</v>
      </c>
      <c r="G512" s="4">
        <f t="shared" ca="1" si="7"/>
        <v>41</v>
      </c>
      <c r="H512" s="4">
        <v>5</v>
      </c>
    </row>
    <row r="513" spans="1:8" ht="15.6">
      <c r="A513" s="4" t="s">
        <v>507</v>
      </c>
      <c r="B513" s="5">
        <v>45152.146627394301</v>
      </c>
      <c r="C513" s="5">
        <v>45156.0864541091</v>
      </c>
      <c r="D513" s="4" t="s">
        <v>98</v>
      </c>
      <c r="E513" s="4" t="s">
        <v>409</v>
      </c>
      <c r="F513" s="4" t="s">
        <v>121</v>
      </c>
      <c r="G513" s="4">
        <f t="shared" ca="1" si="7"/>
        <v>25</v>
      </c>
      <c r="H513" s="4">
        <v>3</v>
      </c>
    </row>
    <row r="514" spans="1:8" ht="15.6">
      <c r="A514" s="4" t="s">
        <v>508</v>
      </c>
      <c r="B514" s="5">
        <v>45177.909330812297</v>
      </c>
      <c r="C514" s="5">
        <v>45181.260699790801</v>
      </c>
      <c r="D514" s="4" t="s">
        <v>98</v>
      </c>
      <c r="E514" s="4" t="s">
        <v>509</v>
      </c>
      <c r="F514" s="4" t="s">
        <v>106</v>
      </c>
      <c r="G514" s="4">
        <f t="shared" ref="G514:G577" ca="1" si="8">RANDBETWEEN(10,100)</f>
        <v>21</v>
      </c>
      <c r="H514" s="4">
        <v>4</v>
      </c>
    </row>
    <row r="515" spans="1:8" ht="15.6">
      <c r="A515" s="4" t="s">
        <v>508</v>
      </c>
      <c r="B515" s="5">
        <v>45177.604421592398</v>
      </c>
      <c r="C515" s="5">
        <v>45181.524991744896</v>
      </c>
      <c r="D515" s="4" t="s">
        <v>98</v>
      </c>
      <c r="E515" s="4" t="s">
        <v>509</v>
      </c>
      <c r="F515" s="4" t="s">
        <v>112</v>
      </c>
      <c r="G515" s="4">
        <f t="shared" ca="1" si="8"/>
        <v>38</v>
      </c>
      <c r="H515" s="4">
        <v>4</v>
      </c>
    </row>
    <row r="516" spans="1:8" ht="15.6">
      <c r="A516" s="4" t="s">
        <v>508</v>
      </c>
      <c r="B516" s="5">
        <v>45177.9787035107</v>
      </c>
      <c r="C516" s="5">
        <v>45181.574212511703</v>
      </c>
      <c r="D516" s="4" t="s">
        <v>98</v>
      </c>
      <c r="E516" s="4" t="s">
        <v>509</v>
      </c>
      <c r="F516" s="4" t="s">
        <v>110</v>
      </c>
      <c r="G516" s="4">
        <f t="shared" ca="1" si="8"/>
        <v>28</v>
      </c>
      <c r="H516" s="4">
        <v>3</v>
      </c>
    </row>
    <row r="517" spans="1:8" ht="15.6">
      <c r="A517" s="4" t="s">
        <v>508</v>
      </c>
      <c r="B517" s="5">
        <v>45177.671368807401</v>
      </c>
      <c r="C517" s="5">
        <v>45181.085650592497</v>
      </c>
      <c r="D517" s="4" t="s">
        <v>98</v>
      </c>
      <c r="E517" s="4" t="s">
        <v>509</v>
      </c>
      <c r="F517" s="4" t="s">
        <v>111</v>
      </c>
      <c r="G517" s="4">
        <f t="shared" ca="1" si="8"/>
        <v>58</v>
      </c>
      <c r="H517" s="4">
        <v>3</v>
      </c>
    </row>
    <row r="518" spans="1:8" ht="15.6">
      <c r="A518" s="4" t="s">
        <v>510</v>
      </c>
      <c r="B518" s="5">
        <v>44973.032070682901</v>
      </c>
      <c r="C518" s="5">
        <v>44973.944535361399</v>
      </c>
      <c r="D518" s="4" t="s">
        <v>98</v>
      </c>
      <c r="E518" s="4" t="s">
        <v>273</v>
      </c>
      <c r="F518" s="4" t="s">
        <v>100</v>
      </c>
      <c r="G518" s="4">
        <f t="shared" ca="1" si="8"/>
        <v>32</v>
      </c>
      <c r="H518" s="4">
        <v>3</v>
      </c>
    </row>
    <row r="519" spans="1:8" ht="15.6">
      <c r="A519" s="4" t="s">
        <v>510</v>
      </c>
      <c r="B519" s="5">
        <v>44973.267114061302</v>
      </c>
      <c r="C519" s="5">
        <v>44973.649960809598</v>
      </c>
      <c r="D519" s="4" t="s">
        <v>98</v>
      </c>
      <c r="E519" s="4" t="s">
        <v>273</v>
      </c>
      <c r="F519" s="4" t="s">
        <v>111</v>
      </c>
      <c r="G519" s="4">
        <f t="shared" ca="1" si="8"/>
        <v>95</v>
      </c>
      <c r="H519" s="4">
        <v>7</v>
      </c>
    </row>
    <row r="520" spans="1:8" ht="15.6">
      <c r="A520" s="4" t="s">
        <v>511</v>
      </c>
      <c r="B520" s="5">
        <v>44705.915869447497</v>
      </c>
      <c r="C520" s="5">
        <v>44710.439560612802</v>
      </c>
      <c r="D520" s="4" t="s">
        <v>98</v>
      </c>
      <c r="E520" s="4" t="s">
        <v>143</v>
      </c>
      <c r="F520" s="4" t="s">
        <v>141</v>
      </c>
      <c r="G520" s="4">
        <f t="shared" ca="1" si="8"/>
        <v>29</v>
      </c>
      <c r="H520" s="4">
        <v>2</v>
      </c>
    </row>
    <row r="521" spans="1:8" ht="15.6">
      <c r="A521" s="4" t="s">
        <v>512</v>
      </c>
      <c r="B521" s="5">
        <v>44561.495239389202</v>
      </c>
      <c r="C521" s="5">
        <v>44563.163667659603</v>
      </c>
      <c r="D521" s="4" t="s">
        <v>98</v>
      </c>
      <c r="E521" s="4" t="s">
        <v>513</v>
      </c>
      <c r="F521" s="4" t="s">
        <v>118</v>
      </c>
      <c r="G521" s="4">
        <f t="shared" ca="1" si="8"/>
        <v>14</v>
      </c>
      <c r="H521" s="4">
        <v>5</v>
      </c>
    </row>
    <row r="522" spans="1:8" ht="15.6">
      <c r="A522" s="4" t="s">
        <v>514</v>
      </c>
      <c r="B522" s="5">
        <v>44994.570013439399</v>
      </c>
      <c r="C522" s="5">
        <v>45000.100510423901</v>
      </c>
      <c r="D522" s="4" t="s">
        <v>94</v>
      </c>
      <c r="E522" s="4" t="s">
        <v>354</v>
      </c>
      <c r="F522" s="4" t="s">
        <v>96</v>
      </c>
      <c r="G522" s="4">
        <f t="shared" ca="1" si="8"/>
        <v>96</v>
      </c>
      <c r="H522" s="4">
        <v>6</v>
      </c>
    </row>
    <row r="523" spans="1:8" ht="15.6">
      <c r="A523" s="4" t="s">
        <v>515</v>
      </c>
      <c r="B523" s="5">
        <v>45222.794639097199</v>
      </c>
      <c r="C523" s="5">
        <v>45228.845476259601</v>
      </c>
      <c r="D523" s="4" t="s">
        <v>98</v>
      </c>
      <c r="E523" s="4" t="s">
        <v>516</v>
      </c>
      <c r="F523" s="4" t="s">
        <v>118</v>
      </c>
      <c r="G523" s="4">
        <f t="shared" ca="1" si="8"/>
        <v>73</v>
      </c>
      <c r="H523" s="4">
        <v>2</v>
      </c>
    </row>
    <row r="524" spans="1:8" ht="15.6">
      <c r="A524" s="4" t="s">
        <v>517</v>
      </c>
      <c r="B524" s="5">
        <v>44497.6140288428</v>
      </c>
      <c r="C524" s="5">
        <v>44504.426691159402</v>
      </c>
      <c r="D524" s="4" t="s">
        <v>98</v>
      </c>
      <c r="E524" s="4" t="s">
        <v>518</v>
      </c>
      <c r="F524" s="4" t="s">
        <v>100</v>
      </c>
      <c r="G524" s="4">
        <f t="shared" ca="1" si="8"/>
        <v>27</v>
      </c>
      <c r="H524" s="4">
        <v>3</v>
      </c>
    </row>
    <row r="525" spans="1:8" ht="15.6">
      <c r="A525" s="4" t="s">
        <v>519</v>
      </c>
      <c r="B525" s="5">
        <v>45096.224263300603</v>
      </c>
      <c r="C525" s="5">
        <v>45096.935631987297</v>
      </c>
      <c r="D525" s="4" t="s">
        <v>94</v>
      </c>
      <c r="E525" s="4" t="s">
        <v>520</v>
      </c>
      <c r="F525" s="4" t="s">
        <v>101</v>
      </c>
      <c r="G525" s="4">
        <f t="shared" ca="1" si="8"/>
        <v>20</v>
      </c>
      <c r="H525" s="4">
        <v>3</v>
      </c>
    </row>
    <row r="526" spans="1:8" ht="15.6">
      <c r="A526" s="4" t="s">
        <v>521</v>
      </c>
      <c r="B526" s="5">
        <v>44638.150436020303</v>
      </c>
      <c r="C526" s="5">
        <v>44643.450712327802</v>
      </c>
      <c r="D526" s="4" t="s">
        <v>114</v>
      </c>
      <c r="E526" s="4" t="s">
        <v>185</v>
      </c>
      <c r="F526" s="4" t="s">
        <v>141</v>
      </c>
      <c r="G526" s="4">
        <f t="shared" ca="1" si="8"/>
        <v>78</v>
      </c>
      <c r="H526" s="4">
        <v>1</v>
      </c>
    </row>
    <row r="527" spans="1:8" ht="15.6">
      <c r="A527" s="4" t="s">
        <v>522</v>
      </c>
      <c r="B527" s="5">
        <v>44607.858064471002</v>
      </c>
      <c r="C527" s="5">
        <v>44612.459568855404</v>
      </c>
      <c r="D527" s="4" t="s">
        <v>94</v>
      </c>
      <c r="E527" s="4" t="s">
        <v>197</v>
      </c>
      <c r="F527" s="4" t="s">
        <v>110</v>
      </c>
      <c r="G527" s="4">
        <f t="shared" ca="1" si="8"/>
        <v>59</v>
      </c>
      <c r="H527" s="4">
        <v>4</v>
      </c>
    </row>
    <row r="528" spans="1:8" ht="15.6">
      <c r="A528" s="4" t="s">
        <v>522</v>
      </c>
      <c r="B528" s="5">
        <v>44607.738377052199</v>
      </c>
      <c r="C528" s="5">
        <v>44612.4282785084</v>
      </c>
      <c r="D528" s="4" t="s">
        <v>94</v>
      </c>
      <c r="E528" s="4" t="s">
        <v>197</v>
      </c>
      <c r="F528" s="4" t="s">
        <v>135</v>
      </c>
      <c r="G528" s="4">
        <f t="shared" ca="1" si="8"/>
        <v>61</v>
      </c>
      <c r="H528" s="4">
        <v>1</v>
      </c>
    </row>
    <row r="529" spans="1:8" ht="15.6">
      <c r="A529" s="4" t="s">
        <v>522</v>
      </c>
      <c r="B529" s="5">
        <v>44607.704933838497</v>
      </c>
      <c r="C529" s="5">
        <v>44612.869754639803</v>
      </c>
      <c r="D529" s="4" t="s">
        <v>94</v>
      </c>
      <c r="E529" s="4" t="s">
        <v>197</v>
      </c>
      <c r="F529" s="4" t="s">
        <v>131</v>
      </c>
      <c r="G529" s="4">
        <f t="shared" ca="1" si="8"/>
        <v>54</v>
      </c>
      <c r="H529" s="4">
        <v>1</v>
      </c>
    </row>
    <row r="530" spans="1:8" ht="15.6">
      <c r="A530" s="4" t="s">
        <v>523</v>
      </c>
      <c r="B530" s="5">
        <v>44319.904523858997</v>
      </c>
      <c r="C530" s="5">
        <v>44322.326028899399</v>
      </c>
      <c r="D530" s="4" t="s">
        <v>94</v>
      </c>
      <c r="E530" s="4" t="s">
        <v>524</v>
      </c>
      <c r="F530" s="4" t="s">
        <v>125</v>
      </c>
      <c r="G530" s="4">
        <f t="shared" ca="1" si="8"/>
        <v>35</v>
      </c>
      <c r="H530" s="4">
        <v>7</v>
      </c>
    </row>
    <row r="531" spans="1:8" ht="15.6">
      <c r="A531" s="4" t="s">
        <v>525</v>
      </c>
      <c r="B531" s="5">
        <v>44449.079075651403</v>
      </c>
      <c r="C531" s="5">
        <v>44453.195798811197</v>
      </c>
      <c r="D531" s="4" t="s">
        <v>94</v>
      </c>
      <c r="E531" s="4" t="s">
        <v>174</v>
      </c>
      <c r="F531" s="4" t="s">
        <v>141</v>
      </c>
      <c r="G531" s="4">
        <f t="shared" ca="1" si="8"/>
        <v>98</v>
      </c>
      <c r="H531" s="4">
        <v>1</v>
      </c>
    </row>
    <row r="532" spans="1:8" ht="15.6">
      <c r="A532" s="4" t="s">
        <v>525</v>
      </c>
      <c r="B532" s="5">
        <v>44449.274879435601</v>
      </c>
      <c r="C532" s="5">
        <v>44453.213129989701</v>
      </c>
      <c r="D532" s="4" t="s">
        <v>94</v>
      </c>
      <c r="E532" s="4" t="s">
        <v>174</v>
      </c>
      <c r="F532" s="4" t="s">
        <v>101</v>
      </c>
      <c r="G532" s="4">
        <f t="shared" ca="1" si="8"/>
        <v>51</v>
      </c>
      <c r="H532" s="4">
        <v>3</v>
      </c>
    </row>
    <row r="533" spans="1:8" ht="15.6">
      <c r="A533" s="4" t="s">
        <v>526</v>
      </c>
      <c r="B533" s="5">
        <v>44426.695043458298</v>
      </c>
      <c r="C533" s="5">
        <v>44431.727704509802</v>
      </c>
      <c r="D533" s="4" t="s">
        <v>98</v>
      </c>
      <c r="E533" s="4" t="s">
        <v>527</v>
      </c>
      <c r="F533" s="4" t="s">
        <v>131</v>
      </c>
      <c r="G533" s="4">
        <f t="shared" ca="1" si="8"/>
        <v>66</v>
      </c>
      <c r="H533" s="4">
        <v>3</v>
      </c>
    </row>
    <row r="534" spans="1:8" ht="15.6">
      <c r="A534" s="4" t="s">
        <v>526</v>
      </c>
      <c r="B534" s="5">
        <v>44426.744015357399</v>
      </c>
      <c r="C534" s="5">
        <v>44431.675375926701</v>
      </c>
      <c r="D534" s="4" t="s">
        <v>98</v>
      </c>
      <c r="E534" s="4" t="s">
        <v>527</v>
      </c>
      <c r="F534" s="4" t="s">
        <v>122</v>
      </c>
      <c r="G534" s="4">
        <f t="shared" ca="1" si="8"/>
        <v>26</v>
      </c>
      <c r="H534" s="4">
        <v>2</v>
      </c>
    </row>
    <row r="535" spans="1:8" ht="15.6">
      <c r="A535" s="4" t="s">
        <v>528</v>
      </c>
      <c r="B535" s="5">
        <v>44924.209947828298</v>
      </c>
      <c r="C535" s="5">
        <v>44926.910885951402</v>
      </c>
      <c r="D535" s="4" t="s">
        <v>98</v>
      </c>
      <c r="E535" s="4" t="s">
        <v>529</v>
      </c>
      <c r="F535" s="4" t="s">
        <v>100</v>
      </c>
      <c r="G535" s="4">
        <f t="shared" ca="1" si="8"/>
        <v>79</v>
      </c>
      <c r="H535" s="4">
        <v>8</v>
      </c>
    </row>
    <row r="536" spans="1:8" ht="15.6">
      <c r="A536" s="4" t="s">
        <v>528</v>
      </c>
      <c r="B536" s="5">
        <v>44924.997163382497</v>
      </c>
      <c r="C536" s="5">
        <v>44926.7231835122</v>
      </c>
      <c r="D536" s="4" t="s">
        <v>98</v>
      </c>
      <c r="E536" s="4" t="s">
        <v>529</v>
      </c>
      <c r="F536" s="4" t="s">
        <v>110</v>
      </c>
      <c r="G536" s="4">
        <f t="shared" ca="1" si="8"/>
        <v>20</v>
      </c>
      <c r="H536" s="4">
        <v>5</v>
      </c>
    </row>
    <row r="537" spans="1:8" ht="15.6">
      <c r="A537" s="4" t="s">
        <v>528</v>
      </c>
      <c r="B537" s="5">
        <v>44924.045778840999</v>
      </c>
      <c r="C537" s="5">
        <v>44926.014883987002</v>
      </c>
      <c r="D537" s="4" t="s">
        <v>98</v>
      </c>
      <c r="E537" s="4" t="s">
        <v>529</v>
      </c>
      <c r="F537" s="4" t="s">
        <v>110</v>
      </c>
      <c r="G537" s="4">
        <f t="shared" ca="1" si="8"/>
        <v>58</v>
      </c>
      <c r="H537" s="4">
        <v>1</v>
      </c>
    </row>
    <row r="538" spans="1:8" ht="15.6">
      <c r="A538" s="4" t="s">
        <v>530</v>
      </c>
      <c r="B538" s="5">
        <v>45243.778715607303</v>
      </c>
      <c r="C538" s="5">
        <v>45247.138641981903</v>
      </c>
      <c r="D538" s="4" t="s">
        <v>94</v>
      </c>
      <c r="E538" s="4" t="s">
        <v>160</v>
      </c>
      <c r="F538" s="4" t="s">
        <v>111</v>
      </c>
      <c r="G538" s="4">
        <f t="shared" ca="1" si="8"/>
        <v>58</v>
      </c>
      <c r="H538" s="4">
        <v>3</v>
      </c>
    </row>
    <row r="539" spans="1:8" ht="15.6">
      <c r="A539" s="4" t="s">
        <v>530</v>
      </c>
      <c r="B539" s="5">
        <v>45243.276039776603</v>
      </c>
      <c r="C539" s="5">
        <v>45247.425902758398</v>
      </c>
      <c r="D539" s="4" t="s">
        <v>94</v>
      </c>
      <c r="E539" s="4" t="s">
        <v>160</v>
      </c>
      <c r="F539" s="4" t="s">
        <v>125</v>
      </c>
      <c r="G539" s="4">
        <f t="shared" ca="1" si="8"/>
        <v>94</v>
      </c>
      <c r="H539" s="4">
        <v>6</v>
      </c>
    </row>
    <row r="540" spans="1:8" ht="15.6">
      <c r="A540" s="4" t="s">
        <v>530</v>
      </c>
      <c r="B540" s="5">
        <v>45243.8584541686</v>
      </c>
      <c r="C540" s="5">
        <v>45247.0601430319</v>
      </c>
      <c r="D540" s="4" t="s">
        <v>94</v>
      </c>
      <c r="E540" s="4" t="s">
        <v>160</v>
      </c>
      <c r="F540" s="4" t="s">
        <v>100</v>
      </c>
      <c r="G540" s="4">
        <f t="shared" ca="1" si="8"/>
        <v>92</v>
      </c>
      <c r="H540" s="4">
        <v>2</v>
      </c>
    </row>
    <row r="541" spans="1:8" ht="15.6">
      <c r="A541" s="4" t="s">
        <v>530</v>
      </c>
      <c r="B541" s="5">
        <v>45243.137829262101</v>
      </c>
      <c r="C541" s="5">
        <v>45247.2759835205</v>
      </c>
      <c r="D541" s="4" t="s">
        <v>94</v>
      </c>
      <c r="E541" s="4" t="s">
        <v>160</v>
      </c>
      <c r="F541" s="4" t="s">
        <v>122</v>
      </c>
      <c r="G541" s="4">
        <f t="shared" ca="1" si="8"/>
        <v>46</v>
      </c>
      <c r="H541" s="4">
        <v>3</v>
      </c>
    </row>
    <row r="542" spans="1:8" ht="15.6">
      <c r="A542" s="4" t="s">
        <v>530</v>
      </c>
      <c r="B542" s="5">
        <v>45243.111411734499</v>
      </c>
      <c r="C542" s="5">
        <v>45247.106867180097</v>
      </c>
      <c r="D542" s="4" t="s">
        <v>94</v>
      </c>
      <c r="E542" s="4" t="s">
        <v>160</v>
      </c>
      <c r="F542" s="4" t="s">
        <v>110</v>
      </c>
      <c r="G542" s="4">
        <f t="shared" ca="1" si="8"/>
        <v>95</v>
      </c>
      <c r="H542" s="4">
        <v>1</v>
      </c>
    </row>
    <row r="543" spans="1:8" ht="15.6">
      <c r="A543" s="4" t="s">
        <v>531</v>
      </c>
      <c r="B543" s="5">
        <v>45274.133782768098</v>
      </c>
      <c r="C543" s="5">
        <v>45276.875007806499</v>
      </c>
      <c r="D543" s="4" t="s">
        <v>98</v>
      </c>
      <c r="E543" s="4" t="s">
        <v>95</v>
      </c>
      <c r="F543" s="4" t="s">
        <v>121</v>
      </c>
      <c r="G543" s="4">
        <f t="shared" ca="1" si="8"/>
        <v>34</v>
      </c>
      <c r="H543" s="4">
        <v>4</v>
      </c>
    </row>
    <row r="544" spans="1:8" ht="15.6">
      <c r="A544" s="4" t="s">
        <v>531</v>
      </c>
      <c r="B544" s="5">
        <v>45274.831991339401</v>
      </c>
      <c r="C544" s="5">
        <v>45276.215125970499</v>
      </c>
      <c r="D544" s="4" t="s">
        <v>98</v>
      </c>
      <c r="E544" s="4" t="s">
        <v>95</v>
      </c>
      <c r="F544" s="4" t="s">
        <v>122</v>
      </c>
      <c r="G544" s="4">
        <f t="shared" ca="1" si="8"/>
        <v>99</v>
      </c>
      <c r="H544" s="4">
        <v>3</v>
      </c>
    </row>
    <row r="545" spans="1:8" ht="15.6">
      <c r="A545" s="4" t="s">
        <v>532</v>
      </c>
      <c r="B545" s="5">
        <v>45071.786863655601</v>
      </c>
      <c r="C545" s="5">
        <v>45075.664928472303</v>
      </c>
      <c r="D545" s="4" t="s">
        <v>94</v>
      </c>
      <c r="E545" s="4" t="s">
        <v>533</v>
      </c>
      <c r="F545" s="4" t="s">
        <v>125</v>
      </c>
      <c r="G545" s="4">
        <f t="shared" ca="1" si="8"/>
        <v>59</v>
      </c>
      <c r="H545" s="4">
        <v>5</v>
      </c>
    </row>
    <row r="546" spans="1:8" ht="15.6">
      <c r="A546" s="4" t="s">
        <v>532</v>
      </c>
      <c r="B546" s="5">
        <v>45071.618451517897</v>
      </c>
      <c r="C546" s="5">
        <v>45075.660660971997</v>
      </c>
      <c r="D546" s="4" t="s">
        <v>94</v>
      </c>
      <c r="E546" s="4" t="s">
        <v>533</v>
      </c>
      <c r="F546" s="4" t="s">
        <v>106</v>
      </c>
      <c r="G546" s="4">
        <f t="shared" ca="1" si="8"/>
        <v>79</v>
      </c>
      <c r="H546" s="4">
        <v>2</v>
      </c>
    </row>
    <row r="547" spans="1:8" ht="15.6">
      <c r="A547" s="4" t="s">
        <v>532</v>
      </c>
      <c r="B547" s="5">
        <v>45071.9103372397</v>
      </c>
      <c r="C547" s="5">
        <v>45075.543717834997</v>
      </c>
      <c r="D547" s="4" t="s">
        <v>94</v>
      </c>
      <c r="E547" s="4" t="s">
        <v>533</v>
      </c>
      <c r="F547" s="4" t="s">
        <v>141</v>
      </c>
      <c r="G547" s="4">
        <f t="shared" ca="1" si="8"/>
        <v>22</v>
      </c>
      <c r="H547" s="4">
        <v>2</v>
      </c>
    </row>
    <row r="548" spans="1:8" ht="15.6">
      <c r="A548" s="4" t="s">
        <v>534</v>
      </c>
      <c r="B548" s="5">
        <v>44580.159778693604</v>
      </c>
      <c r="C548" s="5">
        <v>44585.612428743902</v>
      </c>
      <c r="D548" s="4" t="s">
        <v>94</v>
      </c>
      <c r="E548" s="4" t="s">
        <v>239</v>
      </c>
      <c r="F548" s="4" t="s">
        <v>121</v>
      </c>
      <c r="G548" s="4">
        <f t="shared" ca="1" si="8"/>
        <v>60</v>
      </c>
      <c r="H548" s="4">
        <v>5</v>
      </c>
    </row>
    <row r="549" spans="1:8" ht="15.6">
      <c r="A549" s="4" t="s">
        <v>534</v>
      </c>
      <c r="B549" s="5">
        <v>44580.104805818199</v>
      </c>
      <c r="C549" s="5">
        <v>44585.609938981899</v>
      </c>
      <c r="D549" s="4" t="s">
        <v>94</v>
      </c>
      <c r="E549" s="4" t="s">
        <v>239</v>
      </c>
      <c r="F549" s="4" t="s">
        <v>106</v>
      </c>
      <c r="G549" s="4">
        <f t="shared" ca="1" si="8"/>
        <v>68</v>
      </c>
      <c r="H549" s="4">
        <v>11</v>
      </c>
    </row>
    <row r="550" spans="1:8" ht="15.6">
      <c r="A550" s="4" t="s">
        <v>535</v>
      </c>
      <c r="B550" s="5">
        <v>45031.9544063094</v>
      </c>
      <c r="C550" s="5">
        <v>45035.574523606803</v>
      </c>
      <c r="D550" s="4" t="s">
        <v>94</v>
      </c>
      <c r="E550" s="4" t="s">
        <v>536</v>
      </c>
      <c r="F550" s="4" t="s">
        <v>130</v>
      </c>
      <c r="G550" s="4">
        <f t="shared" ca="1" si="8"/>
        <v>30</v>
      </c>
      <c r="H550" s="4">
        <v>2</v>
      </c>
    </row>
    <row r="551" spans="1:8" ht="15.6">
      <c r="A551" s="4" t="s">
        <v>535</v>
      </c>
      <c r="B551" s="5">
        <v>45031.8266320736</v>
      </c>
      <c r="C551" s="5">
        <v>45035.555989128698</v>
      </c>
      <c r="D551" s="4" t="s">
        <v>94</v>
      </c>
      <c r="E551" s="4" t="s">
        <v>536</v>
      </c>
      <c r="F551" s="4" t="s">
        <v>130</v>
      </c>
      <c r="G551" s="4">
        <f t="shared" ca="1" si="8"/>
        <v>48</v>
      </c>
      <c r="H551" s="4">
        <v>4</v>
      </c>
    </row>
    <row r="552" spans="1:8" ht="15.6">
      <c r="A552" s="4" t="s">
        <v>535</v>
      </c>
      <c r="B552" s="5">
        <v>45031.622348136902</v>
      </c>
      <c r="C552" s="5">
        <v>45035.557568006901</v>
      </c>
      <c r="D552" s="4" t="s">
        <v>94</v>
      </c>
      <c r="E552" s="4" t="s">
        <v>536</v>
      </c>
      <c r="F552" s="4" t="s">
        <v>130</v>
      </c>
      <c r="G552" s="4">
        <f t="shared" ca="1" si="8"/>
        <v>96</v>
      </c>
      <c r="H552" s="4">
        <v>3</v>
      </c>
    </row>
    <row r="553" spans="1:8" ht="15.6">
      <c r="A553" s="4" t="s">
        <v>537</v>
      </c>
      <c r="B553" s="5">
        <v>44498.516318624002</v>
      </c>
      <c r="C553" s="5">
        <v>44505.936883813003</v>
      </c>
      <c r="D553" s="4" t="s">
        <v>94</v>
      </c>
      <c r="E553" s="4" t="s">
        <v>284</v>
      </c>
      <c r="F553" s="4" t="s">
        <v>118</v>
      </c>
      <c r="G553" s="4">
        <f t="shared" ca="1" si="8"/>
        <v>58</v>
      </c>
      <c r="H553" s="4">
        <v>2</v>
      </c>
    </row>
    <row r="554" spans="1:8" ht="15.6">
      <c r="A554" s="4" t="s">
        <v>538</v>
      </c>
      <c r="B554" s="5">
        <v>45041.340360793802</v>
      </c>
      <c r="C554" s="5">
        <v>45045.648415377502</v>
      </c>
      <c r="D554" s="4" t="s">
        <v>94</v>
      </c>
      <c r="E554" s="4" t="s">
        <v>117</v>
      </c>
      <c r="F554" s="4" t="s">
        <v>141</v>
      </c>
      <c r="G554" s="4">
        <f t="shared" ca="1" si="8"/>
        <v>19</v>
      </c>
      <c r="H554" s="4">
        <v>6</v>
      </c>
    </row>
    <row r="555" spans="1:8" ht="15.6">
      <c r="A555" s="4" t="s">
        <v>539</v>
      </c>
      <c r="B555" s="5">
        <v>45097.644056159203</v>
      </c>
      <c r="C555" s="5">
        <v>45100.829804810703</v>
      </c>
      <c r="D555" s="4" t="s">
        <v>114</v>
      </c>
      <c r="E555" s="4" t="s">
        <v>540</v>
      </c>
      <c r="F555" s="4" t="s">
        <v>131</v>
      </c>
      <c r="G555" s="4">
        <f t="shared" ca="1" si="8"/>
        <v>55</v>
      </c>
      <c r="H555" s="4">
        <v>4</v>
      </c>
    </row>
    <row r="556" spans="1:8" ht="15.6">
      <c r="A556" s="4" t="s">
        <v>539</v>
      </c>
      <c r="B556" s="5">
        <v>45097.803979128701</v>
      </c>
      <c r="C556" s="5">
        <v>45100.771924101602</v>
      </c>
      <c r="D556" s="4" t="s">
        <v>114</v>
      </c>
      <c r="E556" s="4" t="s">
        <v>540</v>
      </c>
      <c r="F556" s="4" t="s">
        <v>125</v>
      </c>
      <c r="G556" s="4">
        <f t="shared" ca="1" si="8"/>
        <v>100</v>
      </c>
      <c r="H556" s="4">
        <v>4</v>
      </c>
    </row>
    <row r="557" spans="1:8" ht="15.6">
      <c r="A557" s="4" t="s">
        <v>539</v>
      </c>
      <c r="B557" s="5">
        <v>45097.900937520702</v>
      </c>
      <c r="C557" s="5">
        <v>45100.221718535802</v>
      </c>
      <c r="D557" s="4" t="s">
        <v>114</v>
      </c>
      <c r="E557" s="4" t="s">
        <v>540</v>
      </c>
      <c r="F557" s="4" t="s">
        <v>121</v>
      </c>
      <c r="G557" s="4">
        <f t="shared" ca="1" si="8"/>
        <v>18</v>
      </c>
      <c r="H557" s="4">
        <v>2</v>
      </c>
    </row>
    <row r="558" spans="1:8" ht="15.6">
      <c r="A558" s="4" t="s">
        <v>541</v>
      </c>
      <c r="B558" s="5">
        <v>44645.4804716617</v>
      </c>
      <c r="C558" s="5">
        <v>44645.412268801803</v>
      </c>
      <c r="D558" s="4" t="s">
        <v>94</v>
      </c>
      <c r="E558" s="4" t="s">
        <v>374</v>
      </c>
      <c r="F558" s="4" t="s">
        <v>118</v>
      </c>
      <c r="G558" s="4">
        <f t="shared" ca="1" si="8"/>
        <v>82</v>
      </c>
      <c r="H558" s="4">
        <v>9</v>
      </c>
    </row>
    <row r="559" spans="1:8" ht="15.6">
      <c r="A559" s="4" t="s">
        <v>542</v>
      </c>
      <c r="B559" s="5">
        <v>44660.6261085566</v>
      </c>
      <c r="C559" s="5">
        <v>44664.619651524903</v>
      </c>
      <c r="D559" s="4" t="s">
        <v>98</v>
      </c>
      <c r="E559" s="4" t="s">
        <v>533</v>
      </c>
      <c r="F559" s="4" t="s">
        <v>101</v>
      </c>
      <c r="G559" s="4">
        <f t="shared" ca="1" si="8"/>
        <v>14</v>
      </c>
      <c r="H559" s="4">
        <v>3</v>
      </c>
    </row>
    <row r="560" spans="1:8" ht="15.6">
      <c r="A560" s="4" t="s">
        <v>543</v>
      </c>
      <c r="B560" s="5">
        <v>44851.6888172826</v>
      </c>
      <c r="C560" s="5">
        <v>44857.661552260499</v>
      </c>
      <c r="D560" s="4" t="s">
        <v>98</v>
      </c>
      <c r="E560" s="4" t="s">
        <v>95</v>
      </c>
      <c r="F560" s="4" t="s">
        <v>110</v>
      </c>
      <c r="G560" s="4">
        <f t="shared" ca="1" si="8"/>
        <v>32</v>
      </c>
      <c r="H560" s="4">
        <v>2</v>
      </c>
    </row>
    <row r="561" spans="1:8" ht="15.6">
      <c r="A561" s="4" t="s">
        <v>543</v>
      </c>
      <c r="B561" s="5">
        <v>44851.894101401602</v>
      </c>
      <c r="C561" s="5">
        <v>44857.227308624897</v>
      </c>
      <c r="D561" s="4" t="s">
        <v>98</v>
      </c>
      <c r="E561" s="4" t="s">
        <v>95</v>
      </c>
      <c r="F561" s="4" t="s">
        <v>100</v>
      </c>
      <c r="G561" s="4">
        <f t="shared" ca="1" si="8"/>
        <v>72</v>
      </c>
      <c r="H561" s="4">
        <v>2</v>
      </c>
    </row>
    <row r="562" spans="1:8" ht="15.6">
      <c r="A562" s="4" t="s">
        <v>544</v>
      </c>
      <c r="B562" s="5">
        <v>44778.562363177101</v>
      </c>
      <c r="C562" s="5">
        <v>44780.886299656901</v>
      </c>
      <c r="D562" s="4" t="s">
        <v>98</v>
      </c>
      <c r="E562" s="4" t="s">
        <v>140</v>
      </c>
      <c r="F562" s="4" t="s">
        <v>109</v>
      </c>
      <c r="G562" s="4">
        <f t="shared" ca="1" si="8"/>
        <v>39</v>
      </c>
      <c r="H562" s="4">
        <v>4</v>
      </c>
    </row>
    <row r="563" spans="1:8" ht="15.6">
      <c r="A563" s="4" t="s">
        <v>545</v>
      </c>
      <c r="B563" s="5">
        <v>45275.722244024197</v>
      </c>
      <c r="C563" s="5">
        <v>45281.884053251903</v>
      </c>
      <c r="D563" s="4" t="s">
        <v>98</v>
      </c>
      <c r="E563" s="4" t="s">
        <v>146</v>
      </c>
      <c r="F563" s="4" t="s">
        <v>110</v>
      </c>
      <c r="G563" s="4">
        <f t="shared" ca="1" si="8"/>
        <v>79</v>
      </c>
      <c r="H563" s="4">
        <v>5</v>
      </c>
    </row>
    <row r="564" spans="1:8" ht="15.6">
      <c r="A564" s="4" t="s">
        <v>546</v>
      </c>
      <c r="B564" s="5">
        <v>45290.975040691403</v>
      </c>
      <c r="C564" s="5">
        <v>44200.753218208702</v>
      </c>
      <c r="D564" s="4" t="s">
        <v>94</v>
      </c>
      <c r="E564" s="4" t="s">
        <v>547</v>
      </c>
      <c r="F564" s="4" t="s">
        <v>121</v>
      </c>
      <c r="G564" s="4">
        <f t="shared" ca="1" si="8"/>
        <v>35</v>
      </c>
      <c r="H564" s="4">
        <v>3</v>
      </c>
    </row>
    <row r="565" spans="1:8" ht="15.6">
      <c r="A565" s="4" t="s">
        <v>546</v>
      </c>
      <c r="B565" s="5">
        <v>45290.686887846299</v>
      </c>
      <c r="C565" s="5">
        <v>44200.847176162002</v>
      </c>
      <c r="D565" s="4" t="s">
        <v>94</v>
      </c>
      <c r="E565" s="4" t="s">
        <v>547</v>
      </c>
      <c r="F565" s="4" t="s">
        <v>106</v>
      </c>
      <c r="G565" s="4">
        <f t="shared" ca="1" si="8"/>
        <v>42</v>
      </c>
      <c r="H565" s="4">
        <v>5</v>
      </c>
    </row>
    <row r="566" spans="1:8" ht="15.6">
      <c r="A566" s="4" t="s">
        <v>548</v>
      </c>
      <c r="B566" s="5">
        <v>44558.475358912998</v>
      </c>
      <c r="C566" s="5">
        <v>44560.041436601401</v>
      </c>
      <c r="D566" s="4" t="s">
        <v>98</v>
      </c>
      <c r="E566" s="4" t="s">
        <v>380</v>
      </c>
      <c r="F566" s="4" t="s">
        <v>125</v>
      </c>
      <c r="G566" s="4">
        <f t="shared" ca="1" si="8"/>
        <v>20</v>
      </c>
      <c r="H566" s="4">
        <v>2</v>
      </c>
    </row>
    <row r="567" spans="1:8" ht="15.6">
      <c r="A567" s="4" t="s">
        <v>548</v>
      </c>
      <c r="B567" s="5">
        <v>44558.521098635501</v>
      </c>
      <c r="C567" s="5">
        <v>44560.100037777302</v>
      </c>
      <c r="D567" s="4" t="s">
        <v>98</v>
      </c>
      <c r="E567" s="4" t="s">
        <v>380</v>
      </c>
      <c r="F567" s="4" t="s">
        <v>118</v>
      </c>
      <c r="G567" s="4">
        <f t="shared" ca="1" si="8"/>
        <v>29</v>
      </c>
      <c r="H567" s="4">
        <v>6</v>
      </c>
    </row>
    <row r="568" spans="1:8" ht="15.6">
      <c r="A568" s="4" t="s">
        <v>548</v>
      </c>
      <c r="B568" s="5">
        <v>44558.403588674402</v>
      </c>
      <c r="C568" s="5">
        <v>44560.666007353699</v>
      </c>
      <c r="D568" s="4" t="s">
        <v>98</v>
      </c>
      <c r="E568" s="4" t="s">
        <v>380</v>
      </c>
      <c r="F568" s="4" t="s">
        <v>118</v>
      </c>
      <c r="G568" s="4">
        <f t="shared" ca="1" si="8"/>
        <v>62</v>
      </c>
      <c r="H568" s="4">
        <v>3</v>
      </c>
    </row>
    <row r="569" spans="1:8" ht="15.6">
      <c r="A569" s="4" t="s">
        <v>548</v>
      </c>
      <c r="B569" s="5">
        <v>44558.916561673301</v>
      </c>
      <c r="C569" s="5">
        <v>44560.230371658101</v>
      </c>
      <c r="D569" s="4" t="s">
        <v>98</v>
      </c>
      <c r="E569" s="4" t="s">
        <v>380</v>
      </c>
      <c r="F569" s="4" t="s">
        <v>110</v>
      </c>
      <c r="G569" s="4">
        <f t="shared" ca="1" si="8"/>
        <v>85</v>
      </c>
      <c r="H569" s="4">
        <v>3</v>
      </c>
    </row>
    <row r="570" spans="1:8" ht="15.6">
      <c r="A570" s="4" t="s">
        <v>549</v>
      </c>
      <c r="B570" s="5">
        <v>44355.278141690702</v>
      </c>
      <c r="C570" s="5">
        <v>44359.7710035563</v>
      </c>
      <c r="D570" s="4" t="s">
        <v>98</v>
      </c>
      <c r="E570" s="4" t="s">
        <v>550</v>
      </c>
      <c r="F570" s="4" t="s">
        <v>109</v>
      </c>
      <c r="G570" s="4">
        <f t="shared" ca="1" si="8"/>
        <v>35</v>
      </c>
      <c r="H570" s="4">
        <v>2</v>
      </c>
    </row>
    <row r="571" spans="1:8" ht="15.6">
      <c r="A571" s="4" t="s">
        <v>549</v>
      </c>
      <c r="B571" s="5">
        <v>44355.796876321903</v>
      </c>
      <c r="C571" s="5">
        <v>44359.427861905897</v>
      </c>
      <c r="D571" s="4" t="s">
        <v>98</v>
      </c>
      <c r="E571" s="4" t="s">
        <v>550</v>
      </c>
      <c r="F571" s="4" t="s">
        <v>122</v>
      </c>
      <c r="G571" s="4">
        <f t="shared" ca="1" si="8"/>
        <v>82</v>
      </c>
      <c r="H571" s="4">
        <v>3</v>
      </c>
    </row>
    <row r="572" spans="1:8" ht="15.6">
      <c r="A572" s="4" t="s">
        <v>549</v>
      </c>
      <c r="B572" s="5">
        <v>44355.651442459799</v>
      </c>
      <c r="C572" s="5">
        <v>44359.245855403897</v>
      </c>
      <c r="D572" s="4" t="s">
        <v>98</v>
      </c>
      <c r="E572" s="4" t="s">
        <v>550</v>
      </c>
      <c r="F572" s="4" t="s">
        <v>135</v>
      </c>
      <c r="G572" s="4">
        <f t="shared" ca="1" si="8"/>
        <v>63</v>
      </c>
      <c r="H572" s="4">
        <v>3</v>
      </c>
    </row>
    <row r="573" spans="1:8" ht="15.6">
      <c r="A573" s="4" t="s">
        <v>551</v>
      </c>
      <c r="B573" s="5">
        <v>44645.251807079097</v>
      </c>
      <c r="C573" s="5">
        <v>44651.9176074926</v>
      </c>
      <c r="D573" s="4" t="s">
        <v>94</v>
      </c>
      <c r="E573" s="4" t="s">
        <v>201</v>
      </c>
      <c r="F573" s="4" t="s">
        <v>100</v>
      </c>
      <c r="G573" s="4">
        <f t="shared" ca="1" si="8"/>
        <v>84</v>
      </c>
      <c r="H573" s="4">
        <v>2</v>
      </c>
    </row>
    <row r="574" spans="1:8" ht="15.6">
      <c r="A574" s="4" t="s">
        <v>552</v>
      </c>
      <c r="B574" s="5">
        <v>44631.379606996001</v>
      </c>
      <c r="C574" s="5">
        <v>44633.839510505197</v>
      </c>
      <c r="D574" s="4" t="s">
        <v>98</v>
      </c>
      <c r="E574" s="4" t="s">
        <v>553</v>
      </c>
      <c r="F574" s="4" t="s">
        <v>96</v>
      </c>
      <c r="G574" s="4">
        <f t="shared" ca="1" si="8"/>
        <v>100</v>
      </c>
      <c r="H574" s="4">
        <v>4</v>
      </c>
    </row>
    <row r="575" spans="1:8" ht="15.6">
      <c r="A575" s="4" t="s">
        <v>552</v>
      </c>
      <c r="B575" s="5">
        <v>44631.581618541102</v>
      </c>
      <c r="C575" s="5">
        <v>44633.597924561698</v>
      </c>
      <c r="D575" s="4" t="s">
        <v>98</v>
      </c>
      <c r="E575" s="4" t="s">
        <v>553</v>
      </c>
      <c r="F575" s="4" t="s">
        <v>121</v>
      </c>
      <c r="G575" s="4">
        <f t="shared" ca="1" si="8"/>
        <v>73</v>
      </c>
      <c r="H575" s="4">
        <v>7</v>
      </c>
    </row>
    <row r="576" spans="1:8" ht="15.6">
      <c r="A576" s="4" t="s">
        <v>552</v>
      </c>
      <c r="B576" s="5">
        <v>44631.900476038798</v>
      </c>
      <c r="C576" s="5">
        <v>44633.060596569499</v>
      </c>
      <c r="D576" s="4" t="s">
        <v>98</v>
      </c>
      <c r="E576" s="4" t="s">
        <v>553</v>
      </c>
      <c r="F576" s="4" t="s">
        <v>144</v>
      </c>
      <c r="G576" s="4">
        <f t="shared" ca="1" si="8"/>
        <v>54</v>
      </c>
      <c r="H576" s="4">
        <v>7</v>
      </c>
    </row>
    <row r="577" spans="1:8" ht="15.6">
      <c r="A577" s="4" t="s">
        <v>552</v>
      </c>
      <c r="B577" s="5">
        <v>44631.821092630496</v>
      </c>
      <c r="C577" s="5">
        <v>44633.618282854797</v>
      </c>
      <c r="D577" s="4" t="s">
        <v>98</v>
      </c>
      <c r="E577" s="4" t="s">
        <v>553</v>
      </c>
      <c r="F577" s="4" t="s">
        <v>110</v>
      </c>
      <c r="G577" s="4">
        <f t="shared" ca="1" si="8"/>
        <v>81</v>
      </c>
      <c r="H577" s="4">
        <v>7</v>
      </c>
    </row>
    <row r="578" spans="1:8" ht="15.6">
      <c r="A578" s="4" t="s">
        <v>554</v>
      </c>
      <c r="B578" s="5">
        <v>44636.560562851002</v>
      </c>
      <c r="C578" s="5">
        <v>44638.100234623002</v>
      </c>
      <c r="D578" s="4" t="s">
        <v>94</v>
      </c>
      <c r="E578" s="4" t="s">
        <v>292</v>
      </c>
      <c r="F578" s="4" t="s">
        <v>111</v>
      </c>
      <c r="G578" s="4">
        <f t="shared" ref="G578:G641" ca="1" si="9">RANDBETWEEN(10,100)</f>
        <v>85</v>
      </c>
      <c r="H578" s="4">
        <v>5</v>
      </c>
    </row>
    <row r="579" spans="1:8" ht="15.6">
      <c r="A579" s="4" t="s">
        <v>555</v>
      </c>
      <c r="B579" s="5">
        <v>44862.941044690997</v>
      </c>
      <c r="C579" s="5">
        <v>44864.0466294035</v>
      </c>
      <c r="D579" s="4" t="s">
        <v>94</v>
      </c>
      <c r="E579" s="4" t="s">
        <v>556</v>
      </c>
      <c r="F579" s="4" t="s">
        <v>106</v>
      </c>
      <c r="G579" s="4">
        <f t="shared" ca="1" si="9"/>
        <v>50</v>
      </c>
      <c r="H579" s="4">
        <v>2</v>
      </c>
    </row>
    <row r="580" spans="1:8" ht="15.6">
      <c r="A580" s="4" t="s">
        <v>555</v>
      </c>
      <c r="B580" s="5">
        <v>44862.9091876522</v>
      </c>
      <c r="C580" s="5">
        <v>44864.839496847002</v>
      </c>
      <c r="D580" s="4" t="s">
        <v>94</v>
      </c>
      <c r="E580" s="4" t="s">
        <v>556</v>
      </c>
      <c r="F580" s="4" t="s">
        <v>141</v>
      </c>
      <c r="G580" s="4">
        <f t="shared" ca="1" si="9"/>
        <v>85</v>
      </c>
      <c r="H580" s="4">
        <v>2</v>
      </c>
    </row>
    <row r="581" spans="1:8" ht="15.6">
      <c r="A581" s="4" t="s">
        <v>555</v>
      </c>
      <c r="B581" s="5">
        <v>44862.5151094127</v>
      </c>
      <c r="C581" s="5">
        <v>44864.597071719698</v>
      </c>
      <c r="D581" s="4" t="s">
        <v>94</v>
      </c>
      <c r="E581" s="4" t="s">
        <v>556</v>
      </c>
      <c r="F581" s="4" t="s">
        <v>131</v>
      </c>
      <c r="G581" s="4">
        <f t="shared" ca="1" si="9"/>
        <v>53</v>
      </c>
      <c r="H581" s="4">
        <v>3</v>
      </c>
    </row>
    <row r="582" spans="1:8" ht="15.6">
      <c r="A582" s="4" t="s">
        <v>555</v>
      </c>
      <c r="B582" s="5">
        <v>44862.982234347299</v>
      </c>
      <c r="C582" s="5">
        <v>44864.493965705798</v>
      </c>
      <c r="D582" s="4" t="s">
        <v>94</v>
      </c>
      <c r="E582" s="4" t="s">
        <v>556</v>
      </c>
      <c r="F582" s="4" t="s">
        <v>130</v>
      </c>
      <c r="G582" s="4">
        <f t="shared" ca="1" si="9"/>
        <v>78</v>
      </c>
      <c r="H582" s="4">
        <v>13</v>
      </c>
    </row>
    <row r="583" spans="1:8" ht="15.6">
      <c r="A583" s="4" t="s">
        <v>555</v>
      </c>
      <c r="B583" s="5">
        <v>44862.169383782602</v>
      </c>
      <c r="C583" s="5">
        <v>44864.911313286197</v>
      </c>
      <c r="D583" s="4" t="s">
        <v>94</v>
      </c>
      <c r="E583" s="4" t="s">
        <v>556</v>
      </c>
      <c r="F583" s="4" t="s">
        <v>100</v>
      </c>
      <c r="G583" s="4">
        <f t="shared" ca="1" si="9"/>
        <v>76</v>
      </c>
      <c r="H583" s="4">
        <v>3</v>
      </c>
    </row>
    <row r="584" spans="1:8" ht="15.6">
      <c r="A584" s="4" t="s">
        <v>555</v>
      </c>
      <c r="B584" s="5">
        <v>44862.307505352503</v>
      </c>
      <c r="C584" s="5">
        <v>44864.666423893301</v>
      </c>
      <c r="D584" s="4" t="s">
        <v>94</v>
      </c>
      <c r="E584" s="4" t="s">
        <v>556</v>
      </c>
      <c r="F584" s="4" t="s">
        <v>111</v>
      </c>
      <c r="G584" s="4">
        <f t="shared" ca="1" si="9"/>
        <v>45</v>
      </c>
      <c r="H584" s="4">
        <v>3</v>
      </c>
    </row>
    <row r="585" spans="1:8" ht="15.6">
      <c r="A585" s="4" t="s">
        <v>555</v>
      </c>
      <c r="B585" s="5">
        <v>44862.718294075399</v>
      </c>
      <c r="C585" s="5">
        <v>44864.214207787598</v>
      </c>
      <c r="D585" s="4" t="s">
        <v>94</v>
      </c>
      <c r="E585" s="4" t="s">
        <v>556</v>
      </c>
      <c r="F585" s="4" t="s">
        <v>118</v>
      </c>
      <c r="G585" s="4">
        <f t="shared" ca="1" si="9"/>
        <v>60</v>
      </c>
      <c r="H585" s="4">
        <v>2</v>
      </c>
    </row>
    <row r="586" spans="1:8" ht="15.6">
      <c r="A586" s="4" t="s">
        <v>557</v>
      </c>
      <c r="B586" s="5">
        <v>44252.1298232669</v>
      </c>
      <c r="C586" s="5">
        <v>44257.616419134501</v>
      </c>
      <c r="D586" s="4" t="s">
        <v>94</v>
      </c>
      <c r="E586" s="4" t="s">
        <v>427</v>
      </c>
      <c r="F586" s="4" t="s">
        <v>130</v>
      </c>
      <c r="G586" s="4">
        <f t="shared" ca="1" si="9"/>
        <v>10</v>
      </c>
      <c r="H586" s="4">
        <v>3</v>
      </c>
    </row>
    <row r="587" spans="1:8" ht="15.6">
      <c r="A587" s="4" t="s">
        <v>557</v>
      </c>
      <c r="B587" s="5">
        <v>44252.5512774409</v>
      </c>
      <c r="C587" s="5">
        <v>44257.194459159</v>
      </c>
      <c r="D587" s="4" t="s">
        <v>94</v>
      </c>
      <c r="E587" s="4" t="s">
        <v>427</v>
      </c>
      <c r="F587" s="4" t="s">
        <v>96</v>
      </c>
      <c r="G587" s="4">
        <f t="shared" ca="1" si="9"/>
        <v>57</v>
      </c>
      <c r="H587" s="4">
        <v>2</v>
      </c>
    </row>
    <row r="588" spans="1:8" ht="15.6">
      <c r="A588" s="4" t="s">
        <v>558</v>
      </c>
      <c r="B588" s="5">
        <v>44203.932701329402</v>
      </c>
      <c r="C588" s="5">
        <v>44207.908423435903</v>
      </c>
      <c r="D588" s="4" t="s">
        <v>114</v>
      </c>
      <c r="E588" s="4" t="s">
        <v>559</v>
      </c>
      <c r="F588" s="4" t="s">
        <v>100</v>
      </c>
      <c r="G588" s="4">
        <f t="shared" ca="1" si="9"/>
        <v>70</v>
      </c>
      <c r="H588" s="4">
        <v>5</v>
      </c>
    </row>
    <row r="589" spans="1:8" ht="15.6">
      <c r="A589" s="4" t="s">
        <v>560</v>
      </c>
      <c r="B589" s="5">
        <v>44422.231612431999</v>
      </c>
      <c r="C589" s="5">
        <v>44427.204192334299</v>
      </c>
      <c r="D589" s="4" t="s">
        <v>98</v>
      </c>
      <c r="E589" s="4" t="s">
        <v>146</v>
      </c>
      <c r="F589" s="4" t="s">
        <v>122</v>
      </c>
      <c r="G589" s="4">
        <f t="shared" ca="1" si="9"/>
        <v>72</v>
      </c>
      <c r="H589" s="4">
        <v>2</v>
      </c>
    </row>
    <row r="590" spans="1:8" ht="15.6">
      <c r="A590" s="4" t="s">
        <v>561</v>
      </c>
      <c r="B590" s="5">
        <v>44219.210012409298</v>
      </c>
      <c r="C590" s="5">
        <v>44224.736508654903</v>
      </c>
      <c r="D590" s="4" t="s">
        <v>98</v>
      </c>
      <c r="E590" s="4" t="s">
        <v>562</v>
      </c>
      <c r="F590" s="4" t="s">
        <v>96</v>
      </c>
      <c r="G590" s="4">
        <f t="shared" ca="1" si="9"/>
        <v>10</v>
      </c>
      <c r="H590" s="4">
        <v>4</v>
      </c>
    </row>
    <row r="591" spans="1:8" ht="15.6">
      <c r="A591" s="4" t="s">
        <v>561</v>
      </c>
      <c r="B591" s="5">
        <v>44219.726380426902</v>
      </c>
      <c r="C591" s="5">
        <v>44224.5217270832</v>
      </c>
      <c r="D591" s="4" t="s">
        <v>98</v>
      </c>
      <c r="E591" s="4" t="s">
        <v>562</v>
      </c>
      <c r="F591" s="4" t="s">
        <v>96</v>
      </c>
      <c r="G591" s="4">
        <f t="shared" ca="1" si="9"/>
        <v>99</v>
      </c>
      <c r="H591" s="4">
        <v>2</v>
      </c>
    </row>
    <row r="592" spans="1:8" ht="15.6">
      <c r="A592" s="4" t="s">
        <v>561</v>
      </c>
      <c r="B592" s="5">
        <v>44219.166764171001</v>
      </c>
      <c r="C592" s="5">
        <v>44224.054225516003</v>
      </c>
      <c r="D592" s="4" t="s">
        <v>98</v>
      </c>
      <c r="E592" s="4" t="s">
        <v>562</v>
      </c>
      <c r="F592" s="4" t="s">
        <v>109</v>
      </c>
      <c r="G592" s="4">
        <f t="shared" ca="1" si="9"/>
        <v>10</v>
      </c>
      <c r="H592" s="4">
        <v>4</v>
      </c>
    </row>
    <row r="593" spans="1:8" ht="15.6">
      <c r="A593" s="4" t="s">
        <v>561</v>
      </c>
      <c r="B593" s="5">
        <v>44219.187481504399</v>
      </c>
      <c r="C593" s="5">
        <v>44224.435794508099</v>
      </c>
      <c r="D593" s="4" t="s">
        <v>98</v>
      </c>
      <c r="E593" s="4" t="s">
        <v>562</v>
      </c>
      <c r="F593" s="4" t="s">
        <v>110</v>
      </c>
      <c r="G593" s="4">
        <f t="shared" ca="1" si="9"/>
        <v>47</v>
      </c>
      <c r="H593" s="4">
        <v>1</v>
      </c>
    </row>
    <row r="594" spans="1:8" ht="15.6">
      <c r="A594" s="4" t="s">
        <v>561</v>
      </c>
      <c r="B594" s="5">
        <v>44219.1295160031</v>
      </c>
      <c r="C594" s="5">
        <v>44224.585302784297</v>
      </c>
      <c r="D594" s="4" t="s">
        <v>98</v>
      </c>
      <c r="E594" s="4" t="s">
        <v>562</v>
      </c>
      <c r="F594" s="4" t="s">
        <v>101</v>
      </c>
      <c r="G594" s="4">
        <f t="shared" ca="1" si="9"/>
        <v>24</v>
      </c>
      <c r="H594" s="4">
        <v>3</v>
      </c>
    </row>
    <row r="595" spans="1:8" ht="15.6">
      <c r="A595" s="4" t="s">
        <v>561</v>
      </c>
      <c r="B595" s="5">
        <v>44219.119840663399</v>
      </c>
      <c r="C595" s="5">
        <v>44224.073154282501</v>
      </c>
      <c r="D595" s="4" t="s">
        <v>98</v>
      </c>
      <c r="E595" s="4" t="s">
        <v>562</v>
      </c>
      <c r="F595" s="4" t="s">
        <v>122</v>
      </c>
      <c r="G595" s="4">
        <f t="shared" ca="1" si="9"/>
        <v>49</v>
      </c>
      <c r="H595" s="4">
        <v>3</v>
      </c>
    </row>
    <row r="596" spans="1:8" ht="15.6">
      <c r="A596" s="4" t="s">
        <v>563</v>
      </c>
      <c r="B596" s="5">
        <v>44493.379289550903</v>
      </c>
      <c r="C596" s="5">
        <v>44494.149711549697</v>
      </c>
      <c r="D596" s="4" t="s">
        <v>98</v>
      </c>
      <c r="E596" s="4" t="s">
        <v>564</v>
      </c>
      <c r="F596" s="4" t="s">
        <v>100</v>
      </c>
      <c r="G596" s="4">
        <f t="shared" ca="1" si="9"/>
        <v>30</v>
      </c>
      <c r="H596" s="4">
        <v>3</v>
      </c>
    </row>
    <row r="597" spans="1:8" ht="15.6">
      <c r="A597" s="4" t="s">
        <v>563</v>
      </c>
      <c r="B597" s="5">
        <v>44493.111099000802</v>
      </c>
      <c r="C597" s="5">
        <v>44494.5433169354</v>
      </c>
      <c r="D597" s="4" t="s">
        <v>98</v>
      </c>
      <c r="E597" s="4" t="s">
        <v>564</v>
      </c>
      <c r="F597" s="4" t="s">
        <v>121</v>
      </c>
      <c r="G597" s="4">
        <f t="shared" ca="1" si="9"/>
        <v>88</v>
      </c>
      <c r="H597" s="4">
        <v>2</v>
      </c>
    </row>
    <row r="598" spans="1:8" ht="15.6">
      <c r="A598" s="4" t="s">
        <v>563</v>
      </c>
      <c r="B598" s="5">
        <v>44493.312434255298</v>
      </c>
      <c r="C598" s="5">
        <v>44494.496068532302</v>
      </c>
      <c r="D598" s="4" t="s">
        <v>98</v>
      </c>
      <c r="E598" s="4" t="s">
        <v>564</v>
      </c>
      <c r="F598" s="4" t="s">
        <v>125</v>
      </c>
      <c r="G598" s="4">
        <f t="shared" ca="1" si="9"/>
        <v>43</v>
      </c>
      <c r="H598" s="4">
        <v>2</v>
      </c>
    </row>
    <row r="599" spans="1:8" ht="15.6">
      <c r="A599" s="4" t="s">
        <v>563</v>
      </c>
      <c r="B599" s="5">
        <v>44493.1773570679</v>
      </c>
      <c r="C599" s="5">
        <v>44494.854962945501</v>
      </c>
      <c r="D599" s="4" t="s">
        <v>98</v>
      </c>
      <c r="E599" s="4" t="s">
        <v>564</v>
      </c>
      <c r="F599" s="4" t="s">
        <v>122</v>
      </c>
      <c r="G599" s="4">
        <f t="shared" ca="1" si="9"/>
        <v>92</v>
      </c>
      <c r="H599" s="4">
        <v>3</v>
      </c>
    </row>
    <row r="600" spans="1:8" ht="15.6">
      <c r="A600" s="4" t="s">
        <v>565</v>
      </c>
      <c r="B600" s="5">
        <v>44653.607911897998</v>
      </c>
      <c r="C600" s="5">
        <v>44657.872130992</v>
      </c>
      <c r="D600" s="4" t="s">
        <v>94</v>
      </c>
      <c r="E600" s="4" t="s">
        <v>181</v>
      </c>
      <c r="F600" s="4" t="s">
        <v>112</v>
      </c>
      <c r="G600" s="4">
        <f t="shared" ca="1" si="9"/>
        <v>50</v>
      </c>
      <c r="H600" s="4">
        <v>6</v>
      </c>
    </row>
    <row r="601" spans="1:8" ht="15.6">
      <c r="A601" s="4" t="s">
        <v>565</v>
      </c>
      <c r="B601" s="5">
        <v>44653.046505159698</v>
      </c>
      <c r="C601" s="5">
        <v>44657.833644255101</v>
      </c>
      <c r="D601" s="4" t="s">
        <v>94</v>
      </c>
      <c r="E601" s="4" t="s">
        <v>181</v>
      </c>
      <c r="F601" s="4" t="s">
        <v>101</v>
      </c>
      <c r="G601" s="4">
        <f t="shared" ca="1" si="9"/>
        <v>53</v>
      </c>
      <c r="H601" s="4">
        <v>2</v>
      </c>
    </row>
    <row r="602" spans="1:8" ht="15.6">
      <c r="A602" s="4" t="s">
        <v>566</v>
      </c>
      <c r="B602" s="5">
        <v>44497.519401533602</v>
      </c>
      <c r="C602" s="5">
        <v>44502.225152864397</v>
      </c>
      <c r="D602" s="4" t="s">
        <v>98</v>
      </c>
      <c r="E602" s="4" t="s">
        <v>277</v>
      </c>
      <c r="F602" s="4" t="s">
        <v>106</v>
      </c>
      <c r="G602" s="4">
        <f t="shared" ca="1" si="9"/>
        <v>14</v>
      </c>
      <c r="H602" s="4">
        <v>3</v>
      </c>
    </row>
    <row r="603" spans="1:8" ht="15.6">
      <c r="A603" s="4" t="s">
        <v>566</v>
      </c>
      <c r="B603" s="5">
        <v>44497.217875410402</v>
      </c>
      <c r="C603" s="5">
        <v>44502.809797552698</v>
      </c>
      <c r="D603" s="4" t="s">
        <v>98</v>
      </c>
      <c r="E603" s="4" t="s">
        <v>277</v>
      </c>
      <c r="F603" s="4" t="s">
        <v>110</v>
      </c>
      <c r="G603" s="4">
        <f t="shared" ca="1" si="9"/>
        <v>38</v>
      </c>
      <c r="H603" s="4">
        <v>6</v>
      </c>
    </row>
    <row r="604" spans="1:8" ht="15.6">
      <c r="A604" s="4" t="s">
        <v>567</v>
      </c>
      <c r="B604" s="5">
        <v>45067.258004383497</v>
      </c>
      <c r="C604" s="5">
        <v>45070.168559049504</v>
      </c>
      <c r="D604" s="4" t="s">
        <v>98</v>
      </c>
      <c r="E604" s="4" t="s">
        <v>568</v>
      </c>
      <c r="F604" s="4" t="s">
        <v>121</v>
      </c>
      <c r="G604" s="4">
        <f t="shared" ca="1" si="9"/>
        <v>11</v>
      </c>
      <c r="H604" s="4">
        <v>5</v>
      </c>
    </row>
    <row r="605" spans="1:8" ht="15.6">
      <c r="A605" s="4" t="s">
        <v>567</v>
      </c>
      <c r="B605" s="5">
        <v>45067.193517932203</v>
      </c>
      <c r="C605" s="5">
        <v>45070.314994515997</v>
      </c>
      <c r="D605" s="4" t="s">
        <v>98</v>
      </c>
      <c r="E605" s="4" t="s">
        <v>568</v>
      </c>
      <c r="F605" s="4" t="s">
        <v>131</v>
      </c>
      <c r="G605" s="4">
        <f t="shared" ca="1" si="9"/>
        <v>48</v>
      </c>
      <c r="H605" s="4">
        <v>3</v>
      </c>
    </row>
    <row r="606" spans="1:8" ht="15.6">
      <c r="A606" s="4" t="s">
        <v>569</v>
      </c>
      <c r="B606" s="5">
        <v>44469.229904455598</v>
      </c>
      <c r="C606" s="5">
        <v>44471.499125928698</v>
      </c>
      <c r="D606" s="4" t="s">
        <v>98</v>
      </c>
      <c r="E606" s="4" t="s">
        <v>302</v>
      </c>
      <c r="F606" s="4" t="s">
        <v>135</v>
      </c>
      <c r="G606" s="4">
        <f t="shared" ca="1" si="9"/>
        <v>10</v>
      </c>
      <c r="H606" s="4">
        <v>1</v>
      </c>
    </row>
    <row r="607" spans="1:8" ht="15.6">
      <c r="A607" s="4" t="s">
        <v>569</v>
      </c>
      <c r="B607" s="5">
        <v>44469.341508637597</v>
      </c>
      <c r="C607" s="5">
        <v>44471.907168580401</v>
      </c>
      <c r="D607" s="4" t="s">
        <v>98</v>
      </c>
      <c r="E607" s="4" t="s">
        <v>302</v>
      </c>
      <c r="F607" s="4" t="s">
        <v>96</v>
      </c>
      <c r="G607" s="4">
        <f t="shared" ca="1" si="9"/>
        <v>11</v>
      </c>
      <c r="H607" s="4">
        <v>5</v>
      </c>
    </row>
    <row r="608" spans="1:8" ht="15.6">
      <c r="A608" s="4" t="s">
        <v>570</v>
      </c>
      <c r="B608" s="5">
        <v>44495.8539558259</v>
      </c>
      <c r="C608" s="5">
        <v>44499.2712655016</v>
      </c>
      <c r="D608" s="4" t="s">
        <v>98</v>
      </c>
      <c r="E608" s="4" t="s">
        <v>571</v>
      </c>
      <c r="F608" s="4" t="s">
        <v>110</v>
      </c>
      <c r="G608" s="4">
        <f t="shared" ca="1" si="9"/>
        <v>22</v>
      </c>
      <c r="H608" s="4">
        <v>8</v>
      </c>
    </row>
    <row r="609" spans="1:8" ht="15.6">
      <c r="A609" s="4" t="s">
        <v>570</v>
      </c>
      <c r="B609" s="5">
        <v>44495.766597716298</v>
      </c>
      <c r="C609" s="5">
        <v>44499.2256790233</v>
      </c>
      <c r="D609" s="4" t="s">
        <v>98</v>
      </c>
      <c r="E609" s="4" t="s">
        <v>571</v>
      </c>
      <c r="F609" s="4" t="s">
        <v>101</v>
      </c>
      <c r="G609" s="4">
        <f t="shared" ca="1" si="9"/>
        <v>36</v>
      </c>
      <c r="H609" s="4">
        <v>5</v>
      </c>
    </row>
    <row r="610" spans="1:8" ht="15.6">
      <c r="A610" s="4" t="s">
        <v>570</v>
      </c>
      <c r="B610" s="5">
        <v>44495.561988229201</v>
      </c>
      <c r="C610" s="5">
        <v>44499.743944703499</v>
      </c>
      <c r="D610" s="4" t="s">
        <v>98</v>
      </c>
      <c r="E610" s="4" t="s">
        <v>571</v>
      </c>
      <c r="F610" s="4" t="s">
        <v>121</v>
      </c>
      <c r="G610" s="4">
        <f t="shared" ca="1" si="9"/>
        <v>74</v>
      </c>
      <c r="H610" s="4">
        <v>4</v>
      </c>
    </row>
    <row r="611" spans="1:8" ht="15.6">
      <c r="A611" s="4" t="s">
        <v>570</v>
      </c>
      <c r="B611" s="5">
        <v>44495.108023578803</v>
      </c>
      <c r="C611" s="5">
        <v>44499.1707253766</v>
      </c>
      <c r="D611" s="4" t="s">
        <v>98</v>
      </c>
      <c r="E611" s="4" t="s">
        <v>571</v>
      </c>
      <c r="F611" s="4" t="s">
        <v>111</v>
      </c>
      <c r="G611" s="4">
        <f t="shared" ca="1" si="9"/>
        <v>68</v>
      </c>
      <c r="H611" s="4">
        <v>3</v>
      </c>
    </row>
    <row r="612" spans="1:8" ht="15.6">
      <c r="A612" s="4" t="s">
        <v>572</v>
      </c>
      <c r="B612" s="5">
        <v>44571.8271667382</v>
      </c>
      <c r="C612" s="5">
        <v>44571.289729561599</v>
      </c>
      <c r="D612" s="4" t="s">
        <v>98</v>
      </c>
      <c r="E612" s="4" t="s">
        <v>573</v>
      </c>
      <c r="F612" s="4" t="s">
        <v>101</v>
      </c>
      <c r="G612" s="4">
        <f t="shared" ca="1" si="9"/>
        <v>55</v>
      </c>
      <c r="H612" s="4">
        <v>2</v>
      </c>
    </row>
    <row r="613" spans="1:8" ht="15.6">
      <c r="A613" s="4" t="s">
        <v>572</v>
      </c>
      <c r="B613" s="5">
        <v>44571.7942332975</v>
      </c>
      <c r="C613" s="5">
        <v>44571.931941874398</v>
      </c>
      <c r="D613" s="4" t="s">
        <v>98</v>
      </c>
      <c r="E613" s="4" t="s">
        <v>573</v>
      </c>
      <c r="F613" s="4" t="s">
        <v>101</v>
      </c>
      <c r="G613" s="4">
        <f t="shared" ca="1" si="9"/>
        <v>64</v>
      </c>
      <c r="H613" s="4">
        <v>4</v>
      </c>
    </row>
    <row r="614" spans="1:8" ht="15.6">
      <c r="A614" s="4" t="s">
        <v>572</v>
      </c>
      <c r="B614" s="5">
        <v>44571.160587863298</v>
      </c>
      <c r="C614" s="5">
        <v>44571.951786160003</v>
      </c>
      <c r="D614" s="4" t="s">
        <v>98</v>
      </c>
      <c r="E614" s="4" t="s">
        <v>573</v>
      </c>
      <c r="F614" s="4" t="s">
        <v>112</v>
      </c>
      <c r="G614" s="4">
        <f t="shared" ca="1" si="9"/>
        <v>89</v>
      </c>
      <c r="H614" s="4">
        <v>4</v>
      </c>
    </row>
    <row r="615" spans="1:8" ht="15.6">
      <c r="A615" s="4" t="s">
        <v>572</v>
      </c>
      <c r="B615" s="5">
        <v>44571.1524391727</v>
      </c>
      <c r="C615" s="5">
        <v>44571.849772119102</v>
      </c>
      <c r="D615" s="4" t="s">
        <v>98</v>
      </c>
      <c r="E615" s="4" t="s">
        <v>573</v>
      </c>
      <c r="F615" s="4" t="s">
        <v>106</v>
      </c>
      <c r="G615" s="4">
        <f t="shared" ca="1" si="9"/>
        <v>26</v>
      </c>
      <c r="H615" s="4">
        <v>4</v>
      </c>
    </row>
    <row r="616" spans="1:8" ht="15.6">
      <c r="A616" s="4" t="s">
        <v>574</v>
      </c>
      <c r="B616" s="5">
        <v>45225.640809950601</v>
      </c>
      <c r="C616" s="5">
        <v>45231.086037086803</v>
      </c>
      <c r="D616" s="4" t="s">
        <v>98</v>
      </c>
      <c r="E616" s="4" t="s">
        <v>575</v>
      </c>
      <c r="F616" s="4" t="s">
        <v>101</v>
      </c>
      <c r="G616" s="4">
        <f t="shared" ca="1" si="9"/>
        <v>98</v>
      </c>
      <c r="H616" s="4">
        <v>9</v>
      </c>
    </row>
    <row r="617" spans="1:8" ht="15.6">
      <c r="A617" s="4" t="s">
        <v>576</v>
      </c>
      <c r="B617" s="5">
        <v>45004.325532192102</v>
      </c>
      <c r="C617" s="5">
        <v>45011.868470100701</v>
      </c>
      <c r="D617" s="4" t="s">
        <v>98</v>
      </c>
      <c r="E617" s="4" t="s">
        <v>533</v>
      </c>
      <c r="F617" s="4" t="s">
        <v>144</v>
      </c>
      <c r="G617" s="4">
        <f t="shared" ca="1" si="9"/>
        <v>18</v>
      </c>
      <c r="H617" s="4">
        <v>3</v>
      </c>
    </row>
    <row r="618" spans="1:8" ht="15.6">
      <c r="A618" s="4" t="s">
        <v>577</v>
      </c>
      <c r="B618" s="5">
        <v>44587.106582423599</v>
      </c>
      <c r="C618" s="5">
        <v>44589.535191348303</v>
      </c>
      <c r="D618" s="4" t="s">
        <v>94</v>
      </c>
      <c r="E618" s="4" t="s">
        <v>134</v>
      </c>
      <c r="F618" s="4" t="s">
        <v>96</v>
      </c>
      <c r="G618" s="4">
        <f t="shared" ca="1" si="9"/>
        <v>31</v>
      </c>
      <c r="H618" s="4">
        <v>6</v>
      </c>
    </row>
    <row r="619" spans="1:8" ht="15.6">
      <c r="A619" s="4" t="s">
        <v>577</v>
      </c>
      <c r="B619" s="5">
        <v>44587.175232887501</v>
      </c>
      <c r="C619" s="5">
        <v>44589.213986242197</v>
      </c>
      <c r="D619" s="4" t="s">
        <v>94</v>
      </c>
      <c r="E619" s="4" t="s">
        <v>134</v>
      </c>
      <c r="F619" s="4" t="s">
        <v>111</v>
      </c>
      <c r="G619" s="4">
        <f t="shared" ca="1" si="9"/>
        <v>12</v>
      </c>
      <c r="H619" s="4">
        <v>2</v>
      </c>
    </row>
    <row r="620" spans="1:8" ht="15.6">
      <c r="A620" s="4" t="s">
        <v>577</v>
      </c>
      <c r="B620" s="5">
        <v>44587.027422207299</v>
      </c>
      <c r="C620" s="5">
        <v>44589.287563349797</v>
      </c>
      <c r="D620" s="4" t="s">
        <v>94</v>
      </c>
      <c r="E620" s="4" t="s">
        <v>134</v>
      </c>
      <c r="F620" s="4" t="s">
        <v>130</v>
      </c>
      <c r="G620" s="4">
        <f t="shared" ca="1" si="9"/>
        <v>60</v>
      </c>
      <c r="H620" s="4">
        <v>2</v>
      </c>
    </row>
    <row r="621" spans="1:8" ht="15.6">
      <c r="A621" s="4" t="s">
        <v>577</v>
      </c>
      <c r="B621" s="5">
        <v>44587.623992503803</v>
      </c>
      <c r="C621" s="5">
        <v>44589.3122106421</v>
      </c>
      <c r="D621" s="4" t="s">
        <v>94</v>
      </c>
      <c r="E621" s="4" t="s">
        <v>134</v>
      </c>
      <c r="F621" s="4" t="s">
        <v>111</v>
      </c>
      <c r="G621" s="4">
        <f t="shared" ca="1" si="9"/>
        <v>65</v>
      </c>
      <c r="H621" s="4">
        <v>3</v>
      </c>
    </row>
    <row r="622" spans="1:8" ht="15.6">
      <c r="A622" s="4" t="s">
        <v>578</v>
      </c>
      <c r="B622" s="5">
        <v>45265.286151333297</v>
      </c>
      <c r="C622" s="5">
        <v>45271.158656523803</v>
      </c>
      <c r="D622" s="4" t="s">
        <v>94</v>
      </c>
      <c r="E622" s="4" t="s">
        <v>286</v>
      </c>
      <c r="F622" s="4" t="s">
        <v>135</v>
      </c>
      <c r="G622" s="4">
        <f t="shared" ca="1" si="9"/>
        <v>44</v>
      </c>
      <c r="H622" s="4">
        <v>3</v>
      </c>
    </row>
    <row r="623" spans="1:8" ht="15.6">
      <c r="A623" s="4" t="s">
        <v>578</v>
      </c>
      <c r="B623" s="5">
        <v>45265.062101301002</v>
      </c>
      <c r="C623" s="5">
        <v>45271.986714178704</v>
      </c>
      <c r="D623" s="4" t="s">
        <v>94</v>
      </c>
      <c r="E623" s="4" t="s">
        <v>286</v>
      </c>
      <c r="F623" s="4" t="s">
        <v>109</v>
      </c>
      <c r="G623" s="4">
        <f t="shared" ca="1" si="9"/>
        <v>68</v>
      </c>
      <c r="H623" s="4">
        <v>2</v>
      </c>
    </row>
    <row r="624" spans="1:8" ht="15.6">
      <c r="A624" s="4" t="s">
        <v>578</v>
      </c>
      <c r="B624" s="5">
        <v>45265.574612767297</v>
      </c>
      <c r="C624" s="5">
        <v>45271.206519282197</v>
      </c>
      <c r="D624" s="4" t="s">
        <v>94</v>
      </c>
      <c r="E624" s="4" t="s">
        <v>286</v>
      </c>
      <c r="F624" s="4" t="s">
        <v>110</v>
      </c>
      <c r="G624" s="4">
        <f t="shared" ca="1" si="9"/>
        <v>86</v>
      </c>
      <c r="H624" s="4">
        <v>2</v>
      </c>
    </row>
    <row r="625" spans="1:8" ht="15.6">
      <c r="A625" s="4" t="s">
        <v>579</v>
      </c>
      <c r="B625" s="5">
        <v>44210.154384226997</v>
      </c>
      <c r="C625" s="5">
        <v>44212.397117761</v>
      </c>
      <c r="D625" s="4" t="s">
        <v>98</v>
      </c>
      <c r="E625" s="4" t="s">
        <v>580</v>
      </c>
      <c r="F625" s="4" t="s">
        <v>121</v>
      </c>
      <c r="G625" s="4">
        <f t="shared" ca="1" si="9"/>
        <v>62</v>
      </c>
      <c r="H625" s="4">
        <v>4</v>
      </c>
    </row>
    <row r="626" spans="1:8" ht="15.6">
      <c r="A626" s="4" t="s">
        <v>579</v>
      </c>
      <c r="B626" s="5">
        <v>44210.618432049501</v>
      </c>
      <c r="C626" s="5">
        <v>44212.968669755202</v>
      </c>
      <c r="D626" s="4" t="s">
        <v>98</v>
      </c>
      <c r="E626" s="4" t="s">
        <v>580</v>
      </c>
      <c r="F626" s="4" t="s">
        <v>100</v>
      </c>
      <c r="G626" s="4">
        <f t="shared" ca="1" si="9"/>
        <v>88</v>
      </c>
      <c r="H626" s="4">
        <v>3</v>
      </c>
    </row>
    <row r="627" spans="1:8" ht="15.6">
      <c r="A627" s="4" t="s">
        <v>579</v>
      </c>
      <c r="B627" s="5">
        <v>44210.383485284503</v>
      </c>
      <c r="C627" s="5">
        <v>44212.373600300802</v>
      </c>
      <c r="D627" s="4" t="s">
        <v>98</v>
      </c>
      <c r="E627" s="4" t="s">
        <v>580</v>
      </c>
      <c r="F627" s="4" t="s">
        <v>141</v>
      </c>
      <c r="G627" s="4">
        <f t="shared" ca="1" si="9"/>
        <v>76</v>
      </c>
      <c r="H627" s="4">
        <v>8</v>
      </c>
    </row>
    <row r="628" spans="1:8" ht="15.6">
      <c r="A628" s="4" t="s">
        <v>579</v>
      </c>
      <c r="B628" s="5">
        <v>44210.098152448903</v>
      </c>
      <c r="C628" s="5">
        <v>44212.354095773699</v>
      </c>
      <c r="D628" s="4" t="s">
        <v>98</v>
      </c>
      <c r="E628" s="4" t="s">
        <v>580</v>
      </c>
      <c r="F628" s="4" t="s">
        <v>111</v>
      </c>
      <c r="G628" s="4">
        <f t="shared" ca="1" si="9"/>
        <v>85</v>
      </c>
      <c r="H628" s="4">
        <v>5</v>
      </c>
    </row>
    <row r="629" spans="1:8" ht="15.6">
      <c r="A629" s="4" t="s">
        <v>579</v>
      </c>
      <c r="B629" s="5">
        <v>44210.464296422397</v>
      </c>
      <c r="C629" s="5">
        <v>44212.404574139699</v>
      </c>
      <c r="D629" s="4" t="s">
        <v>98</v>
      </c>
      <c r="E629" s="4" t="s">
        <v>580</v>
      </c>
      <c r="F629" s="4" t="s">
        <v>109</v>
      </c>
      <c r="G629" s="4">
        <f t="shared" ca="1" si="9"/>
        <v>31</v>
      </c>
      <c r="H629" s="4">
        <v>2</v>
      </c>
    </row>
    <row r="630" spans="1:8" ht="15.6">
      <c r="A630" s="4" t="s">
        <v>581</v>
      </c>
      <c r="B630" s="5">
        <v>44767.4137528746</v>
      </c>
      <c r="C630" s="5">
        <v>44773.483690033499</v>
      </c>
      <c r="D630" s="4" t="s">
        <v>94</v>
      </c>
      <c r="E630" s="4" t="s">
        <v>582</v>
      </c>
      <c r="F630" s="4" t="s">
        <v>109</v>
      </c>
      <c r="G630" s="4">
        <f t="shared" ca="1" si="9"/>
        <v>38</v>
      </c>
      <c r="H630" s="4">
        <v>4</v>
      </c>
    </row>
    <row r="631" spans="1:8" ht="15.6">
      <c r="A631" s="4" t="s">
        <v>581</v>
      </c>
      <c r="B631" s="5">
        <v>44767.391486935601</v>
      </c>
      <c r="C631" s="5">
        <v>44773.146208694001</v>
      </c>
      <c r="D631" s="4" t="s">
        <v>94</v>
      </c>
      <c r="E631" s="4" t="s">
        <v>582</v>
      </c>
      <c r="F631" s="4" t="s">
        <v>111</v>
      </c>
      <c r="G631" s="4">
        <f t="shared" ca="1" si="9"/>
        <v>73</v>
      </c>
      <c r="H631" s="4">
        <v>3</v>
      </c>
    </row>
    <row r="632" spans="1:8" ht="15.6">
      <c r="A632" s="4" t="s">
        <v>581</v>
      </c>
      <c r="B632" s="5">
        <v>44767.672478776301</v>
      </c>
      <c r="C632" s="5">
        <v>44773.940396618302</v>
      </c>
      <c r="D632" s="4" t="s">
        <v>94</v>
      </c>
      <c r="E632" s="4" t="s">
        <v>582</v>
      </c>
      <c r="F632" s="4" t="s">
        <v>111</v>
      </c>
      <c r="G632" s="4">
        <f t="shared" ca="1" si="9"/>
        <v>97</v>
      </c>
      <c r="H632" s="4">
        <v>2</v>
      </c>
    </row>
    <row r="633" spans="1:8" ht="15.6">
      <c r="A633" s="4" t="s">
        <v>583</v>
      </c>
      <c r="B633" s="5">
        <v>44723.546320733898</v>
      </c>
      <c r="C633" s="5">
        <v>44726.470166239698</v>
      </c>
      <c r="D633" s="4" t="s">
        <v>98</v>
      </c>
      <c r="E633" s="4" t="s">
        <v>361</v>
      </c>
      <c r="F633" s="4" t="s">
        <v>131</v>
      </c>
      <c r="G633" s="4">
        <f t="shared" ca="1" si="9"/>
        <v>87</v>
      </c>
      <c r="H633" s="4">
        <v>2</v>
      </c>
    </row>
    <row r="634" spans="1:8" ht="15.6">
      <c r="A634" s="4" t="s">
        <v>584</v>
      </c>
      <c r="B634" s="5">
        <v>44600.058376416797</v>
      </c>
      <c r="C634" s="5">
        <v>44602.511321183003</v>
      </c>
      <c r="D634" s="4" t="s">
        <v>114</v>
      </c>
      <c r="E634" s="4" t="s">
        <v>585</v>
      </c>
      <c r="F634" s="4" t="s">
        <v>141</v>
      </c>
      <c r="G634" s="4">
        <f t="shared" ca="1" si="9"/>
        <v>82</v>
      </c>
      <c r="H634" s="4">
        <v>2</v>
      </c>
    </row>
    <row r="635" spans="1:8" ht="15.6">
      <c r="A635" s="4" t="s">
        <v>586</v>
      </c>
      <c r="B635" s="5">
        <v>44223.021581943802</v>
      </c>
      <c r="C635" s="5">
        <v>44230.759341343299</v>
      </c>
      <c r="D635" s="4" t="s">
        <v>94</v>
      </c>
      <c r="E635" s="4" t="s">
        <v>95</v>
      </c>
      <c r="F635" s="4" t="s">
        <v>131</v>
      </c>
      <c r="G635" s="4">
        <f t="shared" ca="1" si="9"/>
        <v>31</v>
      </c>
      <c r="H635" s="4">
        <v>1</v>
      </c>
    </row>
    <row r="636" spans="1:8" ht="15.6">
      <c r="A636" s="4" t="s">
        <v>586</v>
      </c>
      <c r="B636" s="5">
        <v>44223.812356743103</v>
      </c>
      <c r="C636" s="5">
        <v>44230.070441311</v>
      </c>
      <c r="D636" s="4" t="s">
        <v>94</v>
      </c>
      <c r="E636" s="4" t="s">
        <v>95</v>
      </c>
      <c r="F636" s="4" t="s">
        <v>109</v>
      </c>
      <c r="G636" s="4">
        <f t="shared" ca="1" si="9"/>
        <v>81</v>
      </c>
      <c r="H636" s="4">
        <v>2</v>
      </c>
    </row>
    <row r="637" spans="1:8" ht="15.6">
      <c r="A637" s="4" t="s">
        <v>587</v>
      </c>
      <c r="B637" s="5">
        <v>45216.190877454203</v>
      </c>
      <c r="C637" s="5">
        <v>45219.532650138899</v>
      </c>
      <c r="D637" s="4" t="s">
        <v>98</v>
      </c>
      <c r="E637" s="4" t="s">
        <v>588</v>
      </c>
      <c r="F637" s="4" t="s">
        <v>106</v>
      </c>
      <c r="G637" s="4">
        <f t="shared" ca="1" si="9"/>
        <v>25</v>
      </c>
      <c r="H637" s="4">
        <v>2</v>
      </c>
    </row>
    <row r="638" spans="1:8" ht="15.6">
      <c r="A638" s="4" t="s">
        <v>589</v>
      </c>
      <c r="B638" s="5">
        <v>44274.109584795202</v>
      </c>
      <c r="C638" s="5">
        <v>44274.224521930002</v>
      </c>
      <c r="D638" s="4" t="s">
        <v>114</v>
      </c>
      <c r="E638" s="4" t="s">
        <v>590</v>
      </c>
      <c r="F638" s="4" t="s">
        <v>125</v>
      </c>
      <c r="G638" s="4">
        <f t="shared" ca="1" si="9"/>
        <v>33</v>
      </c>
      <c r="H638" s="4">
        <v>2</v>
      </c>
    </row>
    <row r="639" spans="1:8" ht="15.6">
      <c r="A639" s="4" t="s">
        <v>591</v>
      </c>
      <c r="B639" s="5">
        <v>44948.024195977101</v>
      </c>
      <c r="C639" s="5">
        <v>44950.350035289797</v>
      </c>
      <c r="D639" s="4" t="s">
        <v>94</v>
      </c>
      <c r="E639" s="4" t="s">
        <v>181</v>
      </c>
      <c r="F639" s="4" t="s">
        <v>135</v>
      </c>
      <c r="G639" s="4">
        <f t="shared" ca="1" si="9"/>
        <v>65</v>
      </c>
      <c r="H639" s="4">
        <v>5</v>
      </c>
    </row>
    <row r="640" spans="1:8" ht="15.6">
      <c r="A640" s="4" t="s">
        <v>591</v>
      </c>
      <c r="B640" s="5">
        <v>44948.744470687903</v>
      </c>
      <c r="C640" s="5">
        <v>44950.114592657999</v>
      </c>
      <c r="D640" s="4" t="s">
        <v>94</v>
      </c>
      <c r="E640" s="4" t="s">
        <v>181</v>
      </c>
      <c r="F640" s="4" t="s">
        <v>135</v>
      </c>
      <c r="G640" s="4">
        <f t="shared" ca="1" si="9"/>
        <v>59</v>
      </c>
      <c r="H640" s="4">
        <v>2</v>
      </c>
    </row>
    <row r="641" spans="1:8" ht="15.6">
      <c r="A641" s="4" t="s">
        <v>591</v>
      </c>
      <c r="B641" s="5">
        <v>44948.7475035077</v>
      </c>
      <c r="C641" s="5">
        <v>44950.433271235801</v>
      </c>
      <c r="D641" s="4" t="s">
        <v>94</v>
      </c>
      <c r="E641" s="4" t="s">
        <v>181</v>
      </c>
      <c r="F641" s="4" t="s">
        <v>122</v>
      </c>
      <c r="G641" s="4">
        <f t="shared" ca="1" si="9"/>
        <v>30</v>
      </c>
      <c r="H641" s="4">
        <v>2</v>
      </c>
    </row>
    <row r="642" spans="1:8" ht="15.6">
      <c r="A642" s="4" t="s">
        <v>592</v>
      </c>
      <c r="B642" s="5">
        <v>44485.387879132701</v>
      </c>
      <c r="C642" s="5">
        <v>44488.687246089699</v>
      </c>
      <c r="D642" s="4" t="s">
        <v>98</v>
      </c>
      <c r="E642" s="4" t="s">
        <v>593</v>
      </c>
      <c r="F642" s="4" t="s">
        <v>122</v>
      </c>
      <c r="G642" s="4">
        <f t="shared" ref="G642:G705" ca="1" si="10">RANDBETWEEN(10,100)</f>
        <v>83</v>
      </c>
      <c r="H642" s="4">
        <v>6</v>
      </c>
    </row>
    <row r="643" spans="1:8" ht="15.6">
      <c r="A643" s="4" t="s">
        <v>592</v>
      </c>
      <c r="B643" s="5">
        <v>44485.4343575444</v>
      </c>
      <c r="C643" s="5">
        <v>44488.468725973398</v>
      </c>
      <c r="D643" s="4" t="s">
        <v>98</v>
      </c>
      <c r="E643" s="4" t="s">
        <v>593</v>
      </c>
      <c r="F643" s="4" t="s">
        <v>109</v>
      </c>
      <c r="G643" s="4">
        <f t="shared" ca="1" si="10"/>
        <v>74</v>
      </c>
      <c r="H643" s="4">
        <v>7</v>
      </c>
    </row>
    <row r="644" spans="1:8" ht="15.6">
      <c r="A644" s="4" t="s">
        <v>594</v>
      </c>
      <c r="B644" s="5">
        <v>45022.787213393203</v>
      </c>
      <c r="C644" s="5">
        <v>45027.014902379</v>
      </c>
      <c r="D644" s="4" t="s">
        <v>94</v>
      </c>
      <c r="E644" s="4" t="s">
        <v>203</v>
      </c>
      <c r="F644" s="4" t="s">
        <v>100</v>
      </c>
      <c r="G644" s="4">
        <f t="shared" ca="1" si="10"/>
        <v>40</v>
      </c>
      <c r="H644" s="4">
        <v>3</v>
      </c>
    </row>
    <row r="645" spans="1:8" ht="15.6">
      <c r="A645" s="4" t="s">
        <v>594</v>
      </c>
      <c r="B645" s="5">
        <v>45022.398774796296</v>
      </c>
      <c r="C645" s="5">
        <v>45027.718431597801</v>
      </c>
      <c r="D645" s="4" t="s">
        <v>94</v>
      </c>
      <c r="E645" s="4" t="s">
        <v>203</v>
      </c>
      <c r="F645" s="4" t="s">
        <v>125</v>
      </c>
      <c r="G645" s="4">
        <f t="shared" ca="1" si="10"/>
        <v>68</v>
      </c>
      <c r="H645" s="4">
        <v>7</v>
      </c>
    </row>
    <row r="646" spans="1:8" ht="15.6">
      <c r="A646" s="4" t="s">
        <v>595</v>
      </c>
      <c r="B646" s="5">
        <v>44406.047383919598</v>
      </c>
      <c r="C646" s="5">
        <v>44406.519096404001</v>
      </c>
      <c r="D646" s="4" t="s">
        <v>94</v>
      </c>
      <c r="E646" s="4" t="s">
        <v>237</v>
      </c>
      <c r="F646" s="4" t="s">
        <v>101</v>
      </c>
      <c r="G646" s="4">
        <f t="shared" ca="1" si="10"/>
        <v>18</v>
      </c>
      <c r="H646" s="4">
        <v>9</v>
      </c>
    </row>
    <row r="647" spans="1:8" ht="15.6">
      <c r="A647" s="4" t="s">
        <v>595</v>
      </c>
      <c r="B647" s="5">
        <v>44406.326823229399</v>
      </c>
      <c r="C647" s="5">
        <v>44406.012079411899</v>
      </c>
      <c r="D647" s="4" t="s">
        <v>94</v>
      </c>
      <c r="E647" s="4" t="s">
        <v>237</v>
      </c>
      <c r="F647" s="4" t="s">
        <v>110</v>
      </c>
      <c r="G647" s="4">
        <f t="shared" ca="1" si="10"/>
        <v>10</v>
      </c>
      <c r="H647" s="4">
        <v>5</v>
      </c>
    </row>
    <row r="648" spans="1:8" ht="15.6">
      <c r="A648" s="4" t="s">
        <v>595</v>
      </c>
      <c r="B648" s="5">
        <v>44406.655064184</v>
      </c>
      <c r="C648" s="5">
        <v>44406.245819771299</v>
      </c>
      <c r="D648" s="4" t="s">
        <v>94</v>
      </c>
      <c r="E648" s="4" t="s">
        <v>237</v>
      </c>
      <c r="F648" s="4" t="s">
        <v>96</v>
      </c>
      <c r="G648" s="4">
        <f t="shared" ca="1" si="10"/>
        <v>32</v>
      </c>
      <c r="H648" s="4">
        <v>5</v>
      </c>
    </row>
    <row r="649" spans="1:8" ht="15.6">
      <c r="A649" s="4" t="s">
        <v>596</v>
      </c>
      <c r="B649" s="5">
        <v>44607.306410101599</v>
      </c>
      <c r="C649" s="5">
        <v>44609.340400776302</v>
      </c>
      <c r="D649" s="4" t="s">
        <v>98</v>
      </c>
      <c r="E649" s="4" t="s">
        <v>597</v>
      </c>
      <c r="F649" s="4" t="s">
        <v>135</v>
      </c>
      <c r="G649" s="4">
        <f t="shared" ca="1" si="10"/>
        <v>67</v>
      </c>
      <c r="H649" s="4">
        <v>2</v>
      </c>
    </row>
    <row r="650" spans="1:8" ht="15.6">
      <c r="A650" s="4" t="s">
        <v>596</v>
      </c>
      <c r="B650" s="5">
        <v>44607.950655807901</v>
      </c>
      <c r="C650" s="5">
        <v>44609.836208246197</v>
      </c>
      <c r="D650" s="4" t="s">
        <v>98</v>
      </c>
      <c r="E650" s="4" t="s">
        <v>597</v>
      </c>
      <c r="F650" s="4" t="s">
        <v>135</v>
      </c>
      <c r="G650" s="4">
        <f t="shared" ca="1" si="10"/>
        <v>25</v>
      </c>
      <c r="H650" s="4">
        <v>2</v>
      </c>
    </row>
    <row r="651" spans="1:8" ht="15.6">
      <c r="A651" s="4" t="s">
        <v>598</v>
      </c>
      <c r="B651" s="5">
        <v>45200.924813432503</v>
      </c>
      <c r="C651" s="5">
        <v>45205.071058306901</v>
      </c>
      <c r="D651" s="4" t="s">
        <v>98</v>
      </c>
      <c r="E651" s="4" t="s">
        <v>207</v>
      </c>
      <c r="F651" s="4" t="s">
        <v>131</v>
      </c>
      <c r="G651" s="4">
        <f t="shared" ca="1" si="10"/>
        <v>77</v>
      </c>
      <c r="H651" s="4">
        <v>5</v>
      </c>
    </row>
    <row r="652" spans="1:8" ht="15.6">
      <c r="A652" s="4" t="s">
        <v>598</v>
      </c>
      <c r="B652" s="5">
        <v>45200.299393044399</v>
      </c>
      <c r="C652" s="5">
        <v>45205.270269505803</v>
      </c>
      <c r="D652" s="4" t="s">
        <v>98</v>
      </c>
      <c r="E652" s="4" t="s">
        <v>207</v>
      </c>
      <c r="F652" s="4" t="s">
        <v>125</v>
      </c>
      <c r="G652" s="4">
        <f t="shared" ca="1" si="10"/>
        <v>27</v>
      </c>
      <c r="H652" s="4">
        <v>2</v>
      </c>
    </row>
    <row r="653" spans="1:8" ht="15.6">
      <c r="A653" s="4" t="s">
        <v>598</v>
      </c>
      <c r="B653" s="5">
        <v>45200.452925776299</v>
      </c>
      <c r="C653" s="5">
        <v>45205.572311251002</v>
      </c>
      <c r="D653" s="4" t="s">
        <v>98</v>
      </c>
      <c r="E653" s="4" t="s">
        <v>207</v>
      </c>
      <c r="F653" s="4" t="s">
        <v>106</v>
      </c>
      <c r="G653" s="4">
        <f t="shared" ca="1" si="10"/>
        <v>43</v>
      </c>
      <c r="H653" s="4">
        <v>2</v>
      </c>
    </row>
    <row r="654" spans="1:8" ht="15.6">
      <c r="A654" s="4" t="s">
        <v>598</v>
      </c>
      <c r="B654" s="5">
        <v>45200.772667078803</v>
      </c>
      <c r="C654" s="5">
        <v>45205.210776675201</v>
      </c>
      <c r="D654" s="4" t="s">
        <v>98</v>
      </c>
      <c r="E654" s="4" t="s">
        <v>207</v>
      </c>
      <c r="F654" s="4" t="s">
        <v>130</v>
      </c>
      <c r="G654" s="4">
        <f t="shared" ca="1" si="10"/>
        <v>66</v>
      </c>
      <c r="H654" s="4">
        <v>1</v>
      </c>
    </row>
    <row r="655" spans="1:8" ht="15.6">
      <c r="A655" s="4" t="s">
        <v>599</v>
      </c>
      <c r="B655" s="5">
        <v>45204.965463755303</v>
      </c>
      <c r="C655" s="5">
        <v>45208.528535101497</v>
      </c>
      <c r="D655" s="4" t="s">
        <v>94</v>
      </c>
      <c r="E655" s="4" t="s">
        <v>600</v>
      </c>
      <c r="F655" s="4" t="s">
        <v>121</v>
      </c>
      <c r="G655" s="4">
        <f t="shared" ca="1" si="10"/>
        <v>20</v>
      </c>
      <c r="H655" s="4">
        <v>2</v>
      </c>
    </row>
    <row r="656" spans="1:8" ht="15.6">
      <c r="A656" s="4" t="s">
        <v>601</v>
      </c>
      <c r="B656" s="5">
        <v>45285.782790465397</v>
      </c>
      <c r="C656" s="5">
        <v>45290.0750142119</v>
      </c>
      <c r="D656" s="4" t="s">
        <v>98</v>
      </c>
      <c r="E656" s="4" t="s">
        <v>533</v>
      </c>
      <c r="F656" s="4" t="s">
        <v>109</v>
      </c>
      <c r="G656" s="4">
        <f t="shared" ca="1" si="10"/>
        <v>99</v>
      </c>
      <c r="H656" s="4">
        <v>5</v>
      </c>
    </row>
    <row r="657" spans="1:8" ht="15.6">
      <c r="A657" s="4" t="s">
        <v>601</v>
      </c>
      <c r="B657" s="5">
        <v>45285.757980902403</v>
      </c>
      <c r="C657" s="5">
        <v>45290.1952132921</v>
      </c>
      <c r="D657" s="4" t="s">
        <v>98</v>
      </c>
      <c r="E657" s="4" t="s">
        <v>533</v>
      </c>
      <c r="F657" s="4" t="s">
        <v>121</v>
      </c>
      <c r="G657" s="4">
        <f t="shared" ca="1" si="10"/>
        <v>72</v>
      </c>
      <c r="H657" s="4">
        <v>5</v>
      </c>
    </row>
    <row r="658" spans="1:8" ht="15.6">
      <c r="A658" s="4" t="s">
        <v>602</v>
      </c>
      <c r="B658" s="5">
        <v>45015.466208203303</v>
      </c>
      <c r="C658" s="5">
        <v>45018.644386052802</v>
      </c>
      <c r="D658" s="4" t="s">
        <v>98</v>
      </c>
      <c r="E658" s="4" t="s">
        <v>603</v>
      </c>
      <c r="F658" s="4" t="s">
        <v>131</v>
      </c>
      <c r="G658" s="4">
        <f t="shared" ca="1" si="10"/>
        <v>88</v>
      </c>
      <c r="H658" s="4">
        <v>3</v>
      </c>
    </row>
    <row r="659" spans="1:8" ht="15.6">
      <c r="A659" s="4" t="s">
        <v>602</v>
      </c>
      <c r="B659" s="5">
        <v>45015.110936955403</v>
      </c>
      <c r="C659" s="5">
        <v>45018.686943446002</v>
      </c>
      <c r="D659" s="4" t="s">
        <v>98</v>
      </c>
      <c r="E659" s="4" t="s">
        <v>603</v>
      </c>
      <c r="F659" s="4" t="s">
        <v>135</v>
      </c>
      <c r="G659" s="4">
        <f t="shared" ca="1" si="10"/>
        <v>83</v>
      </c>
      <c r="H659" s="4">
        <v>4</v>
      </c>
    </row>
    <row r="660" spans="1:8" ht="15.6">
      <c r="A660" s="4" t="s">
        <v>602</v>
      </c>
      <c r="B660" s="5">
        <v>45015.994048192399</v>
      </c>
      <c r="C660" s="5">
        <v>45018.244176598098</v>
      </c>
      <c r="D660" s="4" t="s">
        <v>98</v>
      </c>
      <c r="E660" s="4" t="s">
        <v>603</v>
      </c>
      <c r="F660" s="4" t="s">
        <v>135</v>
      </c>
      <c r="G660" s="4">
        <f t="shared" ca="1" si="10"/>
        <v>57</v>
      </c>
      <c r="H660" s="4">
        <v>2</v>
      </c>
    </row>
    <row r="661" spans="1:8" ht="15.6">
      <c r="A661" s="4" t="s">
        <v>602</v>
      </c>
      <c r="B661" s="5">
        <v>45015.205655821002</v>
      </c>
      <c r="C661" s="5">
        <v>45018.604606399698</v>
      </c>
      <c r="D661" s="4" t="s">
        <v>98</v>
      </c>
      <c r="E661" s="4" t="s">
        <v>603</v>
      </c>
      <c r="F661" s="4" t="s">
        <v>110</v>
      </c>
      <c r="G661" s="4">
        <f t="shared" ca="1" si="10"/>
        <v>30</v>
      </c>
      <c r="H661" s="4">
        <v>7</v>
      </c>
    </row>
    <row r="662" spans="1:8" ht="15.6">
      <c r="A662" s="4" t="s">
        <v>602</v>
      </c>
      <c r="B662" s="5">
        <v>45015.559369340801</v>
      </c>
      <c r="C662" s="5">
        <v>45018.027046460302</v>
      </c>
      <c r="D662" s="4" t="s">
        <v>98</v>
      </c>
      <c r="E662" s="4" t="s">
        <v>603</v>
      </c>
      <c r="F662" s="4" t="s">
        <v>141</v>
      </c>
      <c r="G662" s="4">
        <f t="shared" ca="1" si="10"/>
        <v>54</v>
      </c>
      <c r="H662" s="4">
        <v>2</v>
      </c>
    </row>
    <row r="663" spans="1:8" ht="15.6">
      <c r="A663" s="4" t="s">
        <v>602</v>
      </c>
      <c r="B663" s="5">
        <v>45015.308699618698</v>
      </c>
      <c r="C663" s="5">
        <v>45018.763008243397</v>
      </c>
      <c r="D663" s="4" t="s">
        <v>98</v>
      </c>
      <c r="E663" s="4" t="s">
        <v>603</v>
      </c>
      <c r="F663" s="4" t="s">
        <v>135</v>
      </c>
      <c r="G663" s="4">
        <f t="shared" ca="1" si="10"/>
        <v>33</v>
      </c>
      <c r="H663" s="4">
        <v>5</v>
      </c>
    </row>
    <row r="664" spans="1:8" ht="15.6">
      <c r="A664" s="4" t="s">
        <v>602</v>
      </c>
      <c r="B664" s="5">
        <v>45015.398698711098</v>
      </c>
      <c r="C664" s="5">
        <v>45018.581914515402</v>
      </c>
      <c r="D664" s="4" t="s">
        <v>98</v>
      </c>
      <c r="E664" s="4" t="s">
        <v>603</v>
      </c>
      <c r="F664" s="4" t="s">
        <v>112</v>
      </c>
      <c r="G664" s="4">
        <f t="shared" ca="1" si="10"/>
        <v>55</v>
      </c>
      <c r="H664" s="4">
        <v>5</v>
      </c>
    </row>
    <row r="665" spans="1:8" ht="15.6">
      <c r="A665" s="4" t="s">
        <v>602</v>
      </c>
      <c r="B665" s="5">
        <v>45015.1770837894</v>
      </c>
      <c r="C665" s="5">
        <v>45018.846244605898</v>
      </c>
      <c r="D665" s="4" t="s">
        <v>98</v>
      </c>
      <c r="E665" s="4" t="s">
        <v>603</v>
      </c>
      <c r="F665" s="4" t="s">
        <v>125</v>
      </c>
      <c r="G665" s="4">
        <f t="shared" ca="1" si="10"/>
        <v>59</v>
      </c>
      <c r="H665" s="4">
        <v>5</v>
      </c>
    </row>
    <row r="666" spans="1:8" ht="15.6">
      <c r="A666" s="4" t="s">
        <v>602</v>
      </c>
      <c r="B666" s="5">
        <v>45015.537538492201</v>
      </c>
      <c r="C666" s="5">
        <v>45018.545680003102</v>
      </c>
      <c r="D666" s="4" t="s">
        <v>98</v>
      </c>
      <c r="E666" s="4" t="s">
        <v>603</v>
      </c>
      <c r="F666" s="4" t="s">
        <v>109</v>
      </c>
      <c r="G666" s="4">
        <f t="shared" ca="1" si="10"/>
        <v>69</v>
      </c>
      <c r="H666" s="4">
        <v>1</v>
      </c>
    </row>
    <row r="667" spans="1:8" ht="15.6">
      <c r="A667" s="4" t="s">
        <v>604</v>
      </c>
      <c r="B667" s="5">
        <v>44492.305561954498</v>
      </c>
      <c r="C667" s="5">
        <v>44495.343026505798</v>
      </c>
      <c r="D667" s="4" t="s">
        <v>94</v>
      </c>
      <c r="E667" s="4" t="s">
        <v>605</v>
      </c>
      <c r="F667" s="4" t="s">
        <v>106</v>
      </c>
      <c r="G667" s="4">
        <f t="shared" ca="1" si="10"/>
        <v>70</v>
      </c>
      <c r="H667" s="4">
        <v>5</v>
      </c>
    </row>
    <row r="668" spans="1:8" ht="15.6">
      <c r="A668" s="4" t="s">
        <v>604</v>
      </c>
      <c r="B668" s="5">
        <v>44492.5226292843</v>
      </c>
      <c r="C668" s="5">
        <v>44495.801223955597</v>
      </c>
      <c r="D668" s="4" t="s">
        <v>94</v>
      </c>
      <c r="E668" s="4" t="s">
        <v>605</v>
      </c>
      <c r="F668" s="4" t="s">
        <v>125</v>
      </c>
      <c r="G668" s="4">
        <f t="shared" ca="1" si="10"/>
        <v>84</v>
      </c>
      <c r="H668" s="4">
        <v>4</v>
      </c>
    </row>
    <row r="669" spans="1:8" ht="15.6">
      <c r="A669" s="4" t="s">
        <v>606</v>
      </c>
      <c r="B669" s="5">
        <v>44989.749436102204</v>
      </c>
      <c r="C669" s="5">
        <v>44993.543275320197</v>
      </c>
      <c r="D669" s="4" t="s">
        <v>114</v>
      </c>
      <c r="E669" s="4" t="s">
        <v>183</v>
      </c>
      <c r="F669" s="4" t="s">
        <v>141</v>
      </c>
      <c r="G669" s="4">
        <f t="shared" ca="1" si="10"/>
        <v>98</v>
      </c>
      <c r="H669" s="4">
        <v>8</v>
      </c>
    </row>
    <row r="670" spans="1:8" ht="15.6">
      <c r="A670" s="4" t="s">
        <v>607</v>
      </c>
      <c r="B670" s="5">
        <v>44582.9778146186</v>
      </c>
      <c r="C670" s="5">
        <v>44584.379531498998</v>
      </c>
      <c r="D670" s="4" t="s">
        <v>94</v>
      </c>
      <c r="E670" s="4" t="s">
        <v>505</v>
      </c>
      <c r="F670" s="4" t="s">
        <v>121</v>
      </c>
      <c r="G670" s="4">
        <f t="shared" ca="1" si="10"/>
        <v>79</v>
      </c>
      <c r="H670" s="4">
        <v>1</v>
      </c>
    </row>
    <row r="671" spans="1:8" ht="15.6">
      <c r="A671" s="4" t="s">
        <v>607</v>
      </c>
      <c r="B671" s="5">
        <v>44582.116434662603</v>
      </c>
      <c r="C671" s="5">
        <v>44584.702355252099</v>
      </c>
      <c r="D671" s="4" t="s">
        <v>94</v>
      </c>
      <c r="E671" s="4" t="s">
        <v>505</v>
      </c>
      <c r="F671" s="4" t="s">
        <v>122</v>
      </c>
      <c r="G671" s="4">
        <f t="shared" ca="1" si="10"/>
        <v>93</v>
      </c>
      <c r="H671" s="4">
        <v>2</v>
      </c>
    </row>
    <row r="672" spans="1:8" ht="15.6">
      <c r="A672" s="4" t="s">
        <v>608</v>
      </c>
      <c r="B672" s="5">
        <v>45239.289416593201</v>
      </c>
      <c r="C672" s="5">
        <v>45244.334189989102</v>
      </c>
      <c r="D672" s="4" t="s">
        <v>98</v>
      </c>
      <c r="E672" s="4" t="s">
        <v>160</v>
      </c>
      <c r="F672" s="4" t="s">
        <v>122</v>
      </c>
      <c r="G672" s="4">
        <f t="shared" ca="1" si="10"/>
        <v>41</v>
      </c>
      <c r="H672" s="4">
        <v>5</v>
      </c>
    </row>
    <row r="673" spans="1:8" ht="15.6">
      <c r="A673" s="4" t="s">
        <v>608</v>
      </c>
      <c r="B673" s="5">
        <v>45239.103846176098</v>
      </c>
      <c r="C673" s="5">
        <v>45244.866564627802</v>
      </c>
      <c r="D673" s="4" t="s">
        <v>98</v>
      </c>
      <c r="E673" s="4" t="s">
        <v>160</v>
      </c>
      <c r="F673" s="4" t="s">
        <v>112</v>
      </c>
      <c r="G673" s="4">
        <f t="shared" ca="1" si="10"/>
        <v>41</v>
      </c>
      <c r="H673" s="4">
        <v>3</v>
      </c>
    </row>
    <row r="674" spans="1:8" ht="15.6">
      <c r="A674" s="4" t="s">
        <v>609</v>
      </c>
      <c r="B674" s="5">
        <v>44630.682933768803</v>
      </c>
      <c r="C674" s="5">
        <v>44634.599595524502</v>
      </c>
      <c r="D674" s="4" t="s">
        <v>94</v>
      </c>
      <c r="E674" s="4" t="s">
        <v>146</v>
      </c>
      <c r="F674" s="4" t="s">
        <v>111</v>
      </c>
      <c r="G674" s="4">
        <f t="shared" ca="1" si="10"/>
        <v>14</v>
      </c>
      <c r="H674" s="4">
        <v>4</v>
      </c>
    </row>
    <row r="675" spans="1:8" ht="15.6">
      <c r="A675" s="4" t="s">
        <v>609</v>
      </c>
      <c r="B675" s="5">
        <v>44630.500940610997</v>
      </c>
      <c r="C675" s="5">
        <v>44634.145827645298</v>
      </c>
      <c r="D675" s="4" t="s">
        <v>94</v>
      </c>
      <c r="E675" s="4" t="s">
        <v>146</v>
      </c>
      <c r="F675" s="4" t="s">
        <v>110</v>
      </c>
      <c r="G675" s="4">
        <f t="shared" ca="1" si="10"/>
        <v>17</v>
      </c>
      <c r="H675" s="4">
        <v>1</v>
      </c>
    </row>
    <row r="676" spans="1:8" ht="15.6">
      <c r="A676" s="4" t="s">
        <v>610</v>
      </c>
      <c r="B676" s="5">
        <v>45137.5042181299</v>
      </c>
      <c r="C676" s="5">
        <v>45142.759284108703</v>
      </c>
      <c r="D676" s="4" t="s">
        <v>94</v>
      </c>
      <c r="E676" s="4" t="s">
        <v>297</v>
      </c>
      <c r="F676" s="4" t="s">
        <v>109</v>
      </c>
      <c r="G676" s="4">
        <f t="shared" ca="1" si="10"/>
        <v>42</v>
      </c>
      <c r="H676" s="4">
        <v>3</v>
      </c>
    </row>
    <row r="677" spans="1:8" ht="15.6">
      <c r="A677" s="4" t="s">
        <v>611</v>
      </c>
      <c r="B677" s="5">
        <v>44230.448404641997</v>
      </c>
      <c r="C677" s="5">
        <v>44232.520643345299</v>
      </c>
      <c r="D677" s="4" t="s">
        <v>94</v>
      </c>
      <c r="E677" s="4" t="s">
        <v>248</v>
      </c>
      <c r="F677" s="4" t="s">
        <v>130</v>
      </c>
      <c r="G677" s="4">
        <f t="shared" ca="1" si="10"/>
        <v>16</v>
      </c>
      <c r="H677" s="4">
        <v>2</v>
      </c>
    </row>
    <row r="678" spans="1:8" ht="15.6">
      <c r="A678" s="4" t="s">
        <v>611</v>
      </c>
      <c r="B678" s="5">
        <v>44230.945509848898</v>
      </c>
      <c r="C678" s="5">
        <v>44232.400420901096</v>
      </c>
      <c r="D678" s="4" t="s">
        <v>94</v>
      </c>
      <c r="E678" s="4" t="s">
        <v>248</v>
      </c>
      <c r="F678" s="4" t="s">
        <v>96</v>
      </c>
      <c r="G678" s="4">
        <f t="shared" ca="1" si="10"/>
        <v>67</v>
      </c>
      <c r="H678" s="4">
        <v>3</v>
      </c>
    </row>
    <row r="679" spans="1:8" ht="15.6">
      <c r="A679" s="4" t="s">
        <v>611</v>
      </c>
      <c r="B679" s="5">
        <v>44230.664727567302</v>
      </c>
      <c r="C679" s="5">
        <v>44232.183794622899</v>
      </c>
      <c r="D679" s="4" t="s">
        <v>94</v>
      </c>
      <c r="E679" s="4" t="s">
        <v>248</v>
      </c>
      <c r="F679" s="4" t="s">
        <v>125</v>
      </c>
      <c r="G679" s="4">
        <f t="shared" ca="1" si="10"/>
        <v>39</v>
      </c>
      <c r="H679" s="4">
        <v>2</v>
      </c>
    </row>
    <row r="680" spans="1:8" ht="15.6">
      <c r="A680" s="4" t="s">
        <v>612</v>
      </c>
      <c r="B680" s="5">
        <v>44635.004127625099</v>
      </c>
      <c r="C680" s="5">
        <v>44641.453782663797</v>
      </c>
      <c r="D680" s="4" t="s">
        <v>114</v>
      </c>
      <c r="E680" s="4" t="s">
        <v>376</v>
      </c>
      <c r="F680" s="4" t="s">
        <v>135</v>
      </c>
      <c r="G680" s="4">
        <f t="shared" ca="1" si="10"/>
        <v>81</v>
      </c>
      <c r="H680" s="4">
        <v>2</v>
      </c>
    </row>
    <row r="681" spans="1:8" ht="15.6">
      <c r="A681" s="4" t="s">
        <v>612</v>
      </c>
      <c r="B681" s="5">
        <v>44635.4696560722</v>
      </c>
      <c r="C681" s="5">
        <v>44641.536544013601</v>
      </c>
      <c r="D681" s="4" t="s">
        <v>114</v>
      </c>
      <c r="E681" s="4" t="s">
        <v>376</v>
      </c>
      <c r="F681" s="4" t="s">
        <v>118</v>
      </c>
      <c r="G681" s="4">
        <f t="shared" ca="1" si="10"/>
        <v>86</v>
      </c>
      <c r="H681" s="4">
        <v>5</v>
      </c>
    </row>
    <row r="682" spans="1:8" ht="15.6">
      <c r="A682" s="4" t="s">
        <v>613</v>
      </c>
      <c r="B682" s="5">
        <v>44942.1702393995</v>
      </c>
      <c r="C682" s="5">
        <v>44949.432799669798</v>
      </c>
      <c r="D682" s="4" t="s">
        <v>98</v>
      </c>
      <c r="E682" s="4" t="s">
        <v>614</v>
      </c>
      <c r="F682" s="4" t="s">
        <v>125</v>
      </c>
      <c r="G682" s="4">
        <f t="shared" ca="1" si="10"/>
        <v>62</v>
      </c>
      <c r="H682" s="4">
        <v>7</v>
      </c>
    </row>
    <row r="683" spans="1:8" ht="15.6">
      <c r="A683" s="4" t="s">
        <v>613</v>
      </c>
      <c r="B683" s="5">
        <v>44942.808060270901</v>
      </c>
      <c r="C683" s="5">
        <v>44949.037382160503</v>
      </c>
      <c r="D683" s="4" t="s">
        <v>98</v>
      </c>
      <c r="E683" s="4" t="s">
        <v>614</v>
      </c>
      <c r="F683" s="4" t="s">
        <v>111</v>
      </c>
      <c r="G683" s="4">
        <f t="shared" ca="1" si="10"/>
        <v>53</v>
      </c>
      <c r="H683" s="4">
        <v>9</v>
      </c>
    </row>
    <row r="684" spans="1:8" ht="15.6">
      <c r="A684" s="4" t="s">
        <v>615</v>
      </c>
      <c r="B684" s="5">
        <v>45073.195611585303</v>
      </c>
      <c r="C684" s="5">
        <v>45078.095485668702</v>
      </c>
      <c r="D684" s="4" t="s">
        <v>94</v>
      </c>
      <c r="E684" s="4" t="s">
        <v>164</v>
      </c>
      <c r="F684" s="4" t="s">
        <v>135</v>
      </c>
      <c r="G684" s="4">
        <f t="shared" ca="1" si="10"/>
        <v>71</v>
      </c>
      <c r="H684" s="4">
        <v>6</v>
      </c>
    </row>
    <row r="685" spans="1:8" ht="15.6">
      <c r="A685" s="4" t="s">
        <v>615</v>
      </c>
      <c r="B685" s="5">
        <v>45073.124510247399</v>
      </c>
      <c r="C685" s="5">
        <v>45078.681821469101</v>
      </c>
      <c r="D685" s="4" t="s">
        <v>94</v>
      </c>
      <c r="E685" s="4" t="s">
        <v>164</v>
      </c>
      <c r="F685" s="4" t="s">
        <v>101</v>
      </c>
      <c r="G685" s="4">
        <f t="shared" ca="1" si="10"/>
        <v>81</v>
      </c>
      <c r="H685" s="4">
        <v>2</v>
      </c>
    </row>
    <row r="686" spans="1:8" ht="15.6">
      <c r="A686" s="4" t="s">
        <v>616</v>
      </c>
      <c r="B686" s="5">
        <v>45030.430976338997</v>
      </c>
      <c r="C686" s="5">
        <v>45035.259248820301</v>
      </c>
      <c r="D686" s="4" t="s">
        <v>94</v>
      </c>
      <c r="E686" s="4" t="s">
        <v>245</v>
      </c>
      <c r="F686" s="4" t="s">
        <v>100</v>
      </c>
      <c r="G686" s="4">
        <f t="shared" ca="1" si="10"/>
        <v>28</v>
      </c>
      <c r="H686" s="4">
        <v>2</v>
      </c>
    </row>
    <row r="687" spans="1:8" ht="15.6">
      <c r="A687" s="4" t="s">
        <v>617</v>
      </c>
      <c r="B687" s="5">
        <v>44679.023983147301</v>
      </c>
      <c r="C687" s="5">
        <v>44683.718401278398</v>
      </c>
      <c r="D687" s="4" t="s">
        <v>114</v>
      </c>
      <c r="E687" s="4" t="s">
        <v>127</v>
      </c>
      <c r="F687" s="4" t="s">
        <v>101</v>
      </c>
      <c r="G687" s="4">
        <f t="shared" ca="1" si="10"/>
        <v>29</v>
      </c>
      <c r="H687" s="4">
        <v>2</v>
      </c>
    </row>
    <row r="688" spans="1:8" ht="15.6">
      <c r="A688" s="4" t="s">
        <v>617</v>
      </c>
      <c r="B688" s="5">
        <v>44679.178810555102</v>
      </c>
      <c r="C688" s="5">
        <v>44683.576038892599</v>
      </c>
      <c r="D688" s="4" t="s">
        <v>114</v>
      </c>
      <c r="E688" s="4" t="s">
        <v>127</v>
      </c>
      <c r="F688" s="4" t="s">
        <v>101</v>
      </c>
      <c r="G688" s="4">
        <f t="shared" ca="1" si="10"/>
        <v>36</v>
      </c>
      <c r="H688" s="4">
        <v>3</v>
      </c>
    </row>
    <row r="689" spans="1:8" ht="15.6">
      <c r="A689" s="4" t="s">
        <v>618</v>
      </c>
      <c r="B689" s="5">
        <v>45233.4636688881</v>
      </c>
      <c r="C689" s="5">
        <v>45238.9120437073</v>
      </c>
      <c r="D689" s="4" t="s">
        <v>114</v>
      </c>
      <c r="E689" s="4" t="s">
        <v>619</v>
      </c>
      <c r="F689" s="4" t="s">
        <v>109</v>
      </c>
      <c r="G689" s="4">
        <f t="shared" ca="1" si="10"/>
        <v>74</v>
      </c>
      <c r="H689" s="4">
        <v>5</v>
      </c>
    </row>
    <row r="690" spans="1:8" ht="15.6">
      <c r="A690" s="4" t="s">
        <v>620</v>
      </c>
      <c r="B690" s="5">
        <v>44239.728528775602</v>
      </c>
      <c r="C690" s="5">
        <v>44243.080682478801</v>
      </c>
      <c r="D690" s="4" t="s">
        <v>98</v>
      </c>
      <c r="E690" s="4" t="s">
        <v>258</v>
      </c>
      <c r="F690" s="4" t="s">
        <v>110</v>
      </c>
      <c r="G690" s="4">
        <f t="shared" ca="1" si="10"/>
        <v>52</v>
      </c>
      <c r="H690" s="4">
        <v>2</v>
      </c>
    </row>
    <row r="691" spans="1:8" ht="15.6">
      <c r="A691" s="4" t="s">
        <v>620</v>
      </c>
      <c r="B691" s="5">
        <v>44239.6009877877</v>
      </c>
      <c r="C691" s="5">
        <v>44243.494610375601</v>
      </c>
      <c r="D691" s="4" t="s">
        <v>98</v>
      </c>
      <c r="E691" s="4" t="s">
        <v>258</v>
      </c>
      <c r="F691" s="4" t="s">
        <v>101</v>
      </c>
      <c r="G691" s="4">
        <f t="shared" ca="1" si="10"/>
        <v>91</v>
      </c>
      <c r="H691" s="4">
        <v>4</v>
      </c>
    </row>
    <row r="692" spans="1:8" ht="15.6">
      <c r="A692" s="4" t="s">
        <v>620</v>
      </c>
      <c r="B692" s="5">
        <v>44239.1668624862</v>
      </c>
      <c r="C692" s="5">
        <v>44243.280729432699</v>
      </c>
      <c r="D692" s="4" t="s">
        <v>98</v>
      </c>
      <c r="E692" s="4" t="s">
        <v>258</v>
      </c>
      <c r="F692" s="4" t="s">
        <v>110</v>
      </c>
      <c r="G692" s="4">
        <f t="shared" ca="1" si="10"/>
        <v>36</v>
      </c>
      <c r="H692" s="4">
        <v>6</v>
      </c>
    </row>
    <row r="693" spans="1:8" ht="15.6">
      <c r="A693" s="4" t="s">
        <v>621</v>
      </c>
      <c r="B693" s="5">
        <v>44286.985757229697</v>
      </c>
      <c r="C693" s="5">
        <v>44290.118913607301</v>
      </c>
      <c r="D693" s="4" t="s">
        <v>114</v>
      </c>
      <c r="E693" s="4" t="s">
        <v>622</v>
      </c>
      <c r="F693" s="4" t="s">
        <v>141</v>
      </c>
      <c r="G693" s="4">
        <f t="shared" ca="1" si="10"/>
        <v>40</v>
      </c>
      <c r="H693" s="4">
        <v>2</v>
      </c>
    </row>
    <row r="694" spans="1:8" ht="15.6">
      <c r="A694" s="4" t="s">
        <v>623</v>
      </c>
      <c r="B694" s="5">
        <v>44585.620286700898</v>
      </c>
      <c r="C694" s="5">
        <v>44590.6131977482</v>
      </c>
      <c r="D694" s="4" t="s">
        <v>98</v>
      </c>
      <c r="E694" s="4" t="s">
        <v>624</v>
      </c>
      <c r="F694" s="4" t="s">
        <v>122</v>
      </c>
      <c r="G694" s="4">
        <f t="shared" ca="1" si="10"/>
        <v>13</v>
      </c>
      <c r="H694" s="4">
        <v>10</v>
      </c>
    </row>
    <row r="695" spans="1:8" ht="15.6">
      <c r="A695" s="4" t="s">
        <v>623</v>
      </c>
      <c r="B695" s="5">
        <v>44585.841296752798</v>
      </c>
      <c r="C695" s="5">
        <v>44590.743883458803</v>
      </c>
      <c r="D695" s="4" t="s">
        <v>98</v>
      </c>
      <c r="E695" s="4" t="s">
        <v>624</v>
      </c>
      <c r="F695" s="4" t="s">
        <v>101</v>
      </c>
      <c r="G695" s="4">
        <f t="shared" ca="1" si="10"/>
        <v>31</v>
      </c>
      <c r="H695" s="4">
        <v>9</v>
      </c>
    </row>
    <row r="696" spans="1:8" ht="15.6">
      <c r="A696" s="4" t="s">
        <v>625</v>
      </c>
      <c r="B696" s="5">
        <v>45288.668088660299</v>
      </c>
      <c r="C696" s="5">
        <v>44197.866548853497</v>
      </c>
      <c r="D696" s="4" t="s">
        <v>98</v>
      </c>
      <c r="E696" s="4" t="s">
        <v>127</v>
      </c>
      <c r="F696" s="4" t="s">
        <v>121</v>
      </c>
      <c r="G696" s="4">
        <f t="shared" ca="1" si="10"/>
        <v>49</v>
      </c>
      <c r="H696" s="4">
        <v>4</v>
      </c>
    </row>
    <row r="697" spans="1:8" ht="15.6">
      <c r="A697" s="4" t="s">
        <v>626</v>
      </c>
      <c r="B697" s="5">
        <v>44859.010145411201</v>
      </c>
      <c r="C697" s="5">
        <v>44863.485862814399</v>
      </c>
      <c r="D697" s="4" t="s">
        <v>94</v>
      </c>
      <c r="E697" s="4" t="s">
        <v>627</v>
      </c>
      <c r="F697" s="4" t="s">
        <v>106</v>
      </c>
      <c r="G697" s="4">
        <f t="shared" ca="1" si="10"/>
        <v>27</v>
      </c>
      <c r="H697" s="4">
        <v>3</v>
      </c>
    </row>
    <row r="698" spans="1:8" ht="15.6">
      <c r="A698" s="4" t="s">
        <v>626</v>
      </c>
      <c r="B698" s="5">
        <v>44859.615617598902</v>
      </c>
      <c r="C698" s="5">
        <v>44863.156038185698</v>
      </c>
      <c r="D698" s="4" t="s">
        <v>94</v>
      </c>
      <c r="E698" s="4" t="s">
        <v>627</v>
      </c>
      <c r="F698" s="4" t="s">
        <v>130</v>
      </c>
      <c r="G698" s="4">
        <f t="shared" ca="1" si="10"/>
        <v>34</v>
      </c>
      <c r="H698" s="4">
        <v>1</v>
      </c>
    </row>
    <row r="699" spans="1:8" ht="15.6">
      <c r="A699" s="4" t="s">
        <v>626</v>
      </c>
      <c r="B699" s="5">
        <v>44859.897940503899</v>
      </c>
      <c r="C699" s="5">
        <v>44863.020382267801</v>
      </c>
      <c r="D699" s="4" t="s">
        <v>94</v>
      </c>
      <c r="E699" s="4" t="s">
        <v>627</v>
      </c>
      <c r="F699" s="4" t="s">
        <v>111</v>
      </c>
      <c r="G699" s="4">
        <f t="shared" ca="1" si="10"/>
        <v>21</v>
      </c>
      <c r="H699" s="4">
        <v>1</v>
      </c>
    </row>
    <row r="700" spans="1:8" ht="15.6">
      <c r="A700" s="4" t="s">
        <v>626</v>
      </c>
      <c r="B700" s="5">
        <v>44859.292518502203</v>
      </c>
      <c r="C700" s="5">
        <v>44863.010194246301</v>
      </c>
      <c r="D700" s="4" t="s">
        <v>94</v>
      </c>
      <c r="E700" s="4" t="s">
        <v>627</v>
      </c>
      <c r="F700" s="4" t="s">
        <v>125</v>
      </c>
      <c r="G700" s="4">
        <f t="shared" ca="1" si="10"/>
        <v>92</v>
      </c>
      <c r="H700" s="4">
        <v>2</v>
      </c>
    </row>
    <row r="701" spans="1:8" ht="15.6">
      <c r="A701" s="4" t="s">
        <v>626</v>
      </c>
      <c r="B701" s="5">
        <v>44859.648706447602</v>
      </c>
      <c r="C701" s="5">
        <v>44863.258708248402</v>
      </c>
      <c r="D701" s="4" t="s">
        <v>94</v>
      </c>
      <c r="E701" s="4" t="s">
        <v>627</v>
      </c>
      <c r="F701" s="4" t="s">
        <v>130</v>
      </c>
      <c r="G701" s="4">
        <f t="shared" ca="1" si="10"/>
        <v>37</v>
      </c>
      <c r="H701" s="4">
        <v>5</v>
      </c>
    </row>
    <row r="702" spans="1:8" ht="15.6">
      <c r="A702" s="4" t="s">
        <v>628</v>
      </c>
      <c r="B702" s="5">
        <v>44460.897830405898</v>
      </c>
      <c r="C702" s="5">
        <v>44465.961245767903</v>
      </c>
      <c r="D702" s="4" t="s">
        <v>98</v>
      </c>
      <c r="E702" s="4" t="s">
        <v>120</v>
      </c>
      <c r="F702" s="4" t="s">
        <v>144</v>
      </c>
      <c r="G702" s="4">
        <f t="shared" ca="1" si="10"/>
        <v>74</v>
      </c>
      <c r="H702" s="4">
        <v>4</v>
      </c>
    </row>
    <row r="703" spans="1:8" ht="15.6">
      <c r="A703" s="4" t="s">
        <v>629</v>
      </c>
      <c r="B703" s="5">
        <v>44940.224782739002</v>
      </c>
      <c r="C703" s="5">
        <v>44944.1289011544</v>
      </c>
      <c r="D703" s="4" t="s">
        <v>98</v>
      </c>
      <c r="E703" s="4" t="s">
        <v>309</v>
      </c>
      <c r="F703" s="4" t="s">
        <v>111</v>
      </c>
      <c r="G703" s="4">
        <f t="shared" ca="1" si="10"/>
        <v>49</v>
      </c>
      <c r="H703" s="4">
        <v>2</v>
      </c>
    </row>
    <row r="704" spans="1:8" ht="15.6">
      <c r="A704" s="4" t="s">
        <v>630</v>
      </c>
      <c r="B704" s="5">
        <v>44455.546293476997</v>
      </c>
      <c r="C704" s="5">
        <v>44457.237884653601</v>
      </c>
      <c r="D704" s="4" t="s">
        <v>98</v>
      </c>
      <c r="E704" s="4" t="s">
        <v>146</v>
      </c>
      <c r="F704" s="4" t="s">
        <v>141</v>
      </c>
      <c r="G704" s="4">
        <f t="shared" ca="1" si="10"/>
        <v>30</v>
      </c>
      <c r="H704" s="4">
        <v>2</v>
      </c>
    </row>
    <row r="705" spans="1:8" ht="15.6">
      <c r="A705" s="4" t="s">
        <v>631</v>
      </c>
      <c r="B705" s="5">
        <v>44503.928920485698</v>
      </c>
      <c r="C705" s="5">
        <v>44505.350264061199</v>
      </c>
      <c r="D705" s="4" t="s">
        <v>98</v>
      </c>
      <c r="E705" s="4" t="s">
        <v>181</v>
      </c>
      <c r="F705" s="4" t="s">
        <v>141</v>
      </c>
      <c r="G705" s="4">
        <f t="shared" ca="1" si="10"/>
        <v>27</v>
      </c>
      <c r="H705" s="4">
        <v>4</v>
      </c>
    </row>
    <row r="706" spans="1:8" ht="15.6">
      <c r="A706" s="4" t="s">
        <v>632</v>
      </c>
      <c r="B706" s="5">
        <v>44634.212064882697</v>
      </c>
      <c r="C706" s="5">
        <v>44640.432619952</v>
      </c>
      <c r="D706" s="4" t="s">
        <v>94</v>
      </c>
      <c r="E706" s="4" t="s">
        <v>633</v>
      </c>
      <c r="F706" s="4" t="s">
        <v>112</v>
      </c>
      <c r="G706" s="4">
        <f t="shared" ref="G706:G769" ca="1" si="11">RANDBETWEEN(10,100)</f>
        <v>44</v>
      </c>
      <c r="H706" s="4">
        <v>2</v>
      </c>
    </row>
    <row r="707" spans="1:8" ht="15.6">
      <c r="A707" s="4" t="s">
        <v>634</v>
      </c>
      <c r="B707" s="5">
        <v>45082.5141986409</v>
      </c>
      <c r="C707" s="5">
        <v>45089.189794074002</v>
      </c>
      <c r="D707" s="4" t="s">
        <v>94</v>
      </c>
      <c r="E707" s="4" t="s">
        <v>635</v>
      </c>
      <c r="F707" s="4" t="s">
        <v>100</v>
      </c>
      <c r="G707" s="4">
        <f t="shared" ca="1" si="11"/>
        <v>61</v>
      </c>
      <c r="H707" s="4">
        <v>2</v>
      </c>
    </row>
    <row r="708" spans="1:8" ht="15.6">
      <c r="A708" s="4" t="s">
        <v>636</v>
      </c>
      <c r="B708" s="5">
        <v>44670.072091301998</v>
      </c>
      <c r="C708" s="5">
        <v>44674.937461415502</v>
      </c>
      <c r="D708" s="4" t="s">
        <v>98</v>
      </c>
      <c r="E708" s="4" t="s">
        <v>637</v>
      </c>
      <c r="F708" s="4" t="s">
        <v>125</v>
      </c>
      <c r="G708" s="4">
        <f t="shared" ca="1" si="11"/>
        <v>30</v>
      </c>
      <c r="H708" s="4">
        <v>5</v>
      </c>
    </row>
    <row r="709" spans="1:8" ht="15.6">
      <c r="A709" s="4" t="s">
        <v>638</v>
      </c>
      <c r="B709" s="5">
        <v>44482.499109419201</v>
      </c>
      <c r="C709" s="5">
        <v>44484.820484138501</v>
      </c>
      <c r="D709" s="4" t="s">
        <v>94</v>
      </c>
      <c r="E709" s="4" t="s">
        <v>639</v>
      </c>
      <c r="F709" s="4" t="s">
        <v>118</v>
      </c>
      <c r="G709" s="4">
        <f t="shared" ca="1" si="11"/>
        <v>29</v>
      </c>
      <c r="H709" s="4">
        <v>3</v>
      </c>
    </row>
    <row r="710" spans="1:8" ht="15.6">
      <c r="A710" s="4" t="s">
        <v>638</v>
      </c>
      <c r="B710" s="5">
        <v>44482.8473787478</v>
      </c>
      <c r="C710" s="5">
        <v>44484.356703814403</v>
      </c>
      <c r="D710" s="4" t="s">
        <v>94</v>
      </c>
      <c r="E710" s="4" t="s">
        <v>639</v>
      </c>
      <c r="F710" s="4" t="s">
        <v>96</v>
      </c>
      <c r="G710" s="4">
        <f t="shared" ca="1" si="11"/>
        <v>15</v>
      </c>
      <c r="H710" s="4">
        <v>3</v>
      </c>
    </row>
    <row r="711" spans="1:8" ht="15.6">
      <c r="A711" s="4" t="s">
        <v>638</v>
      </c>
      <c r="B711" s="5">
        <v>44482.6893545352</v>
      </c>
      <c r="C711" s="5">
        <v>44484.466813419102</v>
      </c>
      <c r="D711" s="4" t="s">
        <v>94</v>
      </c>
      <c r="E711" s="4" t="s">
        <v>639</v>
      </c>
      <c r="F711" s="4" t="s">
        <v>101</v>
      </c>
      <c r="G711" s="4">
        <f t="shared" ca="1" si="11"/>
        <v>77</v>
      </c>
      <c r="H711" s="4">
        <v>3</v>
      </c>
    </row>
    <row r="712" spans="1:8" ht="15.6">
      <c r="A712" s="4" t="s">
        <v>638</v>
      </c>
      <c r="B712" s="5">
        <v>44482.324155784998</v>
      </c>
      <c r="C712" s="5">
        <v>44484.996028103902</v>
      </c>
      <c r="D712" s="4" t="s">
        <v>94</v>
      </c>
      <c r="E712" s="4" t="s">
        <v>639</v>
      </c>
      <c r="F712" s="4" t="s">
        <v>141</v>
      </c>
      <c r="G712" s="4">
        <f t="shared" ca="1" si="11"/>
        <v>44</v>
      </c>
      <c r="H712" s="4">
        <v>6</v>
      </c>
    </row>
    <row r="713" spans="1:8" ht="15.6">
      <c r="A713" s="4" t="s">
        <v>638</v>
      </c>
      <c r="B713" s="5">
        <v>44482.800244090096</v>
      </c>
      <c r="C713" s="5">
        <v>44484.521609586896</v>
      </c>
      <c r="D713" s="4" t="s">
        <v>94</v>
      </c>
      <c r="E713" s="4" t="s">
        <v>639</v>
      </c>
      <c r="F713" s="4" t="s">
        <v>100</v>
      </c>
      <c r="G713" s="4">
        <f t="shared" ca="1" si="11"/>
        <v>80</v>
      </c>
      <c r="H713" s="4">
        <v>6</v>
      </c>
    </row>
    <row r="714" spans="1:8" ht="15.6">
      <c r="A714" s="4" t="s">
        <v>640</v>
      </c>
      <c r="B714" s="5">
        <v>45281.738939763098</v>
      </c>
      <c r="C714" s="5">
        <v>45283.859219210797</v>
      </c>
      <c r="D714" s="4" t="s">
        <v>94</v>
      </c>
      <c r="E714" s="4" t="s">
        <v>641</v>
      </c>
      <c r="F714" s="4" t="s">
        <v>101</v>
      </c>
      <c r="G714" s="4">
        <f t="shared" ca="1" si="11"/>
        <v>69</v>
      </c>
      <c r="H714" s="4">
        <v>2</v>
      </c>
    </row>
    <row r="715" spans="1:8" ht="15.6">
      <c r="A715" s="4" t="s">
        <v>642</v>
      </c>
      <c r="B715" s="5">
        <v>44749.5159067368</v>
      </c>
      <c r="C715" s="5">
        <v>44754.980245660699</v>
      </c>
      <c r="D715" s="4" t="s">
        <v>94</v>
      </c>
      <c r="E715" s="4" t="s">
        <v>643</v>
      </c>
      <c r="F715" s="4" t="s">
        <v>135</v>
      </c>
      <c r="G715" s="4">
        <f t="shared" ca="1" si="11"/>
        <v>14</v>
      </c>
      <c r="H715" s="4">
        <v>1</v>
      </c>
    </row>
    <row r="716" spans="1:8" ht="15.6">
      <c r="A716" s="4" t="s">
        <v>642</v>
      </c>
      <c r="B716" s="5">
        <v>44749.202610690001</v>
      </c>
      <c r="C716" s="5">
        <v>44754.066734880202</v>
      </c>
      <c r="D716" s="4" t="s">
        <v>94</v>
      </c>
      <c r="E716" s="4" t="s">
        <v>643</v>
      </c>
      <c r="F716" s="4" t="s">
        <v>110</v>
      </c>
      <c r="G716" s="4">
        <f t="shared" ca="1" si="11"/>
        <v>87</v>
      </c>
      <c r="H716" s="4">
        <v>4</v>
      </c>
    </row>
    <row r="717" spans="1:8" ht="15.6">
      <c r="A717" s="4" t="s">
        <v>642</v>
      </c>
      <c r="B717" s="5">
        <v>44749.803897087702</v>
      </c>
      <c r="C717" s="5">
        <v>44754.798122117798</v>
      </c>
      <c r="D717" s="4" t="s">
        <v>94</v>
      </c>
      <c r="E717" s="4" t="s">
        <v>643</v>
      </c>
      <c r="F717" s="4" t="s">
        <v>118</v>
      </c>
      <c r="G717" s="4">
        <f t="shared" ca="1" si="11"/>
        <v>58</v>
      </c>
      <c r="H717" s="4">
        <v>3</v>
      </c>
    </row>
    <row r="718" spans="1:8" ht="15.6">
      <c r="A718" s="4" t="s">
        <v>644</v>
      </c>
      <c r="B718" s="5">
        <v>44370.491345443697</v>
      </c>
      <c r="C718" s="5">
        <v>44374.542581238398</v>
      </c>
      <c r="D718" s="4" t="s">
        <v>94</v>
      </c>
      <c r="E718" s="4" t="s">
        <v>645</v>
      </c>
      <c r="F718" s="4" t="s">
        <v>122</v>
      </c>
      <c r="G718" s="4">
        <f t="shared" ca="1" si="11"/>
        <v>69</v>
      </c>
      <c r="H718" s="4">
        <v>1</v>
      </c>
    </row>
    <row r="719" spans="1:8" ht="15.6">
      <c r="A719" s="4" t="s">
        <v>644</v>
      </c>
      <c r="B719" s="5">
        <v>44370.397895370697</v>
      </c>
      <c r="C719" s="5">
        <v>44374.4456410485</v>
      </c>
      <c r="D719" s="4" t="s">
        <v>94</v>
      </c>
      <c r="E719" s="4" t="s">
        <v>645</v>
      </c>
      <c r="F719" s="4" t="s">
        <v>109</v>
      </c>
      <c r="G719" s="4">
        <f t="shared" ca="1" si="11"/>
        <v>32</v>
      </c>
      <c r="H719" s="4">
        <v>2</v>
      </c>
    </row>
    <row r="720" spans="1:8" ht="15.6">
      <c r="A720" s="4" t="s">
        <v>644</v>
      </c>
      <c r="B720" s="5">
        <v>44370.571139570202</v>
      </c>
      <c r="C720" s="5">
        <v>44374.381880368201</v>
      </c>
      <c r="D720" s="4" t="s">
        <v>94</v>
      </c>
      <c r="E720" s="4" t="s">
        <v>645</v>
      </c>
      <c r="F720" s="4" t="s">
        <v>130</v>
      </c>
      <c r="G720" s="4">
        <f t="shared" ca="1" si="11"/>
        <v>44</v>
      </c>
      <c r="H720" s="4">
        <v>7</v>
      </c>
    </row>
    <row r="721" spans="1:8" ht="15.6">
      <c r="A721" s="4" t="s">
        <v>646</v>
      </c>
      <c r="B721" s="5">
        <v>45285.504541242401</v>
      </c>
      <c r="C721" s="5">
        <v>45287.820065362197</v>
      </c>
      <c r="D721" s="4" t="s">
        <v>98</v>
      </c>
      <c r="E721" s="4" t="s">
        <v>647</v>
      </c>
      <c r="F721" s="4" t="s">
        <v>100</v>
      </c>
      <c r="G721" s="4">
        <f t="shared" ca="1" si="11"/>
        <v>60</v>
      </c>
      <c r="H721" s="4">
        <v>6</v>
      </c>
    </row>
    <row r="722" spans="1:8" ht="15.6">
      <c r="A722" s="4" t="s">
        <v>648</v>
      </c>
      <c r="B722" s="5">
        <v>45211.398573480197</v>
      </c>
      <c r="C722" s="5">
        <v>45215.061770550201</v>
      </c>
      <c r="D722" s="4" t="s">
        <v>98</v>
      </c>
      <c r="E722" s="4" t="s">
        <v>376</v>
      </c>
      <c r="F722" s="4" t="s">
        <v>130</v>
      </c>
      <c r="G722" s="4">
        <f t="shared" ca="1" si="11"/>
        <v>92</v>
      </c>
      <c r="H722" s="4">
        <v>3</v>
      </c>
    </row>
    <row r="723" spans="1:8" ht="15.6">
      <c r="A723" s="4" t="s">
        <v>649</v>
      </c>
      <c r="B723" s="5">
        <v>45215.898063144501</v>
      </c>
      <c r="C723" s="5">
        <v>45220.534146446698</v>
      </c>
      <c r="D723" s="4" t="s">
        <v>98</v>
      </c>
      <c r="E723" s="4" t="s">
        <v>197</v>
      </c>
      <c r="F723" s="4" t="s">
        <v>118</v>
      </c>
      <c r="G723" s="4">
        <f t="shared" ca="1" si="11"/>
        <v>93</v>
      </c>
      <c r="H723" s="4">
        <v>4</v>
      </c>
    </row>
    <row r="724" spans="1:8" ht="15.6">
      <c r="A724" s="4" t="s">
        <v>650</v>
      </c>
      <c r="B724" s="5">
        <v>44215.92596986</v>
      </c>
      <c r="C724" s="5">
        <v>44216.086987408598</v>
      </c>
      <c r="D724" s="4" t="s">
        <v>98</v>
      </c>
      <c r="E724" s="4" t="s">
        <v>479</v>
      </c>
      <c r="F724" s="4" t="s">
        <v>101</v>
      </c>
      <c r="G724" s="4">
        <f t="shared" ca="1" si="11"/>
        <v>79</v>
      </c>
      <c r="H724" s="4">
        <v>2</v>
      </c>
    </row>
    <row r="725" spans="1:8" ht="15.6">
      <c r="A725" s="4" t="s">
        <v>650</v>
      </c>
      <c r="B725" s="5">
        <v>44215.678229022204</v>
      </c>
      <c r="C725" s="5">
        <v>44216.8560986425</v>
      </c>
      <c r="D725" s="4" t="s">
        <v>98</v>
      </c>
      <c r="E725" s="4" t="s">
        <v>479</v>
      </c>
      <c r="F725" s="4" t="s">
        <v>100</v>
      </c>
      <c r="G725" s="4">
        <f t="shared" ca="1" si="11"/>
        <v>74</v>
      </c>
      <c r="H725" s="4">
        <v>5</v>
      </c>
    </row>
    <row r="726" spans="1:8" ht="15.6">
      <c r="A726" s="4" t="s">
        <v>651</v>
      </c>
      <c r="B726" s="5">
        <v>44939.728629612597</v>
      </c>
      <c r="C726" s="5">
        <v>44943.310584550898</v>
      </c>
      <c r="D726" s="4" t="s">
        <v>94</v>
      </c>
      <c r="E726" s="4" t="s">
        <v>233</v>
      </c>
      <c r="F726" s="4" t="s">
        <v>96</v>
      </c>
      <c r="G726" s="4">
        <f t="shared" ca="1" si="11"/>
        <v>80</v>
      </c>
      <c r="H726" s="4">
        <v>3</v>
      </c>
    </row>
    <row r="727" spans="1:8" ht="15.6">
      <c r="A727" s="4" t="s">
        <v>652</v>
      </c>
      <c r="B727" s="5">
        <v>45237.543694384702</v>
      </c>
      <c r="C727" s="5">
        <v>45241.096399663496</v>
      </c>
      <c r="D727" s="4" t="s">
        <v>98</v>
      </c>
      <c r="E727" s="4" t="s">
        <v>316</v>
      </c>
      <c r="F727" s="4" t="s">
        <v>122</v>
      </c>
      <c r="G727" s="4">
        <f t="shared" ca="1" si="11"/>
        <v>30</v>
      </c>
      <c r="H727" s="4">
        <v>3</v>
      </c>
    </row>
    <row r="728" spans="1:8" ht="15.6">
      <c r="A728" s="4" t="s">
        <v>653</v>
      </c>
      <c r="B728" s="5">
        <v>44955.243819007897</v>
      </c>
      <c r="C728" s="5">
        <v>44957.308526386398</v>
      </c>
      <c r="D728" s="4" t="s">
        <v>94</v>
      </c>
      <c r="E728" s="4" t="s">
        <v>164</v>
      </c>
      <c r="F728" s="4" t="s">
        <v>101</v>
      </c>
      <c r="G728" s="4">
        <f t="shared" ca="1" si="11"/>
        <v>29</v>
      </c>
      <c r="H728" s="4">
        <v>4</v>
      </c>
    </row>
    <row r="729" spans="1:8" ht="15.6">
      <c r="A729" s="4" t="s">
        <v>654</v>
      </c>
      <c r="B729" s="5">
        <v>44648.603573640998</v>
      </c>
      <c r="C729" s="5">
        <v>44651.880475571197</v>
      </c>
      <c r="D729" s="4" t="s">
        <v>114</v>
      </c>
      <c r="E729" s="4" t="s">
        <v>115</v>
      </c>
      <c r="F729" s="4" t="s">
        <v>110</v>
      </c>
      <c r="G729" s="4">
        <f t="shared" ca="1" si="11"/>
        <v>38</v>
      </c>
      <c r="H729" s="4">
        <v>5</v>
      </c>
    </row>
    <row r="730" spans="1:8" ht="15.6">
      <c r="A730" s="4" t="s">
        <v>655</v>
      </c>
      <c r="B730" s="5">
        <v>45271.170465097501</v>
      </c>
      <c r="C730" s="5">
        <v>45275.095601942303</v>
      </c>
      <c r="D730" s="4" t="s">
        <v>98</v>
      </c>
      <c r="E730" s="4" t="s">
        <v>656</v>
      </c>
      <c r="F730" s="4" t="s">
        <v>130</v>
      </c>
      <c r="G730" s="4">
        <f t="shared" ca="1" si="11"/>
        <v>15</v>
      </c>
      <c r="H730" s="4">
        <v>3</v>
      </c>
    </row>
    <row r="731" spans="1:8" ht="15.6">
      <c r="A731" s="4" t="s">
        <v>657</v>
      </c>
      <c r="B731" s="5">
        <v>44341.494516463797</v>
      </c>
      <c r="C731" s="5">
        <v>44345.666475167804</v>
      </c>
      <c r="D731" s="4" t="s">
        <v>94</v>
      </c>
      <c r="E731" s="4" t="s">
        <v>271</v>
      </c>
      <c r="F731" s="4" t="s">
        <v>135</v>
      </c>
      <c r="G731" s="4">
        <f t="shared" ca="1" si="11"/>
        <v>29</v>
      </c>
      <c r="H731" s="4">
        <v>7</v>
      </c>
    </row>
    <row r="732" spans="1:8" ht="15.6">
      <c r="A732" s="4" t="s">
        <v>657</v>
      </c>
      <c r="B732" s="5">
        <v>44341.429209382601</v>
      </c>
      <c r="C732" s="5">
        <v>44345.315471888498</v>
      </c>
      <c r="D732" s="4" t="s">
        <v>94</v>
      </c>
      <c r="E732" s="4" t="s">
        <v>271</v>
      </c>
      <c r="F732" s="4" t="s">
        <v>110</v>
      </c>
      <c r="G732" s="4">
        <f t="shared" ca="1" si="11"/>
        <v>52</v>
      </c>
      <c r="H732" s="4">
        <v>3</v>
      </c>
    </row>
    <row r="733" spans="1:8" ht="15.6">
      <c r="A733" s="4" t="s">
        <v>657</v>
      </c>
      <c r="B733" s="5">
        <v>44341.2953618838</v>
      </c>
      <c r="C733" s="5">
        <v>44345.489439256198</v>
      </c>
      <c r="D733" s="4" t="s">
        <v>94</v>
      </c>
      <c r="E733" s="4" t="s">
        <v>271</v>
      </c>
      <c r="F733" s="4" t="s">
        <v>141</v>
      </c>
      <c r="G733" s="4">
        <f t="shared" ca="1" si="11"/>
        <v>76</v>
      </c>
      <c r="H733" s="4">
        <v>5</v>
      </c>
    </row>
    <row r="734" spans="1:8" ht="15.6">
      <c r="A734" s="4" t="s">
        <v>658</v>
      </c>
      <c r="B734" s="5">
        <v>45278.317711079799</v>
      </c>
      <c r="C734" s="5">
        <v>45282.722678271799</v>
      </c>
      <c r="D734" s="4" t="s">
        <v>94</v>
      </c>
      <c r="E734" s="4" t="s">
        <v>659</v>
      </c>
      <c r="F734" s="4" t="s">
        <v>100</v>
      </c>
      <c r="G734" s="4">
        <f t="shared" ca="1" si="11"/>
        <v>42</v>
      </c>
      <c r="H734" s="4">
        <v>2</v>
      </c>
    </row>
    <row r="735" spans="1:8" ht="15.6">
      <c r="A735" s="4" t="s">
        <v>660</v>
      </c>
      <c r="B735" s="5">
        <v>44779.476520909899</v>
      </c>
      <c r="C735" s="5">
        <v>44782.1202497138</v>
      </c>
      <c r="D735" s="4" t="s">
        <v>114</v>
      </c>
      <c r="E735" s="4" t="s">
        <v>337</v>
      </c>
      <c r="F735" s="4" t="s">
        <v>122</v>
      </c>
      <c r="G735" s="4">
        <f t="shared" ca="1" si="11"/>
        <v>47</v>
      </c>
      <c r="H735" s="4">
        <v>1</v>
      </c>
    </row>
    <row r="736" spans="1:8" ht="15.6">
      <c r="A736" s="4" t="s">
        <v>660</v>
      </c>
      <c r="B736" s="5">
        <v>44779.6048753945</v>
      </c>
      <c r="C736" s="5">
        <v>44782.243888119199</v>
      </c>
      <c r="D736" s="4" t="s">
        <v>114</v>
      </c>
      <c r="E736" s="4" t="s">
        <v>337</v>
      </c>
      <c r="F736" s="4" t="s">
        <v>100</v>
      </c>
      <c r="G736" s="4">
        <f t="shared" ca="1" si="11"/>
        <v>29</v>
      </c>
      <c r="H736" s="4">
        <v>6</v>
      </c>
    </row>
    <row r="737" spans="1:8" ht="15.6">
      <c r="A737" s="4" t="s">
        <v>661</v>
      </c>
      <c r="B737" s="5">
        <v>44279.7966642623</v>
      </c>
      <c r="C737" s="5">
        <v>44282.970509106097</v>
      </c>
      <c r="D737" s="4" t="s">
        <v>94</v>
      </c>
      <c r="E737" s="4" t="s">
        <v>662</v>
      </c>
      <c r="F737" s="4" t="s">
        <v>131</v>
      </c>
      <c r="G737" s="4">
        <f t="shared" ca="1" si="11"/>
        <v>57</v>
      </c>
      <c r="H737" s="4">
        <v>4</v>
      </c>
    </row>
    <row r="738" spans="1:8" ht="15.6">
      <c r="A738" s="4" t="s">
        <v>663</v>
      </c>
      <c r="B738" s="5">
        <v>44208.964442219403</v>
      </c>
      <c r="C738" s="5">
        <v>44213.942988091701</v>
      </c>
      <c r="D738" s="4" t="s">
        <v>94</v>
      </c>
      <c r="E738" s="4" t="s">
        <v>664</v>
      </c>
      <c r="F738" s="4" t="s">
        <v>100</v>
      </c>
      <c r="G738" s="4">
        <f t="shared" ca="1" si="11"/>
        <v>25</v>
      </c>
      <c r="H738" s="4">
        <v>3</v>
      </c>
    </row>
    <row r="739" spans="1:8" ht="15.6">
      <c r="A739" s="4" t="s">
        <v>665</v>
      </c>
      <c r="B739" s="5">
        <v>44713.3375451877</v>
      </c>
      <c r="C739" s="5">
        <v>44714.090858221498</v>
      </c>
      <c r="D739" s="4" t="s">
        <v>114</v>
      </c>
      <c r="E739" s="4" t="s">
        <v>416</v>
      </c>
      <c r="F739" s="4" t="s">
        <v>125</v>
      </c>
      <c r="G739" s="4">
        <f t="shared" ca="1" si="11"/>
        <v>68</v>
      </c>
      <c r="H739" s="4">
        <v>14</v>
      </c>
    </row>
    <row r="740" spans="1:8" ht="15.6">
      <c r="A740" s="4" t="s">
        <v>666</v>
      </c>
      <c r="B740" s="5">
        <v>44356.362770851803</v>
      </c>
      <c r="C740" s="5">
        <v>44361.096229328898</v>
      </c>
      <c r="D740" s="4" t="s">
        <v>98</v>
      </c>
      <c r="E740" s="4" t="s">
        <v>667</v>
      </c>
      <c r="F740" s="4" t="s">
        <v>122</v>
      </c>
      <c r="G740" s="4">
        <f t="shared" ca="1" si="11"/>
        <v>55</v>
      </c>
      <c r="H740" s="4">
        <v>2</v>
      </c>
    </row>
    <row r="741" spans="1:8" ht="15.6">
      <c r="A741" s="4" t="s">
        <v>668</v>
      </c>
      <c r="B741" s="5">
        <v>44487.094284762403</v>
      </c>
      <c r="C741" s="5">
        <v>44489.327242935004</v>
      </c>
      <c r="D741" s="4" t="s">
        <v>94</v>
      </c>
      <c r="E741" s="4" t="s">
        <v>669</v>
      </c>
      <c r="F741" s="4" t="s">
        <v>100</v>
      </c>
      <c r="G741" s="4">
        <f t="shared" ca="1" si="11"/>
        <v>64</v>
      </c>
      <c r="H741" s="4">
        <v>7</v>
      </c>
    </row>
    <row r="742" spans="1:8" ht="15.6">
      <c r="A742" s="4" t="s">
        <v>668</v>
      </c>
      <c r="B742" s="5">
        <v>44487.025953793702</v>
      </c>
      <c r="C742" s="5">
        <v>44489.035567990497</v>
      </c>
      <c r="D742" s="4" t="s">
        <v>94</v>
      </c>
      <c r="E742" s="4" t="s">
        <v>669</v>
      </c>
      <c r="F742" s="4" t="s">
        <v>118</v>
      </c>
      <c r="G742" s="4">
        <f t="shared" ca="1" si="11"/>
        <v>55</v>
      </c>
      <c r="H742" s="4">
        <v>2</v>
      </c>
    </row>
    <row r="743" spans="1:8" ht="15.6">
      <c r="A743" s="4" t="s">
        <v>668</v>
      </c>
      <c r="B743" s="5">
        <v>44487.756963137101</v>
      </c>
      <c r="C743" s="5">
        <v>44489.900792676897</v>
      </c>
      <c r="D743" s="4" t="s">
        <v>94</v>
      </c>
      <c r="E743" s="4" t="s">
        <v>669</v>
      </c>
      <c r="F743" s="4" t="s">
        <v>130</v>
      </c>
      <c r="G743" s="4">
        <f t="shared" ca="1" si="11"/>
        <v>16</v>
      </c>
      <c r="H743" s="4">
        <v>8</v>
      </c>
    </row>
    <row r="744" spans="1:8" ht="15.6">
      <c r="A744" s="4" t="s">
        <v>668</v>
      </c>
      <c r="B744" s="5">
        <v>44487.1421901824</v>
      </c>
      <c r="C744" s="5">
        <v>44489.314970562402</v>
      </c>
      <c r="D744" s="4" t="s">
        <v>94</v>
      </c>
      <c r="E744" s="4" t="s">
        <v>669</v>
      </c>
      <c r="F744" s="4" t="s">
        <v>130</v>
      </c>
      <c r="G744" s="4">
        <f t="shared" ca="1" si="11"/>
        <v>94</v>
      </c>
      <c r="H744" s="4">
        <v>4</v>
      </c>
    </row>
    <row r="745" spans="1:8" ht="15.6">
      <c r="A745" s="4" t="s">
        <v>668</v>
      </c>
      <c r="B745" s="5">
        <v>44487.019584080103</v>
      </c>
      <c r="C745" s="5">
        <v>44489.380117872999</v>
      </c>
      <c r="D745" s="4" t="s">
        <v>94</v>
      </c>
      <c r="E745" s="4" t="s">
        <v>669</v>
      </c>
      <c r="F745" s="4" t="s">
        <v>112</v>
      </c>
      <c r="G745" s="4">
        <f t="shared" ca="1" si="11"/>
        <v>37</v>
      </c>
      <c r="H745" s="4">
        <v>7</v>
      </c>
    </row>
    <row r="746" spans="1:8" ht="15.6">
      <c r="A746" s="4" t="s">
        <v>668</v>
      </c>
      <c r="B746" s="5">
        <v>44487.9147789333</v>
      </c>
      <c r="C746" s="5">
        <v>44489.484757596103</v>
      </c>
      <c r="D746" s="4" t="s">
        <v>94</v>
      </c>
      <c r="E746" s="4" t="s">
        <v>669</v>
      </c>
      <c r="F746" s="4" t="s">
        <v>141</v>
      </c>
      <c r="G746" s="4">
        <f t="shared" ca="1" si="11"/>
        <v>92</v>
      </c>
      <c r="H746" s="4">
        <v>3</v>
      </c>
    </row>
    <row r="747" spans="1:8" ht="15.6">
      <c r="A747" s="4" t="s">
        <v>668</v>
      </c>
      <c r="B747" s="5">
        <v>44487.396133722599</v>
      </c>
      <c r="C747" s="5">
        <v>44489.2191141566</v>
      </c>
      <c r="D747" s="4" t="s">
        <v>94</v>
      </c>
      <c r="E747" s="4" t="s">
        <v>669</v>
      </c>
      <c r="F747" s="4" t="s">
        <v>109</v>
      </c>
      <c r="G747" s="4">
        <f t="shared" ca="1" si="11"/>
        <v>30</v>
      </c>
      <c r="H747" s="4">
        <v>4</v>
      </c>
    </row>
    <row r="748" spans="1:8" ht="15.6">
      <c r="A748" s="4" t="s">
        <v>670</v>
      </c>
      <c r="B748" s="5">
        <v>44538.536413388101</v>
      </c>
      <c r="C748" s="5">
        <v>44545.212920721802</v>
      </c>
      <c r="D748" s="4" t="s">
        <v>94</v>
      </c>
      <c r="E748" s="4" t="s">
        <v>671</v>
      </c>
      <c r="F748" s="4" t="s">
        <v>96</v>
      </c>
      <c r="G748" s="4">
        <f t="shared" ca="1" si="11"/>
        <v>16</v>
      </c>
      <c r="H748" s="4">
        <v>2</v>
      </c>
    </row>
    <row r="749" spans="1:8" ht="15.6">
      <c r="A749" s="4" t="s">
        <v>672</v>
      </c>
      <c r="B749" s="5">
        <v>44490.152518156799</v>
      </c>
      <c r="C749" s="5">
        <v>44494.978460816601</v>
      </c>
      <c r="D749" s="4" t="s">
        <v>98</v>
      </c>
      <c r="E749" s="4" t="s">
        <v>297</v>
      </c>
      <c r="F749" s="4" t="s">
        <v>100</v>
      </c>
      <c r="G749" s="4">
        <f t="shared" ca="1" si="11"/>
        <v>98</v>
      </c>
      <c r="H749" s="4">
        <v>2</v>
      </c>
    </row>
    <row r="750" spans="1:8" ht="15.6">
      <c r="A750" s="4" t="s">
        <v>673</v>
      </c>
      <c r="B750" s="5">
        <v>45099.944654332299</v>
      </c>
      <c r="C750" s="5">
        <v>45103.171274702298</v>
      </c>
      <c r="D750" s="4" t="s">
        <v>98</v>
      </c>
      <c r="E750" s="4" t="s">
        <v>117</v>
      </c>
      <c r="F750" s="4" t="s">
        <v>144</v>
      </c>
      <c r="G750" s="4">
        <f t="shared" ca="1" si="11"/>
        <v>44</v>
      </c>
      <c r="H750" s="4">
        <v>7</v>
      </c>
    </row>
    <row r="751" spans="1:8" ht="15.6">
      <c r="A751" s="4" t="s">
        <v>673</v>
      </c>
      <c r="B751" s="5">
        <v>45099.244170954204</v>
      </c>
      <c r="C751" s="5">
        <v>45103.591434991402</v>
      </c>
      <c r="D751" s="4" t="s">
        <v>98</v>
      </c>
      <c r="E751" s="4" t="s">
        <v>117</v>
      </c>
      <c r="F751" s="4" t="s">
        <v>96</v>
      </c>
      <c r="G751" s="4">
        <f t="shared" ca="1" si="11"/>
        <v>54</v>
      </c>
      <c r="H751" s="4">
        <v>3</v>
      </c>
    </row>
    <row r="752" spans="1:8" ht="15.6">
      <c r="A752" s="4" t="s">
        <v>673</v>
      </c>
      <c r="B752" s="5">
        <v>45099.229274572797</v>
      </c>
      <c r="C752" s="5">
        <v>45103.565893905303</v>
      </c>
      <c r="D752" s="4" t="s">
        <v>98</v>
      </c>
      <c r="E752" s="4" t="s">
        <v>117</v>
      </c>
      <c r="F752" s="4" t="s">
        <v>101</v>
      </c>
      <c r="G752" s="4">
        <f t="shared" ca="1" si="11"/>
        <v>20</v>
      </c>
      <c r="H752" s="4">
        <v>7</v>
      </c>
    </row>
    <row r="753" spans="1:8" ht="15.6">
      <c r="A753" s="4" t="s">
        <v>673</v>
      </c>
      <c r="B753" s="5">
        <v>45099.846072689397</v>
      </c>
      <c r="C753" s="5">
        <v>45103.113657706803</v>
      </c>
      <c r="D753" s="4" t="s">
        <v>98</v>
      </c>
      <c r="E753" s="4" t="s">
        <v>117</v>
      </c>
      <c r="F753" s="4" t="s">
        <v>106</v>
      </c>
      <c r="G753" s="4">
        <f t="shared" ca="1" si="11"/>
        <v>78</v>
      </c>
      <c r="H753" s="4">
        <v>3</v>
      </c>
    </row>
    <row r="754" spans="1:8" ht="15.6">
      <c r="A754" s="4" t="s">
        <v>674</v>
      </c>
      <c r="B754" s="5">
        <v>44681.781893929401</v>
      </c>
      <c r="C754" s="5">
        <v>44686.702478201703</v>
      </c>
      <c r="D754" s="4" t="s">
        <v>114</v>
      </c>
      <c r="E754" s="4" t="s">
        <v>397</v>
      </c>
      <c r="F754" s="4" t="s">
        <v>125</v>
      </c>
      <c r="G754" s="4">
        <f t="shared" ca="1" si="11"/>
        <v>86</v>
      </c>
      <c r="H754" s="4">
        <v>2</v>
      </c>
    </row>
    <row r="755" spans="1:8" ht="15.6">
      <c r="A755" s="4" t="s">
        <v>674</v>
      </c>
      <c r="B755" s="5">
        <v>44681.316309826703</v>
      </c>
      <c r="C755" s="5">
        <v>44686.5373527595</v>
      </c>
      <c r="D755" s="4" t="s">
        <v>114</v>
      </c>
      <c r="E755" s="4" t="s">
        <v>397</v>
      </c>
      <c r="F755" s="4" t="s">
        <v>106</v>
      </c>
      <c r="G755" s="4">
        <f t="shared" ca="1" si="11"/>
        <v>31</v>
      </c>
      <c r="H755" s="4">
        <v>5</v>
      </c>
    </row>
    <row r="756" spans="1:8" ht="15.6">
      <c r="A756" s="4" t="s">
        <v>674</v>
      </c>
      <c r="B756" s="5">
        <v>44681.494951016502</v>
      </c>
      <c r="C756" s="5">
        <v>44686.723835989003</v>
      </c>
      <c r="D756" s="4" t="s">
        <v>114</v>
      </c>
      <c r="E756" s="4" t="s">
        <v>397</v>
      </c>
      <c r="F756" s="4" t="s">
        <v>106</v>
      </c>
      <c r="G756" s="4">
        <f t="shared" ca="1" si="11"/>
        <v>61</v>
      </c>
      <c r="H756" s="4">
        <v>5</v>
      </c>
    </row>
    <row r="757" spans="1:8" ht="15.6">
      <c r="A757" s="4" t="s">
        <v>674</v>
      </c>
      <c r="B757" s="5">
        <v>44681.812926777398</v>
      </c>
      <c r="C757" s="5">
        <v>44686.809803016702</v>
      </c>
      <c r="D757" s="4" t="s">
        <v>114</v>
      </c>
      <c r="E757" s="4" t="s">
        <v>397</v>
      </c>
      <c r="F757" s="4" t="s">
        <v>101</v>
      </c>
      <c r="G757" s="4">
        <f t="shared" ca="1" si="11"/>
        <v>97</v>
      </c>
      <c r="H757" s="4">
        <v>1</v>
      </c>
    </row>
    <row r="758" spans="1:8" ht="15.6">
      <c r="A758" s="4" t="s">
        <v>675</v>
      </c>
      <c r="B758" s="5">
        <v>45192.932924787201</v>
      </c>
      <c r="C758" s="5">
        <v>45194.8570971769</v>
      </c>
      <c r="D758" s="4" t="s">
        <v>98</v>
      </c>
      <c r="E758" s="4" t="s">
        <v>137</v>
      </c>
      <c r="F758" s="4" t="s">
        <v>112</v>
      </c>
      <c r="G758" s="4">
        <f t="shared" ca="1" si="11"/>
        <v>80</v>
      </c>
      <c r="H758" s="4">
        <v>1</v>
      </c>
    </row>
    <row r="759" spans="1:8" ht="15.6">
      <c r="A759" s="4" t="s">
        <v>675</v>
      </c>
      <c r="B759" s="5">
        <v>45192.472946963397</v>
      </c>
      <c r="C759" s="5">
        <v>45194.348031212401</v>
      </c>
      <c r="D759" s="4" t="s">
        <v>98</v>
      </c>
      <c r="E759" s="4" t="s">
        <v>137</v>
      </c>
      <c r="F759" s="4" t="s">
        <v>118</v>
      </c>
      <c r="G759" s="4">
        <f t="shared" ca="1" si="11"/>
        <v>87</v>
      </c>
      <c r="H759" s="4">
        <v>5</v>
      </c>
    </row>
    <row r="760" spans="1:8" ht="15.6">
      <c r="A760" s="4" t="s">
        <v>676</v>
      </c>
      <c r="B760" s="5">
        <v>45095.368040147499</v>
      </c>
      <c r="C760" s="5">
        <v>45100.969896451301</v>
      </c>
      <c r="D760" s="4" t="s">
        <v>98</v>
      </c>
      <c r="E760" s="4" t="s">
        <v>677</v>
      </c>
      <c r="F760" s="4" t="s">
        <v>121</v>
      </c>
      <c r="G760" s="4">
        <f t="shared" ca="1" si="11"/>
        <v>72</v>
      </c>
      <c r="H760" s="4">
        <v>1</v>
      </c>
    </row>
    <row r="761" spans="1:8" ht="15.6">
      <c r="A761" s="4" t="s">
        <v>676</v>
      </c>
      <c r="B761" s="5">
        <v>45095.563410623101</v>
      </c>
      <c r="C761" s="5">
        <v>45100.664718850901</v>
      </c>
      <c r="D761" s="4" t="s">
        <v>98</v>
      </c>
      <c r="E761" s="4" t="s">
        <v>677</v>
      </c>
      <c r="F761" s="4" t="s">
        <v>122</v>
      </c>
      <c r="G761" s="4">
        <f t="shared" ca="1" si="11"/>
        <v>25</v>
      </c>
      <c r="H761" s="4">
        <v>2</v>
      </c>
    </row>
    <row r="762" spans="1:8" ht="15.6">
      <c r="A762" s="4" t="s">
        <v>676</v>
      </c>
      <c r="B762" s="5">
        <v>45095.230958399101</v>
      </c>
      <c r="C762" s="5">
        <v>45100.291479721302</v>
      </c>
      <c r="D762" s="4" t="s">
        <v>98</v>
      </c>
      <c r="E762" s="4" t="s">
        <v>677</v>
      </c>
      <c r="F762" s="4" t="s">
        <v>101</v>
      </c>
      <c r="G762" s="4">
        <f t="shared" ca="1" si="11"/>
        <v>100</v>
      </c>
      <c r="H762" s="4">
        <v>7</v>
      </c>
    </row>
    <row r="763" spans="1:8" ht="15.6">
      <c r="A763" s="4" t="s">
        <v>676</v>
      </c>
      <c r="B763" s="5">
        <v>45095.641689593896</v>
      </c>
      <c r="C763" s="5">
        <v>45100.377259200701</v>
      </c>
      <c r="D763" s="4" t="s">
        <v>98</v>
      </c>
      <c r="E763" s="4" t="s">
        <v>677</v>
      </c>
      <c r="F763" s="4" t="s">
        <v>121</v>
      </c>
      <c r="G763" s="4">
        <f t="shared" ca="1" si="11"/>
        <v>55</v>
      </c>
      <c r="H763" s="4">
        <v>2</v>
      </c>
    </row>
    <row r="764" spans="1:8" ht="15.6">
      <c r="A764" s="4" t="s">
        <v>678</v>
      </c>
      <c r="B764" s="5">
        <v>44452.693616853299</v>
      </c>
      <c r="C764" s="5">
        <v>44457.546317264001</v>
      </c>
      <c r="D764" s="4" t="s">
        <v>114</v>
      </c>
      <c r="E764" s="4" t="s">
        <v>635</v>
      </c>
      <c r="F764" s="4" t="s">
        <v>141</v>
      </c>
      <c r="G764" s="4">
        <f t="shared" ca="1" si="11"/>
        <v>13</v>
      </c>
      <c r="H764" s="4">
        <v>3</v>
      </c>
    </row>
    <row r="765" spans="1:8" ht="15.6">
      <c r="A765" s="4" t="s">
        <v>678</v>
      </c>
      <c r="B765" s="5">
        <v>44452.129282784299</v>
      </c>
      <c r="C765" s="5">
        <v>44457.172181091999</v>
      </c>
      <c r="D765" s="4" t="s">
        <v>114</v>
      </c>
      <c r="E765" s="4" t="s">
        <v>635</v>
      </c>
      <c r="F765" s="4" t="s">
        <v>125</v>
      </c>
      <c r="G765" s="4">
        <f t="shared" ca="1" si="11"/>
        <v>81</v>
      </c>
      <c r="H765" s="4">
        <v>4</v>
      </c>
    </row>
    <row r="766" spans="1:8" ht="15.6">
      <c r="A766" s="4" t="s">
        <v>679</v>
      </c>
      <c r="B766" s="5">
        <v>44582.783415304999</v>
      </c>
      <c r="C766" s="5">
        <v>44584.386770454897</v>
      </c>
      <c r="D766" s="4" t="s">
        <v>98</v>
      </c>
      <c r="E766" s="4" t="s">
        <v>585</v>
      </c>
      <c r="F766" s="4" t="s">
        <v>121</v>
      </c>
      <c r="G766" s="4">
        <f t="shared" ca="1" si="11"/>
        <v>76</v>
      </c>
      <c r="H766" s="4">
        <v>3</v>
      </c>
    </row>
    <row r="767" spans="1:8" ht="15.6">
      <c r="A767" s="4" t="s">
        <v>680</v>
      </c>
      <c r="B767" s="5">
        <v>44684.304254574199</v>
      </c>
      <c r="C767" s="5">
        <v>44689.848532790696</v>
      </c>
      <c r="D767" s="4" t="s">
        <v>94</v>
      </c>
      <c r="E767" s="4" t="s">
        <v>117</v>
      </c>
      <c r="F767" s="4" t="s">
        <v>100</v>
      </c>
      <c r="G767" s="4">
        <f t="shared" ca="1" si="11"/>
        <v>74</v>
      </c>
      <c r="H767" s="4">
        <v>5</v>
      </c>
    </row>
    <row r="768" spans="1:8" ht="15.6">
      <c r="A768" s="4" t="s">
        <v>680</v>
      </c>
      <c r="B768" s="5">
        <v>44684.275056308201</v>
      </c>
      <c r="C768" s="5">
        <v>44689.24971846</v>
      </c>
      <c r="D768" s="4" t="s">
        <v>94</v>
      </c>
      <c r="E768" s="4" t="s">
        <v>117</v>
      </c>
      <c r="F768" s="4" t="s">
        <v>125</v>
      </c>
      <c r="G768" s="4">
        <f t="shared" ca="1" si="11"/>
        <v>68</v>
      </c>
      <c r="H768" s="4">
        <v>2</v>
      </c>
    </row>
    <row r="769" spans="1:8" ht="15.6">
      <c r="A769" s="4" t="s">
        <v>680</v>
      </c>
      <c r="B769" s="5">
        <v>44684.834704332403</v>
      </c>
      <c r="C769" s="5">
        <v>44689.703170075998</v>
      </c>
      <c r="D769" s="4" t="s">
        <v>94</v>
      </c>
      <c r="E769" s="4" t="s">
        <v>117</v>
      </c>
      <c r="F769" s="4" t="s">
        <v>110</v>
      </c>
      <c r="G769" s="4">
        <f t="shared" ca="1" si="11"/>
        <v>82</v>
      </c>
      <c r="H769" s="4">
        <v>7</v>
      </c>
    </row>
    <row r="770" spans="1:8" ht="15.6">
      <c r="A770" s="4" t="s">
        <v>681</v>
      </c>
      <c r="B770" s="5">
        <v>44549.892930821399</v>
      </c>
      <c r="C770" s="5">
        <v>44555.040318361702</v>
      </c>
      <c r="D770" s="4" t="s">
        <v>98</v>
      </c>
      <c r="E770" s="4" t="s">
        <v>682</v>
      </c>
      <c r="F770" s="4" t="s">
        <v>96</v>
      </c>
      <c r="G770" s="4">
        <f t="shared" ref="G770:G833" ca="1" si="12">RANDBETWEEN(10,100)</f>
        <v>86</v>
      </c>
      <c r="H770" s="4">
        <v>2</v>
      </c>
    </row>
    <row r="771" spans="1:8" ht="15.6">
      <c r="A771" s="4" t="s">
        <v>683</v>
      </c>
      <c r="B771" s="5">
        <v>44536.688784843602</v>
      </c>
      <c r="C771" s="5">
        <v>44538.603525009501</v>
      </c>
      <c r="D771" s="4" t="s">
        <v>98</v>
      </c>
      <c r="E771" s="4" t="s">
        <v>297</v>
      </c>
      <c r="F771" s="4" t="s">
        <v>135</v>
      </c>
      <c r="G771" s="4">
        <f t="shared" ca="1" si="12"/>
        <v>36</v>
      </c>
      <c r="H771" s="4">
        <v>6</v>
      </c>
    </row>
    <row r="772" spans="1:8" ht="15.6">
      <c r="A772" s="4" t="s">
        <v>684</v>
      </c>
      <c r="B772" s="5">
        <v>44640.779355495797</v>
      </c>
      <c r="C772" s="5">
        <v>44641.423853544999</v>
      </c>
      <c r="D772" s="4" t="s">
        <v>114</v>
      </c>
      <c r="E772" s="4" t="s">
        <v>197</v>
      </c>
      <c r="F772" s="4" t="s">
        <v>141</v>
      </c>
      <c r="G772" s="4">
        <f t="shared" ca="1" si="12"/>
        <v>16</v>
      </c>
      <c r="H772" s="4">
        <v>3</v>
      </c>
    </row>
    <row r="773" spans="1:8" ht="15.6">
      <c r="A773" s="4" t="s">
        <v>685</v>
      </c>
      <c r="B773" s="5">
        <v>44624.424734587403</v>
      </c>
      <c r="C773" s="5">
        <v>44631.811447319902</v>
      </c>
      <c r="D773" s="4" t="s">
        <v>114</v>
      </c>
      <c r="E773" s="4" t="s">
        <v>686</v>
      </c>
      <c r="F773" s="4" t="s">
        <v>141</v>
      </c>
      <c r="G773" s="4">
        <f t="shared" ca="1" si="12"/>
        <v>47</v>
      </c>
      <c r="H773" s="4">
        <v>6</v>
      </c>
    </row>
    <row r="774" spans="1:8" ht="15.6">
      <c r="A774" s="4" t="s">
        <v>685</v>
      </c>
      <c r="B774" s="5">
        <v>44624.519878736101</v>
      </c>
      <c r="C774" s="5">
        <v>44631.628366108802</v>
      </c>
      <c r="D774" s="4" t="s">
        <v>114</v>
      </c>
      <c r="E774" s="4" t="s">
        <v>686</v>
      </c>
      <c r="F774" s="4" t="s">
        <v>112</v>
      </c>
      <c r="G774" s="4">
        <f t="shared" ca="1" si="12"/>
        <v>95</v>
      </c>
      <c r="H774" s="4">
        <v>7</v>
      </c>
    </row>
    <row r="775" spans="1:8" ht="15.6">
      <c r="A775" s="4" t="s">
        <v>687</v>
      </c>
      <c r="B775" s="5">
        <v>45031.223127878002</v>
      </c>
      <c r="C775" s="5">
        <v>45033.432825449301</v>
      </c>
      <c r="D775" s="4" t="s">
        <v>94</v>
      </c>
      <c r="E775" s="4" t="s">
        <v>127</v>
      </c>
      <c r="F775" s="4" t="s">
        <v>118</v>
      </c>
      <c r="G775" s="4">
        <f t="shared" ca="1" si="12"/>
        <v>14</v>
      </c>
      <c r="H775" s="4">
        <v>2</v>
      </c>
    </row>
    <row r="776" spans="1:8" ht="15.6">
      <c r="A776" s="4" t="s">
        <v>687</v>
      </c>
      <c r="B776" s="5">
        <v>45031.326383522297</v>
      </c>
      <c r="C776" s="5">
        <v>45033.475546596703</v>
      </c>
      <c r="D776" s="4" t="s">
        <v>94</v>
      </c>
      <c r="E776" s="4" t="s">
        <v>127</v>
      </c>
      <c r="F776" s="4" t="s">
        <v>125</v>
      </c>
      <c r="G776" s="4">
        <f t="shared" ca="1" si="12"/>
        <v>14</v>
      </c>
      <c r="H776" s="4">
        <v>2</v>
      </c>
    </row>
    <row r="777" spans="1:8" ht="15.6">
      <c r="A777" s="4" t="s">
        <v>687</v>
      </c>
      <c r="B777" s="5">
        <v>45031.558581297002</v>
      </c>
      <c r="C777" s="5">
        <v>45033.5564625529</v>
      </c>
      <c r="D777" s="4" t="s">
        <v>94</v>
      </c>
      <c r="E777" s="4" t="s">
        <v>127</v>
      </c>
      <c r="F777" s="4" t="s">
        <v>112</v>
      </c>
      <c r="G777" s="4">
        <f t="shared" ca="1" si="12"/>
        <v>50</v>
      </c>
      <c r="H777" s="4">
        <v>6</v>
      </c>
    </row>
    <row r="778" spans="1:8" ht="15.6">
      <c r="A778" s="4" t="s">
        <v>687</v>
      </c>
      <c r="B778" s="5">
        <v>45031.936623390502</v>
      </c>
      <c r="C778" s="5">
        <v>45033.2287352973</v>
      </c>
      <c r="D778" s="4" t="s">
        <v>94</v>
      </c>
      <c r="E778" s="4" t="s">
        <v>127</v>
      </c>
      <c r="F778" s="4" t="s">
        <v>118</v>
      </c>
      <c r="G778" s="4">
        <f t="shared" ca="1" si="12"/>
        <v>95</v>
      </c>
      <c r="H778" s="4">
        <v>2</v>
      </c>
    </row>
    <row r="779" spans="1:8" ht="15.6">
      <c r="A779" s="4" t="s">
        <v>687</v>
      </c>
      <c r="B779" s="5">
        <v>45031.744044177598</v>
      </c>
      <c r="C779" s="5">
        <v>45033.247336849097</v>
      </c>
      <c r="D779" s="4" t="s">
        <v>94</v>
      </c>
      <c r="E779" s="4" t="s">
        <v>127</v>
      </c>
      <c r="F779" s="4" t="s">
        <v>131</v>
      </c>
      <c r="G779" s="4">
        <f t="shared" ca="1" si="12"/>
        <v>81</v>
      </c>
      <c r="H779" s="4">
        <v>2</v>
      </c>
    </row>
    <row r="780" spans="1:8" ht="15.6">
      <c r="A780" s="4" t="s">
        <v>687</v>
      </c>
      <c r="B780" s="5">
        <v>45031.9055642944</v>
      </c>
      <c r="C780" s="5">
        <v>45033.207649862001</v>
      </c>
      <c r="D780" s="4" t="s">
        <v>94</v>
      </c>
      <c r="E780" s="4" t="s">
        <v>127</v>
      </c>
      <c r="F780" s="4" t="s">
        <v>121</v>
      </c>
      <c r="G780" s="4">
        <f t="shared" ca="1" si="12"/>
        <v>82</v>
      </c>
      <c r="H780" s="4">
        <v>3</v>
      </c>
    </row>
    <row r="781" spans="1:8" ht="15.6">
      <c r="A781" s="4" t="s">
        <v>687</v>
      </c>
      <c r="B781" s="5">
        <v>45031.903389269799</v>
      </c>
      <c r="C781" s="5">
        <v>45033.881373879703</v>
      </c>
      <c r="D781" s="4" t="s">
        <v>94</v>
      </c>
      <c r="E781" s="4" t="s">
        <v>127</v>
      </c>
      <c r="F781" s="4" t="s">
        <v>121</v>
      </c>
      <c r="G781" s="4">
        <f t="shared" ca="1" si="12"/>
        <v>23</v>
      </c>
      <c r="H781" s="4">
        <v>6</v>
      </c>
    </row>
    <row r="782" spans="1:8" ht="15.6">
      <c r="A782" s="4" t="s">
        <v>688</v>
      </c>
      <c r="B782" s="5">
        <v>45117.407263663597</v>
      </c>
      <c r="C782" s="5">
        <v>45121.536723424499</v>
      </c>
      <c r="D782" s="4" t="s">
        <v>94</v>
      </c>
      <c r="E782" s="4" t="s">
        <v>689</v>
      </c>
      <c r="F782" s="4" t="s">
        <v>101</v>
      </c>
      <c r="G782" s="4">
        <f t="shared" ca="1" si="12"/>
        <v>100</v>
      </c>
      <c r="H782" s="4">
        <v>8</v>
      </c>
    </row>
    <row r="783" spans="1:8" ht="15.6">
      <c r="A783" s="4" t="s">
        <v>688</v>
      </c>
      <c r="B783" s="5">
        <v>45117.685565272499</v>
      </c>
      <c r="C783" s="5">
        <v>45121.714022010397</v>
      </c>
      <c r="D783" s="4" t="s">
        <v>94</v>
      </c>
      <c r="E783" s="4" t="s">
        <v>689</v>
      </c>
      <c r="F783" s="4" t="s">
        <v>110</v>
      </c>
      <c r="G783" s="4">
        <f t="shared" ca="1" si="12"/>
        <v>56</v>
      </c>
      <c r="H783" s="4">
        <v>3</v>
      </c>
    </row>
    <row r="784" spans="1:8" ht="15.6">
      <c r="A784" s="4" t="s">
        <v>690</v>
      </c>
      <c r="B784" s="5">
        <v>44872.847236607697</v>
      </c>
      <c r="C784" s="5">
        <v>44874.005423289302</v>
      </c>
      <c r="D784" s="4" t="s">
        <v>98</v>
      </c>
      <c r="E784" s="4" t="s">
        <v>207</v>
      </c>
      <c r="F784" s="4" t="s">
        <v>131</v>
      </c>
      <c r="G784" s="4">
        <f t="shared" ca="1" si="12"/>
        <v>27</v>
      </c>
      <c r="H784" s="4">
        <v>4</v>
      </c>
    </row>
    <row r="785" spans="1:8" ht="15.6">
      <c r="A785" s="4" t="s">
        <v>691</v>
      </c>
      <c r="B785" s="5">
        <v>44390.245499281598</v>
      </c>
      <c r="C785" s="5">
        <v>44395.679980135297</v>
      </c>
      <c r="D785" s="4" t="s">
        <v>98</v>
      </c>
      <c r="E785" s="4" t="s">
        <v>474</v>
      </c>
      <c r="F785" s="4" t="s">
        <v>100</v>
      </c>
      <c r="G785" s="4">
        <f t="shared" ca="1" si="12"/>
        <v>26</v>
      </c>
      <c r="H785" s="4">
        <v>9</v>
      </c>
    </row>
    <row r="786" spans="1:8" ht="15.6">
      <c r="A786" s="4" t="s">
        <v>692</v>
      </c>
      <c r="B786" s="5">
        <v>44960.767765099998</v>
      </c>
      <c r="C786" s="5">
        <v>44965.942964343201</v>
      </c>
      <c r="D786" s="4" t="s">
        <v>94</v>
      </c>
      <c r="E786" s="4" t="s">
        <v>693</v>
      </c>
      <c r="F786" s="4" t="s">
        <v>131</v>
      </c>
      <c r="G786" s="4">
        <f t="shared" ca="1" si="12"/>
        <v>44</v>
      </c>
      <c r="H786" s="4">
        <v>5</v>
      </c>
    </row>
    <row r="787" spans="1:8" ht="15.6">
      <c r="A787" s="4" t="s">
        <v>692</v>
      </c>
      <c r="B787" s="5">
        <v>44960.9381957554</v>
      </c>
      <c r="C787" s="5">
        <v>44965.233672718001</v>
      </c>
      <c r="D787" s="4" t="s">
        <v>94</v>
      </c>
      <c r="E787" s="4" t="s">
        <v>693</v>
      </c>
      <c r="F787" s="4" t="s">
        <v>130</v>
      </c>
      <c r="G787" s="4">
        <f t="shared" ca="1" si="12"/>
        <v>13</v>
      </c>
      <c r="H787" s="4">
        <v>3</v>
      </c>
    </row>
    <row r="788" spans="1:8" ht="15.6">
      <c r="A788" s="4" t="s">
        <v>694</v>
      </c>
      <c r="B788" s="5">
        <v>44365.317707059003</v>
      </c>
      <c r="C788" s="5">
        <v>44369.511412132997</v>
      </c>
      <c r="D788" s="4" t="s">
        <v>94</v>
      </c>
      <c r="E788" s="4" t="s">
        <v>695</v>
      </c>
      <c r="F788" s="4" t="s">
        <v>106</v>
      </c>
      <c r="G788" s="4">
        <f t="shared" ca="1" si="12"/>
        <v>28</v>
      </c>
      <c r="H788" s="4">
        <v>5</v>
      </c>
    </row>
    <row r="789" spans="1:8" ht="15.6">
      <c r="A789" s="4" t="s">
        <v>696</v>
      </c>
      <c r="B789" s="5">
        <v>44676.527230699801</v>
      </c>
      <c r="C789" s="5">
        <v>44681.902099503197</v>
      </c>
      <c r="D789" s="4" t="s">
        <v>94</v>
      </c>
      <c r="E789" s="4" t="s">
        <v>697</v>
      </c>
      <c r="F789" s="4" t="s">
        <v>106</v>
      </c>
      <c r="G789" s="4">
        <f t="shared" ca="1" si="12"/>
        <v>68</v>
      </c>
      <c r="H789" s="4">
        <v>5</v>
      </c>
    </row>
    <row r="790" spans="1:8" ht="15.6">
      <c r="A790" s="4" t="s">
        <v>698</v>
      </c>
      <c r="B790" s="5">
        <v>44648.243409042603</v>
      </c>
      <c r="C790" s="5">
        <v>44648.4173933567</v>
      </c>
      <c r="D790" s="4" t="s">
        <v>98</v>
      </c>
      <c r="E790" s="4" t="s">
        <v>328</v>
      </c>
      <c r="F790" s="4" t="s">
        <v>111</v>
      </c>
      <c r="G790" s="4">
        <f t="shared" ca="1" si="12"/>
        <v>38</v>
      </c>
      <c r="H790" s="4">
        <v>5</v>
      </c>
    </row>
    <row r="791" spans="1:8" ht="15.6">
      <c r="A791" s="4" t="s">
        <v>699</v>
      </c>
      <c r="B791" s="5">
        <v>44662.409432869303</v>
      </c>
      <c r="C791" s="5">
        <v>44667.071453610399</v>
      </c>
      <c r="D791" s="4" t="s">
        <v>114</v>
      </c>
      <c r="E791" s="4" t="s">
        <v>635</v>
      </c>
      <c r="F791" s="4" t="s">
        <v>135</v>
      </c>
      <c r="G791" s="4">
        <f t="shared" ca="1" si="12"/>
        <v>11</v>
      </c>
      <c r="H791" s="4">
        <v>5</v>
      </c>
    </row>
    <row r="792" spans="1:8" ht="15.6">
      <c r="A792" s="4" t="s">
        <v>700</v>
      </c>
      <c r="B792" s="5">
        <v>44667.668515334102</v>
      </c>
      <c r="C792" s="5">
        <v>44669.5088236878</v>
      </c>
      <c r="D792" s="4" t="s">
        <v>94</v>
      </c>
      <c r="E792" s="4" t="s">
        <v>429</v>
      </c>
      <c r="F792" s="4" t="s">
        <v>100</v>
      </c>
      <c r="G792" s="4">
        <f t="shared" ca="1" si="12"/>
        <v>59</v>
      </c>
      <c r="H792" s="4">
        <v>8</v>
      </c>
    </row>
    <row r="793" spans="1:8" ht="15.6">
      <c r="A793" s="4" t="s">
        <v>700</v>
      </c>
      <c r="B793" s="5">
        <v>44667.495004208497</v>
      </c>
      <c r="C793" s="5">
        <v>44669.527215280097</v>
      </c>
      <c r="D793" s="4" t="s">
        <v>94</v>
      </c>
      <c r="E793" s="4" t="s">
        <v>429</v>
      </c>
      <c r="F793" s="4" t="s">
        <v>141</v>
      </c>
      <c r="G793" s="4">
        <f t="shared" ca="1" si="12"/>
        <v>83</v>
      </c>
      <c r="H793" s="4">
        <v>4</v>
      </c>
    </row>
    <row r="794" spans="1:8" ht="15.6">
      <c r="A794" s="4" t="s">
        <v>700</v>
      </c>
      <c r="B794" s="5">
        <v>44667.002861021501</v>
      </c>
      <c r="C794" s="5">
        <v>44669.465265495201</v>
      </c>
      <c r="D794" s="4" t="s">
        <v>94</v>
      </c>
      <c r="E794" s="4" t="s">
        <v>429</v>
      </c>
      <c r="F794" s="4" t="s">
        <v>106</v>
      </c>
      <c r="G794" s="4">
        <f t="shared" ca="1" si="12"/>
        <v>10</v>
      </c>
      <c r="H794" s="4">
        <v>2</v>
      </c>
    </row>
    <row r="795" spans="1:8" ht="15.6">
      <c r="A795" s="4" t="s">
        <v>701</v>
      </c>
      <c r="B795" s="5">
        <v>44959.627762889897</v>
      </c>
      <c r="C795" s="5">
        <v>44963.1314958695</v>
      </c>
      <c r="D795" s="4" t="s">
        <v>94</v>
      </c>
      <c r="E795" s="4" t="s">
        <v>702</v>
      </c>
      <c r="F795" s="4" t="s">
        <v>130</v>
      </c>
      <c r="G795" s="4">
        <f t="shared" ca="1" si="12"/>
        <v>84</v>
      </c>
      <c r="H795" s="4">
        <v>3</v>
      </c>
    </row>
    <row r="796" spans="1:8" ht="15.6">
      <c r="A796" s="4" t="s">
        <v>701</v>
      </c>
      <c r="B796" s="5">
        <v>44959.972060526597</v>
      </c>
      <c r="C796" s="5">
        <v>44963.793139633402</v>
      </c>
      <c r="D796" s="4" t="s">
        <v>94</v>
      </c>
      <c r="E796" s="4" t="s">
        <v>702</v>
      </c>
      <c r="F796" s="4" t="s">
        <v>130</v>
      </c>
      <c r="G796" s="4">
        <f t="shared" ca="1" si="12"/>
        <v>73</v>
      </c>
      <c r="H796" s="4">
        <v>3</v>
      </c>
    </row>
    <row r="797" spans="1:8" ht="15.6">
      <c r="A797" s="4" t="s">
        <v>703</v>
      </c>
      <c r="B797" s="5">
        <v>45185.821296108603</v>
      </c>
      <c r="C797" s="5">
        <v>45191.569276943199</v>
      </c>
      <c r="D797" s="4" t="s">
        <v>98</v>
      </c>
      <c r="E797" s="4" t="s">
        <v>704</v>
      </c>
      <c r="F797" s="4" t="s">
        <v>122</v>
      </c>
      <c r="G797" s="4">
        <f t="shared" ca="1" si="12"/>
        <v>42</v>
      </c>
      <c r="H797" s="4">
        <v>5</v>
      </c>
    </row>
    <row r="798" spans="1:8" ht="15.6">
      <c r="A798" s="4" t="s">
        <v>705</v>
      </c>
      <c r="B798" s="5">
        <v>44502.836900649098</v>
      </c>
      <c r="C798" s="5">
        <v>44507.994412372602</v>
      </c>
      <c r="D798" s="4" t="s">
        <v>98</v>
      </c>
      <c r="E798" s="4" t="s">
        <v>127</v>
      </c>
      <c r="F798" s="4" t="s">
        <v>125</v>
      </c>
      <c r="G798" s="4">
        <f t="shared" ca="1" si="12"/>
        <v>79</v>
      </c>
      <c r="H798" s="4">
        <v>3</v>
      </c>
    </row>
    <row r="799" spans="1:8" ht="15.6">
      <c r="A799" s="4" t="s">
        <v>705</v>
      </c>
      <c r="B799" s="5">
        <v>44502.154319431902</v>
      </c>
      <c r="C799" s="5">
        <v>44507.605125791</v>
      </c>
      <c r="D799" s="4" t="s">
        <v>98</v>
      </c>
      <c r="E799" s="4" t="s">
        <v>127</v>
      </c>
      <c r="F799" s="4" t="s">
        <v>125</v>
      </c>
      <c r="G799" s="4">
        <f t="shared" ca="1" si="12"/>
        <v>10</v>
      </c>
      <c r="H799" s="4">
        <v>2</v>
      </c>
    </row>
    <row r="800" spans="1:8" ht="15.6">
      <c r="A800" s="4" t="s">
        <v>706</v>
      </c>
      <c r="B800" s="5">
        <v>45265.473052449597</v>
      </c>
      <c r="C800" s="5">
        <v>45271.662667241901</v>
      </c>
      <c r="D800" s="4" t="s">
        <v>98</v>
      </c>
      <c r="E800" s="4" t="s">
        <v>707</v>
      </c>
      <c r="F800" s="4" t="s">
        <v>111</v>
      </c>
      <c r="G800" s="4">
        <f t="shared" ca="1" si="12"/>
        <v>99</v>
      </c>
      <c r="H800" s="4">
        <v>2</v>
      </c>
    </row>
    <row r="801" spans="1:8" ht="15.6">
      <c r="A801" s="4" t="s">
        <v>708</v>
      </c>
      <c r="B801" s="5">
        <v>44928.185836622302</v>
      </c>
      <c r="C801" s="5">
        <v>44933.6380172434</v>
      </c>
      <c r="D801" s="4" t="s">
        <v>114</v>
      </c>
      <c r="E801" s="4" t="s">
        <v>709</v>
      </c>
      <c r="F801" s="4" t="s">
        <v>100</v>
      </c>
      <c r="G801" s="4">
        <f t="shared" ca="1" si="12"/>
        <v>61</v>
      </c>
      <c r="H801" s="4">
        <v>3</v>
      </c>
    </row>
    <row r="802" spans="1:8" ht="15.6">
      <c r="A802" s="4" t="s">
        <v>708</v>
      </c>
      <c r="B802" s="5">
        <v>44928.390265679402</v>
      </c>
      <c r="C802" s="5">
        <v>44933.959456076103</v>
      </c>
      <c r="D802" s="4" t="s">
        <v>114</v>
      </c>
      <c r="E802" s="4" t="s">
        <v>709</v>
      </c>
      <c r="F802" s="4" t="s">
        <v>109</v>
      </c>
      <c r="G802" s="4">
        <f t="shared" ca="1" si="12"/>
        <v>99</v>
      </c>
      <c r="H802" s="4">
        <v>2</v>
      </c>
    </row>
    <row r="803" spans="1:8" ht="15.6">
      <c r="A803" s="4" t="s">
        <v>710</v>
      </c>
      <c r="B803" s="5">
        <v>45086.793986056997</v>
      </c>
      <c r="C803" s="5">
        <v>45089.3998696946</v>
      </c>
      <c r="D803" s="4" t="s">
        <v>94</v>
      </c>
      <c r="E803" s="4" t="s">
        <v>711</v>
      </c>
      <c r="F803" s="4" t="s">
        <v>122</v>
      </c>
      <c r="G803" s="4">
        <f t="shared" ca="1" si="12"/>
        <v>22</v>
      </c>
      <c r="H803" s="4">
        <v>2</v>
      </c>
    </row>
    <row r="804" spans="1:8" ht="15.6">
      <c r="A804" s="4" t="s">
        <v>712</v>
      </c>
      <c r="B804" s="5">
        <v>44222.724844028999</v>
      </c>
      <c r="C804" s="5">
        <v>44226.610972565199</v>
      </c>
      <c r="D804" s="4" t="s">
        <v>94</v>
      </c>
      <c r="E804" s="4" t="s">
        <v>713</v>
      </c>
      <c r="F804" s="4" t="s">
        <v>141</v>
      </c>
      <c r="G804" s="4">
        <f t="shared" ca="1" si="12"/>
        <v>46</v>
      </c>
      <c r="H804" s="4">
        <v>3</v>
      </c>
    </row>
    <row r="805" spans="1:8" ht="15.6">
      <c r="A805" s="4" t="s">
        <v>712</v>
      </c>
      <c r="B805" s="5">
        <v>44222.649790971504</v>
      </c>
      <c r="C805" s="5">
        <v>44226.170079642099</v>
      </c>
      <c r="D805" s="4" t="s">
        <v>94</v>
      </c>
      <c r="E805" s="4" t="s">
        <v>713</v>
      </c>
      <c r="F805" s="4" t="s">
        <v>100</v>
      </c>
      <c r="G805" s="4">
        <f t="shared" ca="1" si="12"/>
        <v>41</v>
      </c>
      <c r="H805" s="4">
        <v>4</v>
      </c>
    </row>
    <row r="806" spans="1:8" ht="15.6">
      <c r="A806" s="4" t="s">
        <v>712</v>
      </c>
      <c r="B806" s="5">
        <v>44222.228647803</v>
      </c>
      <c r="C806" s="5">
        <v>44226.706124895703</v>
      </c>
      <c r="D806" s="4" t="s">
        <v>94</v>
      </c>
      <c r="E806" s="4" t="s">
        <v>713</v>
      </c>
      <c r="F806" s="4" t="s">
        <v>106</v>
      </c>
      <c r="G806" s="4">
        <f t="shared" ca="1" si="12"/>
        <v>32</v>
      </c>
      <c r="H806" s="4">
        <v>3</v>
      </c>
    </row>
    <row r="807" spans="1:8" ht="15.6">
      <c r="A807" s="4" t="s">
        <v>714</v>
      </c>
      <c r="B807" s="5">
        <v>44781.927299107701</v>
      </c>
      <c r="C807" s="5">
        <v>44783.755373031701</v>
      </c>
      <c r="D807" s="4" t="s">
        <v>98</v>
      </c>
      <c r="E807" s="4" t="s">
        <v>392</v>
      </c>
      <c r="F807" s="4" t="s">
        <v>125</v>
      </c>
      <c r="G807" s="4">
        <f t="shared" ca="1" si="12"/>
        <v>27</v>
      </c>
      <c r="H807" s="4">
        <v>4</v>
      </c>
    </row>
    <row r="808" spans="1:8" ht="15.6">
      <c r="A808" s="4" t="s">
        <v>715</v>
      </c>
      <c r="B808" s="5">
        <v>44963.2860308007</v>
      </c>
      <c r="C808" s="5">
        <v>44968.228598092399</v>
      </c>
      <c r="D808" s="4" t="s">
        <v>114</v>
      </c>
      <c r="E808" s="4" t="s">
        <v>716</v>
      </c>
      <c r="F808" s="4" t="s">
        <v>125</v>
      </c>
      <c r="G808" s="4">
        <f t="shared" ca="1" si="12"/>
        <v>30</v>
      </c>
      <c r="H808" s="4">
        <v>1</v>
      </c>
    </row>
    <row r="809" spans="1:8" ht="15.6">
      <c r="A809" s="4" t="s">
        <v>717</v>
      </c>
      <c r="B809" s="5">
        <v>44911.2134617068</v>
      </c>
      <c r="C809" s="5">
        <v>44915.475145784199</v>
      </c>
      <c r="D809" s="4" t="s">
        <v>98</v>
      </c>
      <c r="E809" s="4" t="s">
        <v>105</v>
      </c>
      <c r="F809" s="4" t="s">
        <v>106</v>
      </c>
      <c r="G809" s="4">
        <f t="shared" ca="1" si="12"/>
        <v>30</v>
      </c>
      <c r="H809" s="4">
        <v>2</v>
      </c>
    </row>
    <row r="810" spans="1:8" ht="15.6">
      <c r="A810" s="4" t="s">
        <v>718</v>
      </c>
      <c r="B810" s="5">
        <v>44806.474807103703</v>
      </c>
      <c r="C810" s="5">
        <v>44808.560599836797</v>
      </c>
      <c r="D810" s="4" t="s">
        <v>98</v>
      </c>
      <c r="E810" s="4" t="s">
        <v>120</v>
      </c>
      <c r="F810" s="4" t="s">
        <v>112</v>
      </c>
      <c r="G810" s="4">
        <f t="shared" ca="1" si="12"/>
        <v>51</v>
      </c>
      <c r="H810" s="4">
        <v>3</v>
      </c>
    </row>
    <row r="811" spans="1:8" ht="15.6">
      <c r="A811" s="4" t="s">
        <v>718</v>
      </c>
      <c r="B811" s="5">
        <v>44806.773626162998</v>
      </c>
      <c r="C811" s="5">
        <v>44808.950186645103</v>
      </c>
      <c r="D811" s="4" t="s">
        <v>98</v>
      </c>
      <c r="E811" s="4" t="s">
        <v>120</v>
      </c>
      <c r="F811" s="4" t="s">
        <v>109</v>
      </c>
      <c r="G811" s="4">
        <f t="shared" ca="1" si="12"/>
        <v>29</v>
      </c>
      <c r="H811" s="4">
        <v>3</v>
      </c>
    </row>
    <row r="812" spans="1:8" ht="15.6">
      <c r="A812" s="4" t="s">
        <v>718</v>
      </c>
      <c r="B812" s="5">
        <v>44806.0300038286</v>
      </c>
      <c r="C812" s="5">
        <v>44808.004260905604</v>
      </c>
      <c r="D812" s="4" t="s">
        <v>98</v>
      </c>
      <c r="E812" s="4" t="s">
        <v>120</v>
      </c>
      <c r="F812" s="4" t="s">
        <v>101</v>
      </c>
      <c r="G812" s="4">
        <f t="shared" ca="1" si="12"/>
        <v>53</v>
      </c>
      <c r="H812" s="4">
        <v>1</v>
      </c>
    </row>
    <row r="813" spans="1:8" ht="15.6">
      <c r="A813" s="4" t="s">
        <v>718</v>
      </c>
      <c r="B813" s="5">
        <v>44806.761946797502</v>
      </c>
      <c r="C813" s="5">
        <v>44808.520161957902</v>
      </c>
      <c r="D813" s="4" t="s">
        <v>98</v>
      </c>
      <c r="E813" s="4" t="s">
        <v>120</v>
      </c>
      <c r="F813" s="4" t="s">
        <v>131</v>
      </c>
      <c r="G813" s="4">
        <f t="shared" ca="1" si="12"/>
        <v>97</v>
      </c>
      <c r="H813" s="4">
        <v>1</v>
      </c>
    </row>
    <row r="814" spans="1:8" ht="15.6">
      <c r="A814" s="4" t="s">
        <v>718</v>
      </c>
      <c r="B814" s="5">
        <v>44806.328253591499</v>
      </c>
      <c r="C814" s="5">
        <v>44808.111575612798</v>
      </c>
      <c r="D814" s="4" t="s">
        <v>98</v>
      </c>
      <c r="E814" s="4" t="s">
        <v>120</v>
      </c>
      <c r="F814" s="4" t="s">
        <v>96</v>
      </c>
      <c r="G814" s="4">
        <f t="shared" ca="1" si="12"/>
        <v>18</v>
      </c>
      <c r="H814" s="4">
        <v>4</v>
      </c>
    </row>
    <row r="815" spans="1:8" ht="15.6">
      <c r="A815" s="4" t="s">
        <v>719</v>
      </c>
      <c r="B815" s="5">
        <v>44564.857356996101</v>
      </c>
      <c r="C815" s="5">
        <v>44566.947814959902</v>
      </c>
      <c r="D815" s="4" t="s">
        <v>98</v>
      </c>
      <c r="E815" s="4" t="s">
        <v>720</v>
      </c>
      <c r="F815" s="4" t="s">
        <v>110</v>
      </c>
      <c r="G815" s="4">
        <f t="shared" ca="1" si="12"/>
        <v>83</v>
      </c>
      <c r="H815" s="4">
        <v>11</v>
      </c>
    </row>
    <row r="816" spans="1:8" ht="15.6">
      <c r="A816" s="4" t="s">
        <v>719</v>
      </c>
      <c r="B816" s="5">
        <v>44564.552194725104</v>
      </c>
      <c r="C816" s="5">
        <v>44566.5786215915</v>
      </c>
      <c r="D816" s="4" t="s">
        <v>98</v>
      </c>
      <c r="E816" s="4" t="s">
        <v>720</v>
      </c>
      <c r="F816" s="4" t="s">
        <v>110</v>
      </c>
      <c r="G816" s="4">
        <f t="shared" ca="1" si="12"/>
        <v>30</v>
      </c>
      <c r="H816" s="4">
        <v>6</v>
      </c>
    </row>
    <row r="817" spans="1:8" ht="15.6">
      <c r="A817" s="4" t="s">
        <v>719</v>
      </c>
      <c r="B817" s="5">
        <v>44564.404879167101</v>
      </c>
      <c r="C817" s="5">
        <v>44566.812312149901</v>
      </c>
      <c r="D817" s="4" t="s">
        <v>98</v>
      </c>
      <c r="E817" s="4" t="s">
        <v>720</v>
      </c>
      <c r="F817" s="4" t="s">
        <v>130</v>
      </c>
      <c r="G817" s="4">
        <f t="shared" ca="1" si="12"/>
        <v>44</v>
      </c>
      <c r="H817" s="4">
        <v>1</v>
      </c>
    </row>
    <row r="818" spans="1:8" ht="15.6">
      <c r="A818" s="4" t="s">
        <v>719</v>
      </c>
      <c r="B818" s="5">
        <v>44564.981277088496</v>
      </c>
      <c r="C818" s="5">
        <v>44566.379215907698</v>
      </c>
      <c r="D818" s="4" t="s">
        <v>98</v>
      </c>
      <c r="E818" s="4" t="s">
        <v>720</v>
      </c>
      <c r="F818" s="4" t="s">
        <v>110</v>
      </c>
      <c r="G818" s="4">
        <f t="shared" ca="1" si="12"/>
        <v>79</v>
      </c>
      <c r="H818" s="4">
        <v>3</v>
      </c>
    </row>
    <row r="819" spans="1:8" ht="15.6">
      <c r="A819" s="4" t="s">
        <v>721</v>
      </c>
      <c r="B819" s="5">
        <v>44357.159302386397</v>
      </c>
      <c r="C819" s="5">
        <v>44363.658381431502</v>
      </c>
      <c r="D819" s="4" t="s">
        <v>98</v>
      </c>
      <c r="E819" s="4" t="s">
        <v>127</v>
      </c>
      <c r="F819" s="4" t="s">
        <v>101</v>
      </c>
      <c r="G819" s="4">
        <f t="shared" ca="1" si="12"/>
        <v>30</v>
      </c>
      <c r="H819" s="4">
        <v>6</v>
      </c>
    </row>
    <row r="820" spans="1:8" ht="15.6">
      <c r="A820" s="4" t="s">
        <v>722</v>
      </c>
      <c r="B820" s="5">
        <v>45284.682920709303</v>
      </c>
      <c r="C820" s="5">
        <v>45289.552859891897</v>
      </c>
      <c r="D820" s="4" t="s">
        <v>94</v>
      </c>
      <c r="E820" s="4" t="s">
        <v>723</v>
      </c>
      <c r="F820" s="4" t="s">
        <v>100</v>
      </c>
      <c r="G820" s="4">
        <f t="shared" ca="1" si="12"/>
        <v>37</v>
      </c>
      <c r="H820" s="4">
        <v>5</v>
      </c>
    </row>
    <row r="821" spans="1:8" ht="15.6">
      <c r="A821" s="4" t="s">
        <v>724</v>
      </c>
      <c r="B821" s="5">
        <v>44557.5656225446</v>
      </c>
      <c r="C821" s="5">
        <v>44560.299695927897</v>
      </c>
      <c r="D821" s="4" t="s">
        <v>98</v>
      </c>
      <c r="E821" s="4" t="s">
        <v>725</v>
      </c>
      <c r="F821" s="4" t="s">
        <v>106</v>
      </c>
      <c r="G821" s="4">
        <f t="shared" ca="1" si="12"/>
        <v>31</v>
      </c>
      <c r="H821" s="4">
        <v>3</v>
      </c>
    </row>
    <row r="822" spans="1:8" ht="15.6">
      <c r="A822" s="4" t="s">
        <v>724</v>
      </c>
      <c r="B822" s="5">
        <v>44557.115452579703</v>
      </c>
      <c r="C822" s="5">
        <v>44560.973021658101</v>
      </c>
      <c r="D822" s="4" t="s">
        <v>98</v>
      </c>
      <c r="E822" s="4" t="s">
        <v>725</v>
      </c>
      <c r="F822" s="4" t="s">
        <v>110</v>
      </c>
      <c r="G822" s="4">
        <f t="shared" ca="1" si="12"/>
        <v>62</v>
      </c>
      <c r="H822" s="4">
        <v>3</v>
      </c>
    </row>
    <row r="823" spans="1:8" ht="15.6">
      <c r="A823" s="4" t="s">
        <v>724</v>
      </c>
      <c r="B823" s="5">
        <v>44557.836550526998</v>
      </c>
      <c r="C823" s="5">
        <v>44560.019310013202</v>
      </c>
      <c r="D823" s="4" t="s">
        <v>98</v>
      </c>
      <c r="E823" s="4" t="s">
        <v>725</v>
      </c>
      <c r="F823" s="4" t="s">
        <v>100</v>
      </c>
      <c r="G823" s="4">
        <f t="shared" ca="1" si="12"/>
        <v>30</v>
      </c>
      <c r="H823" s="4">
        <v>4</v>
      </c>
    </row>
    <row r="824" spans="1:8" ht="15.6">
      <c r="A824" s="4" t="s">
        <v>726</v>
      </c>
      <c r="B824" s="5">
        <v>44636.631315717801</v>
      </c>
      <c r="C824" s="5">
        <v>44639.505876027397</v>
      </c>
      <c r="D824" s="4" t="s">
        <v>98</v>
      </c>
      <c r="E824" s="4" t="s">
        <v>162</v>
      </c>
      <c r="F824" s="4" t="s">
        <v>141</v>
      </c>
      <c r="G824" s="4">
        <f t="shared" ca="1" si="12"/>
        <v>65</v>
      </c>
      <c r="H824" s="4">
        <v>6</v>
      </c>
    </row>
    <row r="825" spans="1:8" ht="15.6">
      <c r="A825" s="4" t="s">
        <v>726</v>
      </c>
      <c r="B825" s="5">
        <v>44636.972935539503</v>
      </c>
      <c r="C825" s="5">
        <v>44639.107116661798</v>
      </c>
      <c r="D825" s="4" t="s">
        <v>98</v>
      </c>
      <c r="E825" s="4" t="s">
        <v>162</v>
      </c>
      <c r="F825" s="4" t="s">
        <v>130</v>
      </c>
      <c r="G825" s="4">
        <f t="shared" ca="1" si="12"/>
        <v>88</v>
      </c>
      <c r="H825" s="4">
        <v>4</v>
      </c>
    </row>
    <row r="826" spans="1:8" ht="15.6">
      <c r="A826" s="4" t="s">
        <v>726</v>
      </c>
      <c r="B826" s="5">
        <v>44636.402396362799</v>
      </c>
      <c r="C826" s="5">
        <v>44639.484680566798</v>
      </c>
      <c r="D826" s="4" t="s">
        <v>98</v>
      </c>
      <c r="E826" s="4" t="s">
        <v>162</v>
      </c>
      <c r="F826" s="4" t="s">
        <v>118</v>
      </c>
      <c r="G826" s="4">
        <f t="shared" ca="1" si="12"/>
        <v>20</v>
      </c>
      <c r="H826" s="4">
        <v>13</v>
      </c>
    </row>
    <row r="827" spans="1:8" ht="15.6">
      <c r="A827" s="4" t="s">
        <v>727</v>
      </c>
      <c r="B827" s="5">
        <v>44939.844342673699</v>
      </c>
      <c r="C827" s="5">
        <v>44944.571057631001</v>
      </c>
      <c r="D827" s="4" t="s">
        <v>98</v>
      </c>
      <c r="E827" s="4" t="s">
        <v>516</v>
      </c>
      <c r="F827" s="4" t="s">
        <v>141</v>
      </c>
      <c r="G827" s="4">
        <f t="shared" ca="1" si="12"/>
        <v>98</v>
      </c>
      <c r="H827" s="4">
        <v>2</v>
      </c>
    </row>
    <row r="828" spans="1:8" ht="15.6">
      <c r="A828" s="4" t="s">
        <v>727</v>
      </c>
      <c r="B828" s="5">
        <v>44939.156974891899</v>
      </c>
      <c r="C828" s="5">
        <v>44944.764325706499</v>
      </c>
      <c r="D828" s="4" t="s">
        <v>98</v>
      </c>
      <c r="E828" s="4" t="s">
        <v>516</v>
      </c>
      <c r="F828" s="4" t="s">
        <v>131</v>
      </c>
      <c r="G828" s="4">
        <f t="shared" ca="1" si="12"/>
        <v>27</v>
      </c>
      <c r="H828" s="4">
        <v>1</v>
      </c>
    </row>
    <row r="829" spans="1:8" ht="15.6">
      <c r="A829" s="4" t="s">
        <v>727</v>
      </c>
      <c r="B829" s="5">
        <v>44939.8167142116</v>
      </c>
      <c r="C829" s="5">
        <v>44944.870113546</v>
      </c>
      <c r="D829" s="4" t="s">
        <v>98</v>
      </c>
      <c r="E829" s="4" t="s">
        <v>516</v>
      </c>
      <c r="F829" s="4" t="s">
        <v>130</v>
      </c>
      <c r="G829" s="4">
        <f t="shared" ca="1" si="12"/>
        <v>35</v>
      </c>
      <c r="H829" s="4">
        <v>4</v>
      </c>
    </row>
    <row r="830" spans="1:8" ht="15.6">
      <c r="A830" s="4" t="s">
        <v>727</v>
      </c>
      <c r="B830" s="5">
        <v>44939.278762528098</v>
      </c>
      <c r="C830" s="5">
        <v>44944.174790053898</v>
      </c>
      <c r="D830" s="4" t="s">
        <v>98</v>
      </c>
      <c r="E830" s="4" t="s">
        <v>516</v>
      </c>
      <c r="F830" s="4" t="s">
        <v>106</v>
      </c>
      <c r="G830" s="4">
        <f t="shared" ca="1" si="12"/>
        <v>68</v>
      </c>
      <c r="H830" s="4">
        <v>5</v>
      </c>
    </row>
    <row r="831" spans="1:8" ht="15.6">
      <c r="A831" s="4" t="s">
        <v>727</v>
      </c>
      <c r="B831" s="5">
        <v>44939.8751193313</v>
      </c>
      <c r="C831" s="5">
        <v>44944.744375871502</v>
      </c>
      <c r="D831" s="4" t="s">
        <v>98</v>
      </c>
      <c r="E831" s="4" t="s">
        <v>516</v>
      </c>
      <c r="F831" s="4" t="s">
        <v>130</v>
      </c>
      <c r="G831" s="4">
        <f t="shared" ca="1" si="12"/>
        <v>21</v>
      </c>
      <c r="H831" s="4">
        <v>4</v>
      </c>
    </row>
    <row r="832" spans="1:8" ht="15.6">
      <c r="A832" s="4" t="s">
        <v>728</v>
      </c>
      <c r="B832" s="5">
        <v>44680.221488876203</v>
      </c>
      <c r="C832" s="5">
        <v>44684.353403982597</v>
      </c>
      <c r="D832" s="4" t="s">
        <v>98</v>
      </c>
      <c r="E832" s="4" t="s">
        <v>435</v>
      </c>
      <c r="F832" s="4" t="s">
        <v>100</v>
      </c>
      <c r="G832" s="4">
        <f t="shared" ca="1" si="12"/>
        <v>45</v>
      </c>
      <c r="H832" s="4">
        <v>3</v>
      </c>
    </row>
    <row r="833" spans="1:8" ht="15.6">
      <c r="A833" s="4" t="s">
        <v>729</v>
      </c>
      <c r="B833" s="5">
        <v>44659.786514694497</v>
      </c>
      <c r="C833" s="5">
        <v>44659.592719551198</v>
      </c>
      <c r="D833" s="4" t="s">
        <v>94</v>
      </c>
      <c r="E833" s="4" t="s">
        <v>730</v>
      </c>
      <c r="F833" s="4" t="s">
        <v>106</v>
      </c>
      <c r="G833" s="4">
        <f t="shared" ca="1" si="12"/>
        <v>44</v>
      </c>
      <c r="H833" s="4">
        <v>6</v>
      </c>
    </row>
    <row r="834" spans="1:8" ht="15.6">
      <c r="A834" s="4" t="s">
        <v>731</v>
      </c>
      <c r="B834" s="5">
        <v>44942.664558017103</v>
      </c>
      <c r="C834" s="5">
        <v>44946.162885065001</v>
      </c>
      <c r="D834" s="4" t="s">
        <v>98</v>
      </c>
      <c r="E834" s="4" t="s">
        <v>117</v>
      </c>
      <c r="F834" s="4" t="s">
        <v>131</v>
      </c>
      <c r="G834" s="4">
        <f t="shared" ref="G834:G897" ca="1" si="13">RANDBETWEEN(10,100)</f>
        <v>25</v>
      </c>
      <c r="H834" s="4">
        <v>3</v>
      </c>
    </row>
    <row r="835" spans="1:8" ht="15.6">
      <c r="A835" s="4" t="s">
        <v>732</v>
      </c>
      <c r="B835" s="5">
        <v>44481.2812268946</v>
      </c>
      <c r="C835" s="5">
        <v>44484.306567075</v>
      </c>
      <c r="D835" s="4" t="s">
        <v>114</v>
      </c>
      <c r="E835" s="4" t="s">
        <v>733</v>
      </c>
      <c r="F835" s="4" t="s">
        <v>100</v>
      </c>
      <c r="G835" s="4">
        <f t="shared" ca="1" si="13"/>
        <v>48</v>
      </c>
      <c r="H835" s="4">
        <v>10</v>
      </c>
    </row>
    <row r="836" spans="1:8" ht="15.6">
      <c r="A836" s="4" t="s">
        <v>732</v>
      </c>
      <c r="B836" s="5">
        <v>44481.0106379192</v>
      </c>
      <c r="C836" s="5">
        <v>44484.4620880609</v>
      </c>
      <c r="D836" s="4" t="s">
        <v>114</v>
      </c>
      <c r="E836" s="4" t="s">
        <v>733</v>
      </c>
      <c r="F836" s="4" t="s">
        <v>96</v>
      </c>
      <c r="G836" s="4">
        <f t="shared" ca="1" si="13"/>
        <v>42</v>
      </c>
      <c r="H836" s="4">
        <v>1</v>
      </c>
    </row>
    <row r="837" spans="1:8" ht="15.6">
      <c r="A837" s="4" t="s">
        <v>734</v>
      </c>
      <c r="B837" s="5">
        <v>44354.071376391301</v>
      </c>
      <c r="C837" s="5">
        <v>44359.599746164997</v>
      </c>
      <c r="D837" s="4" t="s">
        <v>98</v>
      </c>
      <c r="E837" s="4" t="s">
        <v>154</v>
      </c>
      <c r="F837" s="4" t="s">
        <v>96</v>
      </c>
      <c r="G837" s="4">
        <f t="shared" ca="1" si="13"/>
        <v>89</v>
      </c>
      <c r="H837" s="4">
        <v>4</v>
      </c>
    </row>
    <row r="838" spans="1:8" ht="15.6">
      <c r="A838" s="4" t="s">
        <v>735</v>
      </c>
      <c r="B838" s="5">
        <v>44844.349594749401</v>
      </c>
      <c r="C838" s="5">
        <v>44846.078039444998</v>
      </c>
      <c r="D838" s="4" t="s">
        <v>98</v>
      </c>
      <c r="E838" s="4" t="s">
        <v>290</v>
      </c>
      <c r="F838" s="4" t="s">
        <v>131</v>
      </c>
      <c r="G838" s="4">
        <f t="shared" ca="1" si="13"/>
        <v>84</v>
      </c>
      <c r="H838" s="4">
        <v>10</v>
      </c>
    </row>
    <row r="839" spans="1:8" ht="15.6">
      <c r="A839" s="4" t="s">
        <v>736</v>
      </c>
      <c r="B839" s="5">
        <v>44616.203471859801</v>
      </c>
      <c r="C839" s="5">
        <v>44620.632047049199</v>
      </c>
      <c r="D839" s="4" t="s">
        <v>98</v>
      </c>
      <c r="E839" s="4" t="s">
        <v>737</v>
      </c>
      <c r="F839" s="4" t="s">
        <v>125</v>
      </c>
      <c r="G839" s="4">
        <f t="shared" ca="1" si="13"/>
        <v>80</v>
      </c>
      <c r="H839" s="4">
        <v>3</v>
      </c>
    </row>
    <row r="840" spans="1:8" ht="15.6">
      <c r="A840" s="4" t="s">
        <v>738</v>
      </c>
      <c r="B840" s="5">
        <v>44967.628799615697</v>
      </c>
      <c r="C840" s="5">
        <v>44969.068489761397</v>
      </c>
      <c r="D840" s="4" t="s">
        <v>94</v>
      </c>
      <c r="E840" s="4" t="s">
        <v>739</v>
      </c>
      <c r="F840" s="4" t="s">
        <v>144</v>
      </c>
      <c r="G840" s="4">
        <f t="shared" ca="1" si="13"/>
        <v>19</v>
      </c>
      <c r="H840" s="4">
        <v>1</v>
      </c>
    </row>
    <row r="841" spans="1:8" ht="15.6">
      <c r="A841" s="4" t="s">
        <v>740</v>
      </c>
      <c r="B841" s="5">
        <v>44757.8891999197</v>
      </c>
      <c r="C841" s="5">
        <v>44763.860892832199</v>
      </c>
      <c r="D841" s="4" t="s">
        <v>94</v>
      </c>
      <c r="E841" s="4" t="s">
        <v>216</v>
      </c>
      <c r="F841" s="4" t="s">
        <v>110</v>
      </c>
      <c r="G841" s="4">
        <f t="shared" ca="1" si="13"/>
        <v>61</v>
      </c>
      <c r="H841" s="4">
        <v>8</v>
      </c>
    </row>
    <row r="842" spans="1:8" ht="15.6">
      <c r="A842" s="4" t="s">
        <v>740</v>
      </c>
      <c r="B842" s="5">
        <v>44757.280563523498</v>
      </c>
      <c r="C842" s="5">
        <v>44763.3093228496</v>
      </c>
      <c r="D842" s="4" t="s">
        <v>94</v>
      </c>
      <c r="E842" s="4" t="s">
        <v>216</v>
      </c>
      <c r="F842" s="4" t="s">
        <v>110</v>
      </c>
      <c r="G842" s="4">
        <f t="shared" ca="1" si="13"/>
        <v>51</v>
      </c>
      <c r="H842" s="4">
        <v>3</v>
      </c>
    </row>
    <row r="843" spans="1:8" ht="15.6">
      <c r="A843" s="4" t="s">
        <v>740</v>
      </c>
      <c r="B843" s="5">
        <v>44757.900243011602</v>
      </c>
      <c r="C843" s="5">
        <v>44763.786167832302</v>
      </c>
      <c r="D843" s="4" t="s">
        <v>94</v>
      </c>
      <c r="E843" s="4" t="s">
        <v>216</v>
      </c>
      <c r="F843" s="4" t="s">
        <v>131</v>
      </c>
      <c r="G843" s="4">
        <f t="shared" ca="1" si="13"/>
        <v>18</v>
      </c>
      <c r="H843" s="4">
        <v>3</v>
      </c>
    </row>
    <row r="844" spans="1:8" ht="15.6">
      <c r="A844" s="4" t="s">
        <v>740</v>
      </c>
      <c r="B844" s="5">
        <v>44757.274984121301</v>
      </c>
      <c r="C844" s="5">
        <v>44763.843187437204</v>
      </c>
      <c r="D844" s="4" t="s">
        <v>94</v>
      </c>
      <c r="E844" s="4" t="s">
        <v>216</v>
      </c>
      <c r="F844" s="4" t="s">
        <v>111</v>
      </c>
      <c r="G844" s="4">
        <f t="shared" ca="1" si="13"/>
        <v>50</v>
      </c>
      <c r="H844" s="4">
        <v>2</v>
      </c>
    </row>
    <row r="845" spans="1:8" ht="15.6">
      <c r="A845" s="4" t="s">
        <v>740</v>
      </c>
      <c r="B845" s="5">
        <v>44757.6488999676</v>
      </c>
      <c r="C845" s="5">
        <v>44763.283576294802</v>
      </c>
      <c r="D845" s="4" t="s">
        <v>94</v>
      </c>
      <c r="E845" s="4" t="s">
        <v>216</v>
      </c>
      <c r="F845" s="4" t="s">
        <v>141</v>
      </c>
      <c r="G845" s="4">
        <f t="shared" ca="1" si="13"/>
        <v>22</v>
      </c>
      <c r="H845" s="4">
        <v>3</v>
      </c>
    </row>
    <row r="846" spans="1:8" ht="15.6">
      <c r="A846" s="4" t="s">
        <v>741</v>
      </c>
      <c r="B846" s="5">
        <v>44217.838084614101</v>
      </c>
      <c r="C846" s="5">
        <v>44222.017941225698</v>
      </c>
      <c r="D846" s="4" t="s">
        <v>114</v>
      </c>
      <c r="E846" s="4" t="s">
        <v>573</v>
      </c>
      <c r="F846" s="4" t="s">
        <v>110</v>
      </c>
      <c r="G846" s="4">
        <f t="shared" ca="1" si="13"/>
        <v>33</v>
      </c>
      <c r="H846" s="4">
        <v>3</v>
      </c>
    </row>
    <row r="847" spans="1:8" ht="15.6">
      <c r="A847" s="4" t="s">
        <v>742</v>
      </c>
      <c r="B847" s="5">
        <v>45180.6903212869</v>
      </c>
      <c r="C847" s="5">
        <v>45186.522151133897</v>
      </c>
      <c r="D847" s="4" t="s">
        <v>98</v>
      </c>
      <c r="E847" s="4" t="s">
        <v>197</v>
      </c>
      <c r="F847" s="4" t="s">
        <v>112</v>
      </c>
      <c r="G847" s="4">
        <f t="shared" ca="1" si="13"/>
        <v>27</v>
      </c>
      <c r="H847" s="4">
        <v>8</v>
      </c>
    </row>
    <row r="848" spans="1:8" ht="15.6">
      <c r="A848" s="4" t="s">
        <v>743</v>
      </c>
      <c r="B848" s="5">
        <v>44285.115388006998</v>
      </c>
      <c r="C848" s="5">
        <v>44289.093718122203</v>
      </c>
      <c r="D848" s="4" t="s">
        <v>98</v>
      </c>
      <c r="E848" s="4" t="s">
        <v>744</v>
      </c>
      <c r="F848" s="4" t="s">
        <v>141</v>
      </c>
      <c r="G848" s="4">
        <f t="shared" ca="1" si="13"/>
        <v>84</v>
      </c>
      <c r="H848" s="4">
        <v>2</v>
      </c>
    </row>
    <row r="849" spans="1:8" ht="15.6">
      <c r="A849" s="4" t="s">
        <v>743</v>
      </c>
      <c r="B849" s="5">
        <v>44285.800068124598</v>
      </c>
      <c r="C849" s="5">
        <v>44289.471758943197</v>
      </c>
      <c r="D849" s="4" t="s">
        <v>98</v>
      </c>
      <c r="E849" s="4" t="s">
        <v>744</v>
      </c>
      <c r="F849" s="4" t="s">
        <v>111</v>
      </c>
      <c r="G849" s="4">
        <f t="shared" ca="1" si="13"/>
        <v>37</v>
      </c>
      <c r="H849" s="4">
        <v>5</v>
      </c>
    </row>
    <row r="850" spans="1:8" ht="15.6">
      <c r="A850" s="4" t="s">
        <v>745</v>
      </c>
      <c r="B850" s="5">
        <v>44622.781742390602</v>
      </c>
      <c r="C850" s="5">
        <v>44626.735448610001</v>
      </c>
      <c r="D850" s="4" t="s">
        <v>94</v>
      </c>
      <c r="E850" s="4" t="s">
        <v>746</v>
      </c>
      <c r="F850" s="4" t="s">
        <v>109</v>
      </c>
      <c r="G850" s="4">
        <f t="shared" ca="1" si="13"/>
        <v>24</v>
      </c>
      <c r="H850" s="4">
        <v>5</v>
      </c>
    </row>
    <row r="851" spans="1:8" ht="15.6">
      <c r="A851" s="4" t="s">
        <v>747</v>
      </c>
      <c r="B851" s="5">
        <v>44475.631630770396</v>
      </c>
      <c r="C851" s="5">
        <v>44475.699489841601</v>
      </c>
      <c r="D851" s="4" t="s">
        <v>94</v>
      </c>
      <c r="E851" s="4" t="s">
        <v>302</v>
      </c>
      <c r="F851" s="4" t="s">
        <v>125</v>
      </c>
      <c r="G851" s="4">
        <f t="shared" ca="1" si="13"/>
        <v>72</v>
      </c>
      <c r="H851" s="4">
        <v>2</v>
      </c>
    </row>
    <row r="852" spans="1:8" ht="15.6">
      <c r="A852" s="4" t="s">
        <v>748</v>
      </c>
      <c r="B852" s="5">
        <v>44564.616995997501</v>
      </c>
      <c r="C852" s="5">
        <v>44566.249755680903</v>
      </c>
      <c r="D852" s="4" t="s">
        <v>114</v>
      </c>
      <c r="E852" s="4" t="s">
        <v>127</v>
      </c>
      <c r="F852" s="4" t="s">
        <v>101</v>
      </c>
      <c r="G852" s="4">
        <f t="shared" ca="1" si="13"/>
        <v>40</v>
      </c>
      <c r="H852" s="4">
        <v>3</v>
      </c>
    </row>
    <row r="853" spans="1:8" ht="15.6">
      <c r="A853" s="4" t="s">
        <v>749</v>
      </c>
      <c r="B853" s="5">
        <v>44544.425099101303</v>
      </c>
      <c r="C853" s="5">
        <v>44546.7043934334</v>
      </c>
      <c r="D853" s="4" t="s">
        <v>94</v>
      </c>
      <c r="E853" s="4" t="s">
        <v>409</v>
      </c>
      <c r="F853" s="4" t="s">
        <v>112</v>
      </c>
      <c r="G853" s="4">
        <f t="shared" ca="1" si="13"/>
        <v>47</v>
      </c>
      <c r="H853" s="4">
        <v>2</v>
      </c>
    </row>
    <row r="854" spans="1:8" ht="15.6">
      <c r="A854" s="4" t="s">
        <v>749</v>
      </c>
      <c r="B854" s="5">
        <v>44544.0609519672</v>
      </c>
      <c r="C854" s="5">
        <v>44546.239854785097</v>
      </c>
      <c r="D854" s="4" t="s">
        <v>94</v>
      </c>
      <c r="E854" s="4" t="s">
        <v>409</v>
      </c>
      <c r="F854" s="4" t="s">
        <v>125</v>
      </c>
      <c r="G854" s="4">
        <f t="shared" ca="1" si="13"/>
        <v>99</v>
      </c>
      <c r="H854" s="4">
        <v>1</v>
      </c>
    </row>
    <row r="855" spans="1:8" ht="15.6">
      <c r="A855" s="4" t="s">
        <v>749</v>
      </c>
      <c r="B855" s="5">
        <v>44544.032591948999</v>
      </c>
      <c r="C855" s="5">
        <v>44546.019786055898</v>
      </c>
      <c r="D855" s="4" t="s">
        <v>94</v>
      </c>
      <c r="E855" s="4" t="s">
        <v>409</v>
      </c>
      <c r="F855" s="4" t="s">
        <v>131</v>
      </c>
      <c r="G855" s="4">
        <f t="shared" ca="1" si="13"/>
        <v>28</v>
      </c>
      <c r="H855" s="4">
        <v>6</v>
      </c>
    </row>
    <row r="856" spans="1:8" ht="15.6">
      <c r="A856" s="4" t="s">
        <v>750</v>
      </c>
      <c r="B856" s="5">
        <v>44548.571942324001</v>
      </c>
      <c r="C856" s="5">
        <v>44549.189173795399</v>
      </c>
      <c r="D856" s="4" t="s">
        <v>98</v>
      </c>
      <c r="E856" s="4" t="s">
        <v>711</v>
      </c>
      <c r="F856" s="4" t="s">
        <v>112</v>
      </c>
      <c r="G856" s="4">
        <f t="shared" ca="1" si="13"/>
        <v>12</v>
      </c>
      <c r="H856" s="4">
        <v>5</v>
      </c>
    </row>
    <row r="857" spans="1:8" ht="15.6">
      <c r="A857" s="4" t="s">
        <v>750</v>
      </c>
      <c r="B857" s="5">
        <v>44548.172645231898</v>
      </c>
      <c r="C857" s="5">
        <v>44549.7758439311</v>
      </c>
      <c r="D857" s="4" t="s">
        <v>98</v>
      </c>
      <c r="E857" s="4" t="s">
        <v>711</v>
      </c>
      <c r="F857" s="4" t="s">
        <v>141</v>
      </c>
      <c r="G857" s="4">
        <f t="shared" ca="1" si="13"/>
        <v>98</v>
      </c>
      <c r="H857" s="4">
        <v>4</v>
      </c>
    </row>
    <row r="858" spans="1:8" ht="15.6">
      <c r="A858" s="4" t="s">
        <v>750</v>
      </c>
      <c r="B858" s="5">
        <v>44548.329333378802</v>
      </c>
      <c r="C858" s="5">
        <v>44549.129895005797</v>
      </c>
      <c r="D858" s="4" t="s">
        <v>98</v>
      </c>
      <c r="E858" s="4" t="s">
        <v>711</v>
      </c>
      <c r="F858" s="4" t="s">
        <v>110</v>
      </c>
      <c r="G858" s="4">
        <f t="shared" ca="1" si="13"/>
        <v>43</v>
      </c>
      <c r="H858" s="4">
        <v>2</v>
      </c>
    </row>
    <row r="859" spans="1:8" ht="15.6">
      <c r="A859" s="4" t="s">
        <v>750</v>
      </c>
      <c r="B859" s="5">
        <v>44548.480537924297</v>
      </c>
      <c r="C859" s="5">
        <v>44549.9533506238</v>
      </c>
      <c r="D859" s="4" t="s">
        <v>98</v>
      </c>
      <c r="E859" s="4" t="s">
        <v>711</v>
      </c>
      <c r="F859" s="4" t="s">
        <v>111</v>
      </c>
      <c r="G859" s="4">
        <f t="shared" ca="1" si="13"/>
        <v>14</v>
      </c>
      <c r="H859" s="4">
        <v>2</v>
      </c>
    </row>
    <row r="860" spans="1:8" ht="15.6">
      <c r="A860" s="4" t="s">
        <v>750</v>
      </c>
      <c r="B860" s="5">
        <v>44548.472193656198</v>
      </c>
      <c r="C860" s="5">
        <v>44549.416724415001</v>
      </c>
      <c r="D860" s="4" t="s">
        <v>98</v>
      </c>
      <c r="E860" s="4" t="s">
        <v>711</v>
      </c>
      <c r="F860" s="4" t="s">
        <v>118</v>
      </c>
      <c r="G860" s="4">
        <f t="shared" ca="1" si="13"/>
        <v>16</v>
      </c>
      <c r="H860" s="4">
        <v>5</v>
      </c>
    </row>
    <row r="861" spans="1:8" ht="15.6">
      <c r="A861" s="4" t="s">
        <v>750</v>
      </c>
      <c r="B861" s="5">
        <v>44548.960348774403</v>
      </c>
      <c r="C861" s="5">
        <v>44549.004783828997</v>
      </c>
      <c r="D861" s="4" t="s">
        <v>98</v>
      </c>
      <c r="E861" s="4" t="s">
        <v>711</v>
      </c>
      <c r="F861" s="4" t="s">
        <v>122</v>
      </c>
      <c r="G861" s="4">
        <f t="shared" ca="1" si="13"/>
        <v>79</v>
      </c>
      <c r="H861" s="4">
        <v>5</v>
      </c>
    </row>
    <row r="862" spans="1:8" ht="15.6">
      <c r="A862" s="4" t="s">
        <v>751</v>
      </c>
      <c r="B862" s="5">
        <v>44224.732137090803</v>
      </c>
      <c r="C862" s="5">
        <v>44230.600705564299</v>
      </c>
      <c r="D862" s="4" t="s">
        <v>94</v>
      </c>
      <c r="E862" s="4" t="s">
        <v>752</v>
      </c>
      <c r="F862" s="4" t="s">
        <v>111</v>
      </c>
      <c r="G862" s="4">
        <f t="shared" ca="1" si="13"/>
        <v>83</v>
      </c>
      <c r="H862" s="4">
        <v>3</v>
      </c>
    </row>
    <row r="863" spans="1:8" ht="15.6">
      <c r="A863" s="4" t="s">
        <v>751</v>
      </c>
      <c r="B863" s="5">
        <v>44224.176425227299</v>
      </c>
      <c r="C863" s="5">
        <v>44230.455946171904</v>
      </c>
      <c r="D863" s="4" t="s">
        <v>94</v>
      </c>
      <c r="E863" s="4" t="s">
        <v>752</v>
      </c>
      <c r="F863" s="4" t="s">
        <v>101</v>
      </c>
      <c r="G863" s="4">
        <f t="shared" ca="1" si="13"/>
        <v>22</v>
      </c>
      <c r="H863" s="4">
        <v>3</v>
      </c>
    </row>
    <row r="864" spans="1:8" ht="15.6">
      <c r="A864" s="4" t="s">
        <v>751</v>
      </c>
      <c r="B864" s="5">
        <v>44224.032322465799</v>
      </c>
      <c r="C864" s="5">
        <v>44230.387983700202</v>
      </c>
      <c r="D864" s="4" t="s">
        <v>94</v>
      </c>
      <c r="E864" s="4" t="s">
        <v>752</v>
      </c>
      <c r="F864" s="4" t="s">
        <v>130</v>
      </c>
      <c r="G864" s="4">
        <f t="shared" ca="1" si="13"/>
        <v>60</v>
      </c>
      <c r="H864" s="4">
        <v>3</v>
      </c>
    </row>
    <row r="865" spans="1:8" ht="15.6">
      <c r="A865" s="4" t="s">
        <v>751</v>
      </c>
      <c r="B865" s="5">
        <v>44224.850351698296</v>
      </c>
      <c r="C865" s="5">
        <v>44230.373501366099</v>
      </c>
      <c r="D865" s="4" t="s">
        <v>94</v>
      </c>
      <c r="E865" s="4" t="s">
        <v>752</v>
      </c>
      <c r="F865" s="4" t="s">
        <v>121</v>
      </c>
      <c r="G865" s="4">
        <f t="shared" ca="1" si="13"/>
        <v>56</v>
      </c>
      <c r="H865" s="4">
        <v>3</v>
      </c>
    </row>
    <row r="866" spans="1:8" ht="15.6">
      <c r="A866" s="4" t="s">
        <v>751</v>
      </c>
      <c r="B866" s="5">
        <v>44224.878011447203</v>
      </c>
      <c r="C866" s="5">
        <v>44230.735673770403</v>
      </c>
      <c r="D866" s="4" t="s">
        <v>94</v>
      </c>
      <c r="E866" s="4" t="s">
        <v>752</v>
      </c>
      <c r="F866" s="4" t="s">
        <v>135</v>
      </c>
      <c r="G866" s="4">
        <f t="shared" ca="1" si="13"/>
        <v>73</v>
      </c>
      <c r="H866" s="4">
        <v>3</v>
      </c>
    </row>
    <row r="867" spans="1:8" ht="15.6">
      <c r="A867" s="4" t="s">
        <v>751</v>
      </c>
      <c r="B867" s="5">
        <v>44224.932447617102</v>
      </c>
      <c r="C867" s="5">
        <v>44230.9186397718</v>
      </c>
      <c r="D867" s="4" t="s">
        <v>94</v>
      </c>
      <c r="E867" s="4" t="s">
        <v>752</v>
      </c>
      <c r="F867" s="4" t="s">
        <v>106</v>
      </c>
      <c r="G867" s="4">
        <f t="shared" ca="1" si="13"/>
        <v>93</v>
      </c>
      <c r="H867" s="4">
        <v>1</v>
      </c>
    </row>
    <row r="868" spans="1:8" ht="15.6">
      <c r="A868" s="4" t="s">
        <v>751</v>
      </c>
      <c r="B868" s="5">
        <v>44224.906616499102</v>
      </c>
      <c r="C868" s="5">
        <v>44230.162209906899</v>
      </c>
      <c r="D868" s="4" t="s">
        <v>94</v>
      </c>
      <c r="E868" s="4" t="s">
        <v>752</v>
      </c>
      <c r="F868" s="4" t="s">
        <v>101</v>
      </c>
      <c r="G868" s="4">
        <f t="shared" ca="1" si="13"/>
        <v>64</v>
      </c>
      <c r="H868" s="4">
        <v>1</v>
      </c>
    </row>
    <row r="869" spans="1:8" ht="15.6">
      <c r="A869" s="4" t="s">
        <v>753</v>
      </c>
      <c r="B869" s="5">
        <v>44674.236576512703</v>
      </c>
      <c r="C869" s="5">
        <v>44678.179599837902</v>
      </c>
      <c r="D869" s="4" t="s">
        <v>94</v>
      </c>
      <c r="E869" s="4" t="s">
        <v>137</v>
      </c>
      <c r="F869" s="4" t="s">
        <v>121</v>
      </c>
      <c r="G869" s="4">
        <f t="shared" ca="1" si="13"/>
        <v>31</v>
      </c>
      <c r="H869" s="4">
        <v>2</v>
      </c>
    </row>
    <row r="870" spans="1:8" ht="15.6">
      <c r="A870" s="4" t="s">
        <v>753</v>
      </c>
      <c r="B870" s="5">
        <v>44674.830627382296</v>
      </c>
      <c r="C870" s="5">
        <v>44678.817888969199</v>
      </c>
      <c r="D870" s="4" t="s">
        <v>94</v>
      </c>
      <c r="E870" s="4" t="s">
        <v>137</v>
      </c>
      <c r="F870" s="4" t="s">
        <v>121</v>
      </c>
      <c r="G870" s="4">
        <f t="shared" ca="1" si="13"/>
        <v>73</v>
      </c>
      <c r="H870" s="4">
        <v>3</v>
      </c>
    </row>
    <row r="871" spans="1:8" ht="15.6">
      <c r="A871" s="4" t="s">
        <v>753</v>
      </c>
      <c r="B871" s="5">
        <v>44674.276259755097</v>
      </c>
      <c r="C871" s="5">
        <v>44678.643712433099</v>
      </c>
      <c r="D871" s="4" t="s">
        <v>94</v>
      </c>
      <c r="E871" s="4" t="s">
        <v>137</v>
      </c>
      <c r="F871" s="4" t="s">
        <v>122</v>
      </c>
      <c r="G871" s="4">
        <f t="shared" ca="1" si="13"/>
        <v>36</v>
      </c>
      <c r="H871" s="4">
        <v>2</v>
      </c>
    </row>
    <row r="872" spans="1:8" ht="15.6">
      <c r="A872" s="4" t="s">
        <v>753</v>
      </c>
      <c r="B872" s="5">
        <v>44674.1526765093</v>
      </c>
      <c r="C872" s="5">
        <v>44678.910489793001</v>
      </c>
      <c r="D872" s="4" t="s">
        <v>94</v>
      </c>
      <c r="E872" s="4" t="s">
        <v>137</v>
      </c>
      <c r="F872" s="4" t="s">
        <v>112</v>
      </c>
      <c r="G872" s="4">
        <f t="shared" ca="1" si="13"/>
        <v>41</v>
      </c>
      <c r="H872" s="4">
        <v>2</v>
      </c>
    </row>
    <row r="873" spans="1:8" ht="15.6">
      <c r="A873" s="4" t="s">
        <v>754</v>
      </c>
      <c r="B873" s="5">
        <v>44849.751692964499</v>
      </c>
      <c r="C873" s="5">
        <v>44853.830788784799</v>
      </c>
      <c r="D873" s="4" t="s">
        <v>114</v>
      </c>
      <c r="E873" s="4" t="s">
        <v>755</v>
      </c>
      <c r="F873" s="4" t="s">
        <v>121</v>
      </c>
      <c r="G873" s="4">
        <f t="shared" ca="1" si="13"/>
        <v>15</v>
      </c>
      <c r="H873" s="4">
        <v>4</v>
      </c>
    </row>
    <row r="874" spans="1:8" ht="15.6">
      <c r="A874" s="4" t="s">
        <v>754</v>
      </c>
      <c r="B874" s="5">
        <v>44849.573576279101</v>
      </c>
      <c r="C874" s="5">
        <v>44853.765951143803</v>
      </c>
      <c r="D874" s="4" t="s">
        <v>114</v>
      </c>
      <c r="E874" s="4" t="s">
        <v>755</v>
      </c>
      <c r="F874" s="4" t="s">
        <v>122</v>
      </c>
      <c r="G874" s="4">
        <f t="shared" ca="1" si="13"/>
        <v>97</v>
      </c>
      <c r="H874" s="4">
        <v>3</v>
      </c>
    </row>
    <row r="875" spans="1:8" ht="15.6">
      <c r="A875" s="4" t="s">
        <v>756</v>
      </c>
      <c r="B875" s="5">
        <v>44439.008746360603</v>
      </c>
      <c r="C875" s="5">
        <v>44444.608692894602</v>
      </c>
      <c r="D875" s="4" t="s">
        <v>98</v>
      </c>
      <c r="E875" s="4" t="s">
        <v>476</v>
      </c>
      <c r="F875" s="4" t="s">
        <v>106</v>
      </c>
      <c r="G875" s="4">
        <f t="shared" ca="1" si="13"/>
        <v>17</v>
      </c>
      <c r="H875" s="4">
        <v>11</v>
      </c>
    </row>
    <row r="876" spans="1:8" ht="15.6">
      <c r="A876" s="4" t="s">
        <v>756</v>
      </c>
      <c r="B876" s="5">
        <v>44439.8487649077</v>
      </c>
      <c r="C876" s="5">
        <v>44444.546550655003</v>
      </c>
      <c r="D876" s="4" t="s">
        <v>98</v>
      </c>
      <c r="E876" s="4" t="s">
        <v>476</v>
      </c>
      <c r="F876" s="4" t="s">
        <v>111</v>
      </c>
      <c r="G876" s="4">
        <f t="shared" ca="1" si="13"/>
        <v>33</v>
      </c>
      <c r="H876" s="4">
        <v>8</v>
      </c>
    </row>
    <row r="877" spans="1:8" ht="15.6">
      <c r="A877" s="4" t="s">
        <v>757</v>
      </c>
      <c r="B877" s="5">
        <v>44453.011642976198</v>
      </c>
      <c r="C877" s="5">
        <v>44459.7078213942</v>
      </c>
      <c r="D877" s="4" t="s">
        <v>114</v>
      </c>
      <c r="E877" s="4" t="s">
        <v>622</v>
      </c>
      <c r="F877" s="4" t="s">
        <v>110</v>
      </c>
      <c r="G877" s="4">
        <f t="shared" ca="1" si="13"/>
        <v>82</v>
      </c>
      <c r="H877" s="4">
        <v>3</v>
      </c>
    </row>
    <row r="878" spans="1:8" ht="15.6">
      <c r="A878" s="4" t="s">
        <v>758</v>
      </c>
      <c r="B878" s="5">
        <v>44518.535992224897</v>
      </c>
      <c r="C878" s="5">
        <v>44523.976120203602</v>
      </c>
      <c r="D878" s="4" t="s">
        <v>98</v>
      </c>
      <c r="E878" s="4" t="s">
        <v>509</v>
      </c>
      <c r="F878" s="4" t="s">
        <v>135</v>
      </c>
      <c r="G878" s="4">
        <f t="shared" ca="1" si="13"/>
        <v>98</v>
      </c>
      <c r="H878" s="4">
        <v>6</v>
      </c>
    </row>
    <row r="879" spans="1:8" ht="15.6">
      <c r="A879" s="4" t="s">
        <v>759</v>
      </c>
      <c r="B879" s="5">
        <v>44639.477343275597</v>
      </c>
      <c r="C879" s="5">
        <v>44645.384421203198</v>
      </c>
      <c r="D879" s="4" t="s">
        <v>98</v>
      </c>
      <c r="E879" s="4" t="s">
        <v>95</v>
      </c>
      <c r="F879" s="4" t="s">
        <v>112</v>
      </c>
      <c r="G879" s="4">
        <f t="shared" ca="1" si="13"/>
        <v>62</v>
      </c>
      <c r="H879" s="4">
        <v>2</v>
      </c>
    </row>
    <row r="880" spans="1:8" ht="15.6">
      <c r="A880" s="4" t="s">
        <v>760</v>
      </c>
      <c r="B880" s="5">
        <v>44473.460904056097</v>
      </c>
      <c r="C880" s="5">
        <v>44476.100748032797</v>
      </c>
      <c r="D880" s="4" t="s">
        <v>98</v>
      </c>
      <c r="E880" s="4" t="s">
        <v>143</v>
      </c>
      <c r="F880" s="4" t="s">
        <v>130</v>
      </c>
      <c r="G880" s="4">
        <f t="shared" ca="1" si="13"/>
        <v>46</v>
      </c>
      <c r="H880" s="4">
        <v>2</v>
      </c>
    </row>
    <row r="881" spans="1:8" ht="15.6">
      <c r="A881" s="4" t="s">
        <v>760</v>
      </c>
      <c r="B881" s="5">
        <v>44473.4444108893</v>
      </c>
      <c r="C881" s="5">
        <v>44476.547381087701</v>
      </c>
      <c r="D881" s="4" t="s">
        <v>98</v>
      </c>
      <c r="E881" s="4" t="s">
        <v>143</v>
      </c>
      <c r="F881" s="4" t="s">
        <v>121</v>
      </c>
      <c r="G881" s="4">
        <f t="shared" ca="1" si="13"/>
        <v>85</v>
      </c>
      <c r="H881" s="4">
        <v>3</v>
      </c>
    </row>
    <row r="882" spans="1:8" ht="15.6">
      <c r="A882" s="4" t="s">
        <v>761</v>
      </c>
      <c r="B882" s="5">
        <v>45201.243419219201</v>
      </c>
      <c r="C882" s="5">
        <v>45207.089268981799</v>
      </c>
      <c r="D882" s="4" t="s">
        <v>98</v>
      </c>
      <c r="E882" s="4" t="s">
        <v>762</v>
      </c>
      <c r="F882" s="4" t="s">
        <v>122</v>
      </c>
      <c r="G882" s="4">
        <f t="shared" ca="1" si="13"/>
        <v>81</v>
      </c>
      <c r="H882" s="4">
        <v>6</v>
      </c>
    </row>
    <row r="883" spans="1:8" ht="15.6">
      <c r="A883" s="4" t="s">
        <v>763</v>
      </c>
      <c r="B883" s="5">
        <v>45223.538257564098</v>
      </c>
      <c r="C883" s="5">
        <v>45227.877867926698</v>
      </c>
      <c r="D883" s="4" t="s">
        <v>98</v>
      </c>
      <c r="E883" s="4" t="s">
        <v>314</v>
      </c>
      <c r="F883" s="4" t="s">
        <v>110</v>
      </c>
      <c r="G883" s="4">
        <f t="shared" ca="1" si="13"/>
        <v>29</v>
      </c>
      <c r="H883" s="4">
        <v>3</v>
      </c>
    </row>
    <row r="884" spans="1:8" ht="15.6">
      <c r="A884" s="4" t="s">
        <v>763</v>
      </c>
      <c r="B884" s="5">
        <v>45223.406484124702</v>
      </c>
      <c r="C884" s="5">
        <v>45227.9497762752</v>
      </c>
      <c r="D884" s="4" t="s">
        <v>98</v>
      </c>
      <c r="E884" s="4" t="s">
        <v>314</v>
      </c>
      <c r="F884" s="4" t="s">
        <v>111</v>
      </c>
      <c r="G884" s="4">
        <f t="shared" ca="1" si="13"/>
        <v>82</v>
      </c>
      <c r="H884" s="4">
        <v>7</v>
      </c>
    </row>
    <row r="885" spans="1:8" ht="15.6">
      <c r="A885" s="4" t="s">
        <v>763</v>
      </c>
      <c r="B885" s="5">
        <v>45223.672692877801</v>
      </c>
      <c r="C885" s="5">
        <v>45227.659846215902</v>
      </c>
      <c r="D885" s="4" t="s">
        <v>98</v>
      </c>
      <c r="E885" s="4" t="s">
        <v>314</v>
      </c>
      <c r="F885" s="4" t="s">
        <v>135</v>
      </c>
      <c r="G885" s="4">
        <f t="shared" ca="1" si="13"/>
        <v>80</v>
      </c>
      <c r="H885" s="4">
        <v>5</v>
      </c>
    </row>
    <row r="886" spans="1:8" ht="15.6">
      <c r="A886" s="4" t="s">
        <v>764</v>
      </c>
      <c r="B886" s="5">
        <v>45235.700435576</v>
      </c>
      <c r="C886" s="5">
        <v>45239.715273206901</v>
      </c>
      <c r="D886" s="4" t="s">
        <v>114</v>
      </c>
      <c r="E886" s="4" t="s">
        <v>765</v>
      </c>
      <c r="F886" s="4" t="s">
        <v>131</v>
      </c>
      <c r="G886" s="4">
        <f t="shared" ca="1" si="13"/>
        <v>91</v>
      </c>
      <c r="H886" s="4">
        <v>8</v>
      </c>
    </row>
    <row r="887" spans="1:8" ht="15.6">
      <c r="A887" s="4" t="s">
        <v>766</v>
      </c>
      <c r="B887" s="5">
        <v>44364.855290600703</v>
      </c>
      <c r="C887" s="5">
        <v>44370.7231842697</v>
      </c>
      <c r="D887" s="4" t="s">
        <v>98</v>
      </c>
      <c r="E887" s="4" t="s">
        <v>427</v>
      </c>
      <c r="F887" s="4" t="s">
        <v>111</v>
      </c>
      <c r="G887" s="4">
        <f t="shared" ca="1" si="13"/>
        <v>80</v>
      </c>
      <c r="H887" s="4">
        <v>6</v>
      </c>
    </row>
    <row r="888" spans="1:8" ht="15.6">
      <c r="A888" s="4" t="s">
        <v>767</v>
      </c>
      <c r="B888" s="5">
        <v>45002.0275844438</v>
      </c>
      <c r="C888" s="5">
        <v>45002.989285874297</v>
      </c>
      <c r="D888" s="4" t="s">
        <v>94</v>
      </c>
      <c r="E888" s="4" t="s">
        <v>309</v>
      </c>
      <c r="F888" s="4" t="s">
        <v>122</v>
      </c>
      <c r="G888" s="4">
        <f t="shared" ca="1" si="13"/>
        <v>16</v>
      </c>
      <c r="H888" s="4">
        <v>2</v>
      </c>
    </row>
    <row r="889" spans="1:8" ht="15.6">
      <c r="A889" s="4" t="s">
        <v>768</v>
      </c>
      <c r="B889" s="5">
        <v>45233.264972457902</v>
      </c>
      <c r="C889" s="5">
        <v>45235.313141290702</v>
      </c>
      <c r="D889" s="4" t="s">
        <v>94</v>
      </c>
      <c r="E889" s="4" t="s">
        <v>292</v>
      </c>
      <c r="F889" s="4" t="s">
        <v>141</v>
      </c>
      <c r="G889" s="4">
        <f t="shared" ca="1" si="13"/>
        <v>94</v>
      </c>
      <c r="H889" s="4">
        <v>2</v>
      </c>
    </row>
    <row r="890" spans="1:8" ht="15.6">
      <c r="A890" s="4" t="s">
        <v>769</v>
      </c>
      <c r="B890" s="5">
        <v>44967.561409115799</v>
      </c>
      <c r="C890" s="5">
        <v>44971.737963223801</v>
      </c>
      <c r="D890" s="4" t="s">
        <v>98</v>
      </c>
      <c r="E890" s="4" t="s">
        <v>294</v>
      </c>
      <c r="F890" s="4" t="s">
        <v>130</v>
      </c>
      <c r="G890" s="4">
        <f t="shared" ca="1" si="13"/>
        <v>92</v>
      </c>
      <c r="H890" s="4">
        <v>5</v>
      </c>
    </row>
    <row r="891" spans="1:8" ht="15.6">
      <c r="A891" s="4" t="s">
        <v>769</v>
      </c>
      <c r="B891" s="5">
        <v>44967.939474383697</v>
      </c>
      <c r="C891" s="5">
        <v>44971.9418168431</v>
      </c>
      <c r="D891" s="4" t="s">
        <v>98</v>
      </c>
      <c r="E891" s="4" t="s">
        <v>294</v>
      </c>
      <c r="F891" s="4" t="s">
        <v>100</v>
      </c>
      <c r="G891" s="4">
        <f t="shared" ca="1" si="13"/>
        <v>32</v>
      </c>
      <c r="H891" s="4">
        <v>2</v>
      </c>
    </row>
    <row r="892" spans="1:8" ht="15.6">
      <c r="A892" s="4" t="s">
        <v>769</v>
      </c>
      <c r="B892" s="5">
        <v>44967.442789629102</v>
      </c>
      <c r="C892" s="5">
        <v>44971.168098267197</v>
      </c>
      <c r="D892" s="4" t="s">
        <v>98</v>
      </c>
      <c r="E892" s="4" t="s">
        <v>294</v>
      </c>
      <c r="F892" s="4" t="s">
        <v>121</v>
      </c>
      <c r="G892" s="4">
        <f t="shared" ca="1" si="13"/>
        <v>69</v>
      </c>
      <c r="H892" s="4">
        <v>2</v>
      </c>
    </row>
    <row r="893" spans="1:8" ht="15.6">
      <c r="A893" s="4" t="s">
        <v>770</v>
      </c>
      <c r="B893" s="5">
        <v>45151.933057314804</v>
      </c>
      <c r="C893" s="5">
        <v>45155.725794862599</v>
      </c>
      <c r="D893" s="4" t="s">
        <v>94</v>
      </c>
      <c r="E893" s="4" t="s">
        <v>771</v>
      </c>
      <c r="F893" s="4" t="s">
        <v>131</v>
      </c>
      <c r="G893" s="4">
        <f t="shared" ca="1" si="13"/>
        <v>54</v>
      </c>
      <c r="H893" s="4">
        <v>3</v>
      </c>
    </row>
    <row r="894" spans="1:8" ht="15.6">
      <c r="A894" s="4" t="s">
        <v>770</v>
      </c>
      <c r="B894" s="5">
        <v>45151.655982742297</v>
      </c>
      <c r="C894" s="5">
        <v>45155.345055744503</v>
      </c>
      <c r="D894" s="4" t="s">
        <v>94</v>
      </c>
      <c r="E894" s="4" t="s">
        <v>771</v>
      </c>
      <c r="F894" s="4" t="s">
        <v>110</v>
      </c>
      <c r="G894" s="4">
        <f t="shared" ca="1" si="13"/>
        <v>97</v>
      </c>
      <c r="H894" s="4">
        <v>2</v>
      </c>
    </row>
    <row r="895" spans="1:8" ht="15.6">
      <c r="A895" s="4" t="s">
        <v>770</v>
      </c>
      <c r="B895" s="5">
        <v>45151.526064805497</v>
      </c>
      <c r="C895" s="5">
        <v>45155.761974574503</v>
      </c>
      <c r="D895" s="4" t="s">
        <v>94</v>
      </c>
      <c r="E895" s="4" t="s">
        <v>771</v>
      </c>
      <c r="F895" s="4" t="s">
        <v>141</v>
      </c>
      <c r="G895" s="4">
        <f t="shared" ca="1" si="13"/>
        <v>86</v>
      </c>
      <c r="H895" s="4">
        <v>5</v>
      </c>
    </row>
    <row r="896" spans="1:8" ht="15.6">
      <c r="A896" s="4" t="s">
        <v>772</v>
      </c>
      <c r="B896" s="5">
        <v>45019.0952792393</v>
      </c>
      <c r="C896" s="5">
        <v>45021.067189334601</v>
      </c>
      <c r="D896" s="4" t="s">
        <v>98</v>
      </c>
      <c r="E896" s="4" t="s">
        <v>279</v>
      </c>
      <c r="F896" s="4" t="s">
        <v>101</v>
      </c>
      <c r="G896" s="4">
        <f t="shared" ca="1" si="13"/>
        <v>59</v>
      </c>
      <c r="H896" s="4">
        <v>2</v>
      </c>
    </row>
    <row r="897" spans="1:8" ht="15.6">
      <c r="A897" s="4" t="s">
        <v>772</v>
      </c>
      <c r="B897" s="5">
        <v>45019.456836967503</v>
      </c>
      <c r="C897" s="5">
        <v>45021.462300410698</v>
      </c>
      <c r="D897" s="4" t="s">
        <v>98</v>
      </c>
      <c r="E897" s="4" t="s">
        <v>279</v>
      </c>
      <c r="F897" s="4" t="s">
        <v>110</v>
      </c>
      <c r="G897" s="4">
        <f t="shared" ca="1" si="13"/>
        <v>82</v>
      </c>
      <c r="H897" s="4">
        <v>3</v>
      </c>
    </row>
    <row r="898" spans="1:8" ht="15.6">
      <c r="A898" s="4" t="s">
        <v>772</v>
      </c>
      <c r="B898" s="5">
        <v>45019.122883708798</v>
      </c>
      <c r="C898" s="5">
        <v>45021.184446641797</v>
      </c>
      <c r="D898" s="4" t="s">
        <v>98</v>
      </c>
      <c r="E898" s="4" t="s">
        <v>279</v>
      </c>
      <c r="F898" s="4" t="s">
        <v>118</v>
      </c>
      <c r="G898" s="4">
        <f t="shared" ref="G898:G961" ca="1" si="14">RANDBETWEEN(10,100)</f>
        <v>64</v>
      </c>
      <c r="H898" s="4">
        <v>5</v>
      </c>
    </row>
    <row r="899" spans="1:8" ht="15.6">
      <c r="A899" s="4" t="s">
        <v>772</v>
      </c>
      <c r="B899" s="5">
        <v>45019.539324132304</v>
      </c>
      <c r="C899" s="5">
        <v>45021.771538298002</v>
      </c>
      <c r="D899" s="4" t="s">
        <v>98</v>
      </c>
      <c r="E899" s="4" t="s">
        <v>279</v>
      </c>
      <c r="F899" s="4" t="s">
        <v>135</v>
      </c>
      <c r="G899" s="4">
        <f t="shared" ca="1" si="14"/>
        <v>25</v>
      </c>
      <c r="H899" s="4">
        <v>6</v>
      </c>
    </row>
    <row r="900" spans="1:8" ht="15.6">
      <c r="A900" s="4" t="s">
        <v>773</v>
      </c>
      <c r="B900" s="5">
        <v>44593.753495731602</v>
      </c>
      <c r="C900" s="5">
        <v>44597.6934919825</v>
      </c>
      <c r="D900" s="4" t="s">
        <v>98</v>
      </c>
      <c r="E900" s="4" t="s">
        <v>425</v>
      </c>
      <c r="F900" s="4" t="s">
        <v>111</v>
      </c>
      <c r="G900" s="4">
        <f t="shared" ca="1" si="14"/>
        <v>15</v>
      </c>
      <c r="H900" s="4">
        <v>5</v>
      </c>
    </row>
    <row r="901" spans="1:8" ht="15.6">
      <c r="A901" s="4" t="s">
        <v>774</v>
      </c>
      <c r="B901" s="5">
        <v>44684.872993943798</v>
      </c>
      <c r="C901" s="5">
        <v>44686.745876070003</v>
      </c>
      <c r="D901" s="4" t="s">
        <v>98</v>
      </c>
      <c r="E901" s="4" t="s">
        <v>425</v>
      </c>
      <c r="F901" s="4" t="s">
        <v>121</v>
      </c>
      <c r="G901" s="4">
        <f t="shared" ca="1" si="14"/>
        <v>51</v>
      </c>
      <c r="H901" s="4">
        <v>3</v>
      </c>
    </row>
    <row r="902" spans="1:8" ht="15.6">
      <c r="A902" s="4" t="s">
        <v>775</v>
      </c>
      <c r="B902" s="5">
        <v>45270.230720157801</v>
      </c>
      <c r="C902" s="5">
        <v>45274.525817747599</v>
      </c>
      <c r="D902" s="4" t="s">
        <v>114</v>
      </c>
      <c r="E902" s="4" t="s">
        <v>218</v>
      </c>
      <c r="F902" s="4" t="s">
        <v>112</v>
      </c>
      <c r="G902" s="4">
        <f t="shared" ca="1" si="14"/>
        <v>21</v>
      </c>
      <c r="H902" s="4">
        <v>4</v>
      </c>
    </row>
    <row r="903" spans="1:8" ht="15.6">
      <c r="A903" s="4" t="s">
        <v>775</v>
      </c>
      <c r="B903" s="5">
        <v>45270.244919271601</v>
      </c>
      <c r="C903" s="5">
        <v>45274.548076594103</v>
      </c>
      <c r="D903" s="4" t="s">
        <v>114</v>
      </c>
      <c r="E903" s="4" t="s">
        <v>218</v>
      </c>
      <c r="F903" s="4" t="s">
        <v>106</v>
      </c>
      <c r="G903" s="4">
        <f t="shared" ca="1" si="14"/>
        <v>97</v>
      </c>
      <c r="H903" s="4">
        <v>5</v>
      </c>
    </row>
    <row r="904" spans="1:8" ht="15.6">
      <c r="A904" s="4" t="s">
        <v>775</v>
      </c>
      <c r="B904" s="5">
        <v>45270.101471653099</v>
      </c>
      <c r="C904" s="5">
        <v>45274.461919284702</v>
      </c>
      <c r="D904" s="4" t="s">
        <v>114</v>
      </c>
      <c r="E904" s="4" t="s">
        <v>218</v>
      </c>
      <c r="F904" s="4" t="s">
        <v>135</v>
      </c>
      <c r="G904" s="4">
        <f t="shared" ca="1" si="14"/>
        <v>44</v>
      </c>
      <c r="H904" s="4">
        <v>5</v>
      </c>
    </row>
    <row r="905" spans="1:8" ht="15.6">
      <c r="A905" s="4" t="s">
        <v>776</v>
      </c>
      <c r="B905" s="5">
        <v>44856.997944809496</v>
      </c>
      <c r="C905" s="5">
        <v>44860.501050263003</v>
      </c>
      <c r="D905" s="4" t="s">
        <v>98</v>
      </c>
      <c r="E905" s="4" t="s">
        <v>241</v>
      </c>
      <c r="F905" s="4" t="s">
        <v>121</v>
      </c>
      <c r="G905" s="4">
        <f t="shared" ca="1" si="14"/>
        <v>75</v>
      </c>
      <c r="H905" s="4">
        <v>2</v>
      </c>
    </row>
    <row r="906" spans="1:8" ht="15.6">
      <c r="A906" s="4" t="s">
        <v>776</v>
      </c>
      <c r="B906" s="5">
        <v>44856.233542781403</v>
      </c>
      <c r="C906" s="5">
        <v>44860.723331289097</v>
      </c>
      <c r="D906" s="4" t="s">
        <v>98</v>
      </c>
      <c r="E906" s="4" t="s">
        <v>241</v>
      </c>
      <c r="F906" s="4" t="s">
        <v>141</v>
      </c>
      <c r="G906" s="4">
        <f t="shared" ca="1" si="14"/>
        <v>65</v>
      </c>
      <c r="H906" s="4">
        <v>1</v>
      </c>
    </row>
    <row r="907" spans="1:8" ht="15.6">
      <c r="A907" s="4" t="s">
        <v>776</v>
      </c>
      <c r="B907" s="5">
        <v>44856.995762580998</v>
      </c>
      <c r="C907" s="5">
        <v>44860.833411355597</v>
      </c>
      <c r="D907" s="4" t="s">
        <v>98</v>
      </c>
      <c r="E907" s="4" t="s">
        <v>241</v>
      </c>
      <c r="F907" s="4" t="s">
        <v>131</v>
      </c>
      <c r="G907" s="4">
        <f t="shared" ca="1" si="14"/>
        <v>50</v>
      </c>
      <c r="H907" s="4">
        <v>5</v>
      </c>
    </row>
    <row r="908" spans="1:8" ht="15.6">
      <c r="A908" s="4" t="s">
        <v>777</v>
      </c>
      <c r="B908" s="5">
        <v>44674.6162859428</v>
      </c>
      <c r="C908" s="5">
        <v>44674.618021907401</v>
      </c>
      <c r="D908" s="4" t="s">
        <v>98</v>
      </c>
      <c r="E908" s="4" t="s">
        <v>207</v>
      </c>
      <c r="F908" s="4" t="s">
        <v>135</v>
      </c>
      <c r="G908" s="4">
        <f t="shared" ca="1" si="14"/>
        <v>83</v>
      </c>
      <c r="H908" s="4">
        <v>3</v>
      </c>
    </row>
    <row r="909" spans="1:8" ht="15.6">
      <c r="A909" s="4" t="s">
        <v>777</v>
      </c>
      <c r="B909" s="5">
        <v>44674.830204921403</v>
      </c>
      <c r="C909" s="5">
        <v>44674.143817039701</v>
      </c>
      <c r="D909" s="4" t="s">
        <v>98</v>
      </c>
      <c r="E909" s="4" t="s">
        <v>207</v>
      </c>
      <c r="F909" s="4" t="s">
        <v>130</v>
      </c>
      <c r="G909" s="4">
        <f t="shared" ca="1" si="14"/>
        <v>63</v>
      </c>
      <c r="H909" s="4">
        <v>3</v>
      </c>
    </row>
    <row r="910" spans="1:8" ht="15.6">
      <c r="A910" s="4" t="s">
        <v>778</v>
      </c>
      <c r="B910" s="5">
        <v>44634.860091807401</v>
      </c>
      <c r="C910" s="5">
        <v>44639.061019142602</v>
      </c>
      <c r="D910" s="4" t="s">
        <v>98</v>
      </c>
      <c r="E910" s="4" t="s">
        <v>720</v>
      </c>
      <c r="F910" s="4" t="s">
        <v>100</v>
      </c>
      <c r="G910" s="4">
        <f t="shared" ca="1" si="14"/>
        <v>78</v>
      </c>
      <c r="H910" s="4">
        <v>2</v>
      </c>
    </row>
    <row r="911" spans="1:8" ht="15.6">
      <c r="A911" s="4" t="s">
        <v>779</v>
      </c>
      <c r="B911" s="5">
        <v>44365.761628415101</v>
      </c>
      <c r="C911" s="5">
        <v>44372.472419095997</v>
      </c>
      <c r="D911" s="4" t="s">
        <v>98</v>
      </c>
      <c r="E911" s="4" t="s">
        <v>154</v>
      </c>
      <c r="F911" s="4" t="s">
        <v>122</v>
      </c>
      <c r="G911" s="4">
        <f t="shared" ca="1" si="14"/>
        <v>74</v>
      </c>
      <c r="H911" s="4">
        <v>1</v>
      </c>
    </row>
    <row r="912" spans="1:8" ht="15.6">
      <c r="A912" s="4" t="s">
        <v>779</v>
      </c>
      <c r="B912" s="5">
        <v>44365.452402357601</v>
      </c>
      <c r="C912" s="5">
        <v>44372.4201695913</v>
      </c>
      <c r="D912" s="4" t="s">
        <v>98</v>
      </c>
      <c r="E912" s="4" t="s">
        <v>154</v>
      </c>
      <c r="F912" s="4" t="s">
        <v>141</v>
      </c>
      <c r="G912" s="4">
        <f t="shared" ca="1" si="14"/>
        <v>76</v>
      </c>
      <c r="H912" s="4">
        <v>2</v>
      </c>
    </row>
    <row r="913" spans="1:8" ht="15.6">
      <c r="A913" s="4" t="s">
        <v>779</v>
      </c>
      <c r="B913" s="5">
        <v>44365.052807968801</v>
      </c>
      <c r="C913" s="5">
        <v>44372.789132071899</v>
      </c>
      <c r="D913" s="4" t="s">
        <v>98</v>
      </c>
      <c r="E913" s="4" t="s">
        <v>154</v>
      </c>
      <c r="F913" s="4" t="s">
        <v>100</v>
      </c>
      <c r="G913" s="4">
        <f t="shared" ca="1" si="14"/>
        <v>98</v>
      </c>
      <c r="H913" s="4">
        <v>2</v>
      </c>
    </row>
    <row r="914" spans="1:8" ht="15.6">
      <c r="A914" s="4" t="s">
        <v>779</v>
      </c>
      <c r="B914" s="5">
        <v>44365.798259333998</v>
      </c>
      <c r="C914" s="5">
        <v>44372.838375077401</v>
      </c>
      <c r="D914" s="4" t="s">
        <v>98</v>
      </c>
      <c r="E914" s="4" t="s">
        <v>154</v>
      </c>
      <c r="F914" s="4" t="s">
        <v>131</v>
      </c>
      <c r="G914" s="4">
        <f t="shared" ca="1" si="14"/>
        <v>53</v>
      </c>
      <c r="H914" s="4">
        <v>2</v>
      </c>
    </row>
    <row r="915" spans="1:8" ht="15.6">
      <c r="A915" s="4" t="s">
        <v>780</v>
      </c>
      <c r="B915" s="5">
        <v>45169.906237955998</v>
      </c>
      <c r="C915" s="5">
        <v>45173.399144118397</v>
      </c>
      <c r="D915" s="4" t="s">
        <v>114</v>
      </c>
      <c r="E915" s="4" t="s">
        <v>781</v>
      </c>
      <c r="F915" s="4" t="s">
        <v>106</v>
      </c>
      <c r="G915" s="4">
        <f t="shared" ca="1" si="14"/>
        <v>18</v>
      </c>
      <c r="H915" s="4">
        <v>1</v>
      </c>
    </row>
    <row r="916" spans="1:8" ht="15.6">
      <c r="A916" s="4" t="s">
        <v>782</v>
      </c>
      <c r="B916" s="5">
        <v>44661.298611359598</v>
      </c>
      <c r="C916" s="5">
        <v>44664.998694040798</v>
      </c>
      <c r="D916" s="4" t="s">
        <v>94</v>
      </c>
      <c r="E916" s="4" t="s">
        <v>783</v>
      </c>
      <c r="F916" s="4" t="s">
        <v>96</v>
      </c>
      <c r="G916" s="4">
        <f t="shared" ca="1" si="14"/>
        <v>100</v>
      </c>
      <c r="H916" s="4">
        <v>5</v>
      </c>
    </row>
    <row r="917" spans="1:8" ht="15.6">
      <c r="A917" s="4" t="s">
        <v>784</v>
      </c>
      <c r="B917" s="5">
        <v>44446.997186388799</v>
      </c>
      <c r="C917" s="5">
        <v>44451.496615903197</v>
      </c>
      <c r="D917" s="4" t="s">
        <v>94</v>
      </c>
      <c r="E917" s="4" t="s">
        <v>418</v>
      </c>
      <c r="F917" s="4" t="s">
        <v>135</v>
      </c>
      <c r="G917" s="4">
        <f t="shared" ca="1" si="14"/>
        <v>33</v>
      </c>
      <c r="H917" s="4">
        <v>9</v>
      </c>
    </row>
    <row r="918" spans="1:8" ht="15.6">
      <c r="A918" s="4" t="s">
        <v>785</v>
      </c>
      <c r="B918" s="5">
        <v>44540.706234878497</v>
      </c>
      <c r="C918" s="5">
        <v>44545.109444271999</v>
      </c>
      <c r="D918" s="4" t="s">
        <v>94</v>
      </c>
      <c r="E918" s="4" t="s">
        <v>573</v>
      </c>
      <c r="F918" s="4" t="s">
        <v>96</v>
      </c>
      <c r="G918" s="4">
        <f t="shared" ca="1" si="14"/>
        <v>49</v>
      </c>
      <c r="H918" s="4">
        <v>3</v>
      </c>
    </row>
    <row r="919" spans="1:8" ht="15.6">
      <c r="A919" s="4" t="s">
        <v>785</v>
      </c>
      <c r="B919" s="5">
        <v>44540.492379891803</v>
      </c>
      <c r="C919" s="5">
        <v>44545.955118227001</v>
      </c>
      <c r="D919" s="4" t="s">
        <v>94</v>
      </c>
      <c r="E919" s="4" t="s">
        <v>573</v>
      </c>
      <c r="F919" s="4" t="s">
        <v>112</v>
      </c>
      <c r="G919" s="4">
        <f t="shared" ca="1" si="14"/>
        <v>77</v>
      </c>
      <c r="H919" s="4">
        <v>7</v>
      </c>
    </row>
    <row r="920" spans="1:8" ht="15.6">
      <c r="A920" s="4" t="s">
        <v>786</v>
      </c>
      <c r="B920" s="5">
        <v>44378.2850389206</v>
      </c>
      <c r="C920" s="5">
        <v>44383.584574483903</v>
      </c>
      <c r="D920" s="4" t="s">
        <v>98</v>
      </c>
      <c r="E920" s="4" t="s">
        <v>787</v>
      </c>
      <c r="F920" s="4" t="s">
        <v>135</v>
      </c>
      <c r="G920" s="4">
        <f t="shared" ca="1" si="14"/>
        <v>30</v>
      </c>
      <c r="H920" s="4">
        <v>3</v>
      </c>
    </row>
    <row r="921" spans="1:8" ht="15.6">
      <c r="A921" s="4" t="s">
        <v>786</v>
      </c>
      <c r="B921" s="5">
        <v>44378.711490348302</v>
      </c>
      <c r="C921" s="5">
        <v>44383.3565209179</v>
      </c>
      <c r="D921" s="4" t="s">
        <v>98</v>
      </c>
      <c r="E921" s="4" t="s">
        <v>787</v>
      </c>
      <c r="F921" s="4" t="s">
        <v>131</v>
      </c>
      <c r="G921" s="4">
        <f t="shared" ca="1" si="14"/>
        <v>56</v>
      </c>
      <c r="H921" s="4">
        <v>2</v>
      </c>
    </row>
    <row r="922" spans="1:8" ht="15.6">
      <c r="A922" s="4" t="s">
        <v>788</v>
      </c>
      <c r="B922" s="5">
        <v>44203.5616196802</v>
      </c>
      <c r="C922" s="5">
        <v>44205.887945803399</v>
      </c>
      <c r="D922" s="4" t="s">
        <v>98</v>
      </c>
      <c r="E922" s="4" t="s">
        <v>789</v>
      </c>
      <c r="F922" s="4" t="s">
        <v>118</v>
      </c>
      <c r="G922" s="4">
        <f t="shared" ca="1" si="14"/>
        <v>18</v>
      </c>
      <c r="H922" s="4">
        <v>1</v>
      </c>
    </row>
    <row r="923" spans="1:8" ht="15.6">
      <c r="A923" s="4" t="s">
        <v>788</v>
      </c>
      <c r="B923" s="5">
        <v>44203.531223595703</v>
      </c>
      <c r="C923" s="5">
        <v>44205.146604687703</v>
      </c>
      <c r="D923" s="4" t="s">
        <v>98</v>
      </c>
      <c r="E923" s="4" t="s">
        <v>789</v>
      </c>
      <c r="F923" s="4" t="s">
        <v>122</v>
      </c>
      <c r="G923" s="4">
        <f t="shared" ca="1" si="14"/>
        <v>56</v>
      </c>
      <c r="H923" s="4">
        <v>2</v>
      </c>
    </row>
    <row r="924" spans="1:8" ht="15.6">
      <c r="A924" s="4" t="s">
        <v>788</v>
      </c>
      <c r="B924" s="5">
        <v>44203.078980293401</v>
      </c>
      <c r="C924" s="5">
        <v>44205.623316874298</v>
      </c>
      <c r="D924" s="4" t="s">
        <v>98</v>
      </c>
      <c r="E924" s="4" t="s">
        <v>789</v>
      </c>
      <c r="F924" s="4" t="s">
        <v>135</v>
      </c>
      <c r="G924" s="4">
        <f t="shared" ca="1" si="14"/>
        <v>23</v>
      </c>
      <c r="H924" s="4">
        <v>3</v>
      </c>
    </row>
    <row r="925" spans="1:8" ht="15.6">
      <c r="A925" s="4" t="s">
        <v>788</v>
      </c>
      <c r="B925" s="5">
        <v>44203.773981598002</v>
      </c>
      <c r="C925" s="5">
        <v>44205.860384327803</v>
      </c>
      <c r="D925" s="4" t="s">
        <v>98</v>
      </c>
      <c r="E925" s="4" t="s">
        <v>789</v>
      </c>
      <c r="F925" s="4" t="s">
        <v>135</v>
      </c>
      <c r="G925" s="4">
        <f t="shared" ca="1" si="14"/>
        <v>74</v>
      </c>
      <c r="H925" s="4">
        <v>3</v>
      </c>
    </row>
    <row r="926" spans="1:8" ht="15.6">
      <c r="A926" s="4" t="s">
        <v>788</v>
      </c>
      <c r="B926" s="5">
        <v>44203.214158623603</v>
      </c>
      <c r="C926" s="5">
        <v>44205.753749492702</v>
      </c>
      <c r="D926" s="4" t="s">
        <v>98</v>
      </c>
      <c r="E926" s="4" t="s">
        <v>789</v>
      </c>
      <c r="F926" s="4" t="s">
        <v>121</v>
      </c>
      <c r="G926" s="4">
        <f t="shared" ca="1" si="14"/>
        <v>94</v>
      </c>
      <c r="H926" s="4">
        <v>3</v>
      </c>
    </row>
    <row r="927" spans="1:8" ht="15.6">
      <c r="A927" s="4" t="s">
        <v>790</v>
      </c>
      <c r="B927" s="5">
        <v>44843.013587350397</v>
      </c>
      <c r="C927" s="5">
        <v>44848.223392924403</v>
      </c>
      <c r="D927" s="4" t="s">
        <v>94</v>
      </c>
      <c r="E927" s="4" t="s">
        <v>183</v>
      </c>
      <c r="F927" s="4" t="s">
        <v>101</v>
      </c>
      <c r="G927" s="4">
        <f t="shared" ca="1" si="14"/>
        <v>100</v>
      </c>
      <c r="H927" s="4">
        <v>2</v>
      </c>
    </row>
    <row r="928" spans="1:8" ht="15.6">
      <c r="A928" s="4" t="s">
        <v>791</v>
      </c>
      <c r="B928" s="5">
        <v>44964.245575706402</v>
      </c>
      <c r="C928" s="5">
        <v>44966.772529150898</v>
      </c>
      <c r="D928" s="4" t="s">
        <v>98</v>
      </c>
      <c r="E928" s="4" t="s">
        <v>449</v>
      </c>
      <c r="F928" s="4" t="s">
        <v>125</v>
      </c>
      <c r="G928" s="4">
        <f t="shared" ca="1" si="14"/>
        <v>74</v>
      </c>
      <c r="H928" s="4">
        <v>1</v>
      </c>
    </row>
    <row r="929" spans="1:8" ht="15.6">
      <c r="A929" s="4" t="s">
        <v>791</v>
      </c>
      <c r="B929" s="5">
        <v>44964.729940784797</v>
      </c>
      <c r="C929" s="5">
        <v>44966.718556369</v>
      </c>
      <c r="D929" s="4" t="s">
        <v>98</v>
      </c>
      <c r="E929" s="4" t="s">
        <v>449</v>
      </c>
      <c r="F929" s="4" t="s">
        <v>101</v>
      </c>
      <c r="G929" s="4">
        <f t="shared" ca="1" si="14"/>
        <v>51</v>
      </c>
      <c r="H929" s="4">
        <v>1</v>
      </c>
    </row>
    <row r="930" spans="1:8" ht="15.6">
      <c r="A930" s="4" t="s">
        <v>792</v>
      </c>
      <c r="B930" s="5">
        <v>44577.340576770097</v>
      </c>
      <c r="C930" s="5">
        <v>44580.831040429999</v>
      </c>
      <c r="D930" s="4" t="s">
        <v>98</v>
      </c>
      <c r="E930" s="4" t="s">
        <v>793</v>
      </c>
      <c r="F930" s="4" t="s">
        <v>131</v>
      </c>
      <c r="G930" s="4">
        <f t="shared" ca="1" si="14"/>
        <v>72</v>
      </c>
      <c r="H930" s="4">
        <v>5</v>
      </c>
    </row>
    <row r="931" spans="1:8" ht="15.6">
      <c r="A931" s="4" t="s">
        <v>792</v>
      </c>
      <c r="B931" s="5">
        <v>44577.610907195602</v>
      </c>
      <c r="C931" s="5">
        <v>44580.452226508001</v>
      </c>
      <c r="D931" s="4" t="s">
        <v>98</v>
      </c>
      <c r="E931" s="4" t="s">
        <v>793</v>
      </c>
      <c r="F931" s="4" t="s">
        <v>122</v>
      </c>
      <c r="G931" s="4">
        <f t="shared" ca="1" si="14"/>
        <v>74</v>
      </c>
      <c r="H931" s="4">
        <v>2</v>
      </c>
    </row>
    <row r="932" spans="1:8" ht="15.6">
      <c r="A932" s="4" t="s">
        <v>794</v>
      </c>
      <c r="B932" s="5">
        <v>44495.8778884395</v>
      </c>
      <c r="C932" s="5">
        <v>44499.109050569197</v>
      </c>
      <c r="D932" s="4" t="s">
        <v>98</v>
      </c>
      <c r="E932" s="4" t="s">
        <v>120</v>
      </c>
      <c r="F932" s="4" t="s">
        <v>106</v>
      </c>
      <c r="G932" s="4">
        <f t="shared" ca="1" si="14"/>
        <v>36</v>
      </c>
      <c r="H932" s="4">
        <v>1</v>
      </c>
    </row>
    <row r="933" spans="1:8" ht="15.6">
      <c r="A933" s="4" t="s">
        <v>794</v>
      </c>
      <c r="B933" s="5">
        <v>44495.120499810597</v>
      </c>
      <c r="C933" s="5">
        <v>44499.893905135497</v>
      </c>
      <c r="D933" s="4" t="s">
        <v>98</v>
      </c>
      <c r="E933" s="4" t="s">
        <v>120</v>
      </c>
      <c r="F933" s="4" t="s">
        <v>118</v>
      </c>
      <c r="G933" s="4">
        <f t="shared" ca="1" si="14"/>
        <v>57</v>
      </c>
      <c r="H933" s="4">
        <v>1</v>
      </c>
    </row>
    <row r="934" spans="1:8" ht="15.6">
      <c r="A934" s="4" t="s">
        <v>794</v>
      </c>
      <c r="B934" s="5">
        <v>44495.838771761097</v>
      </c>
      <c r="C934" s="5">
        <v>44499.199981497899</v>
      </c>
      <c r="D934" s="4" t="s">
        <v>98</v>
      </c>
      <c r="E934" s="4" t="s">
        <v>120</v>
      </c>
      <c r="F934" s="4" t="s">
        <v>110</v>
      </c>
      <c r="G934" s="4">
        <f t="shared" ca="1" si="14"/>
        <v>36</v>
      </c>
      <c r="H934" s="4">
        <v>1</v>
      </c>
    </row>
    <row r="935" spans="1:8" ht="15.6">
      <c r="A935" s="4" t="s">
        <v>794</v>
      </c>
      <c r="B935" s="5">
        <v>44495.5577186843</v>
      </c>
      <c r="C935" s="5">
        <v>44499.682476048001</v>
      </c>
      <c r="D935" s="4" t="s">
        <v>98</v>
      </c>
      <c r="E935" s="4" t="s">
        <v>120</v>
      </c>
      <c r="F935" s="4" t="s">
        <v>131</v>
      </c>
      <c r="G935" s="4">
        <f t="shared" ca="1" si="14"/>
        <v>37</v>
      </c>
      <c r="H935" s="4">
        <v>5</v>
      </c>
    </row>
    <row r="936" spans="1:8" ht="15.6">
      <c r="A936" s="4" t="s">
        <v>795</v>
      </c>
      <c r="B936" s="5">
        <v>44452.547007026304</v>
      </c>
      <c r="C936" s="5">
        <v>44453.819783728301</v>
      </c>
      <c r="D936" s="4" t="s">
        <v>98</v>
      </c>
      <c r="E936" s="4" t="s">
        <v>183</v>
      </c>
      <c r="F936" s="4" t="s">
        <v>118</v>
      </c>
      <c r="G936" s="4">
        <f t="shared" ca="1" si="14"/>
        <v>92</v>
      </c>
      <c r="H936" s="4">
        <v>2</v>
      </c>
    </row>
    <row r="937" spans="1:8" ht="15.6">
      <c r="A937" s="4" t="s">
        <v>796</v>
      </c>
      <c r="B937" s="5">
        <v>45289.5623729621</v>
      </c>
      <c r="C937" s="5">
        <v>45291.112130632901</v>
      </c>
      <c r="D937" s="4" t="s">
        <v>94</v>
      </c>
      <c r="E937" s="4" t="s">
        <v>203</v>
      </c>
      <c r="F937" s="4" t="s">
        <v>130</v>
      </c>
      <c r="G937" s="4">
        <f t="shared" ca="1" si="14"/>
        <v>78</v>
      </c>
      <c r="H937" s="4">
        <v>5</v>
      </c>
    </row>
    <row r="938" spans="1:8" ht="15.6">
      <c r="A938" s="4" t="s">
        <v>797</v>
      </c>
      <c r="B938" s="5">
        <v>45062.568442306503</v>
      </c>
      <c r="C938" s="5">
        <v>45067.225922439997</v>
      </c>
      <c r="D938" s="4" t="s">
        <v>98</v>
      </c>
      <c r="E938" s="4" t="s">
        <v>197</v>
      </c>
      <c r="F938" s="4" t="s">
        <v>141</v>
      </c>
      <c r="G938" s="4">
        <f t="shared" ca="1" si="14"/>
        <v>29</v>
      </c>
      <c r="H938" s="4">
        <v>2</v>
      </c>
    </row>
    <row r="939" spans="1:8" ht="15.6">
      <c r="A939" s="4" t="s">
        <v>797</v>
      </c>
      <c r="B939" s="5">
        <v>45062.505606856197</v>
      </c>
      <c r="C939" s="5">
        <v>45067.4046469573</v>
      </c>
      <c r="D939" s="4" t="s">
        <v>98</v>
      </c>
      <c r="E939" s="4" t="s">
        <v>197</v>
      </c>
      <c r="F939" s="4" t="s">
        <v>122</v>
      </c>
      <c r="G939" s="4">
        <f t="shared" ca="1" si="14"/>
        <v>58</v>
      </c>
      <c r="H939" s="4">
        <v>3</v>
      </c>
    </row>
    <row r="940" spans="1:8" ht="15.6">
      <c r="A940" s="4" t="s">
        <v>798</v>
      </c>
      <c r="B940" s="5">
        <v>45139.917608577103</v>
      </c>
      <c r="C940" s="5">
        <v>45142.788908026399</v>
      </c>
      <c r="D940" s="4" t="s">
        <v>98</v>
      </c>
      <c r="E940" s="4" t="s">
        <v>799</v>
      </c>
      <c r="F940" s="4" t="s">
        <v>96</v>
      </c>
      <c r="G940" s="4">
        <f t="shared" ca="1" si="14"/>
        <v>16</v>
      </c>
      <c r="H940" s="4">
        <v>2</v>
      </c>
    </row>
    <row r="941" spans="1:8" ht="15.6">
      <c r="A941" s="4" t="s">
        <v>800</v>
      </c>
      <c r="B941" s="5">
        <v>44578.009618969299</v>
      </c>
      <c r="C941" s="5">
        <v>44583.387736728298</v>
      </c>
      <c r="D941" s="4" t="s">
        <v>114</v>
      </c>
      <c r="E941" s="4" t="s">
        <v>292</v>
      </c>
      <c r="F941" s="4" t="s">
        <v>101</v>
      </c>
      <c r="G941" s="4">
        <f t="shared" ca="1" si="14"/>
        <v>43</v>
      </c>
      <c r="H941" s="4">
        <v>3</v>
      </c>
    </row>
    <row r="942" spans="1:8" ht="15.6">
      <c r="A942" s="4" t="s">
        <v>801</v>
      </c>
      <c r="B942" s="5">
        <v>45215.2284633319</v>
      </c>
      <c r="C942" s="5">
        <v>45220.7379374007</v>
      </c>
      <c r="D942" s="4" t="s">
        <v>98</v>
      </c>
      <c r="E942" s="4" t="s">
        <v>597</v>
      </c>
      <c r="F942" s="4" t="s">
        <v>112</v>
      </c>
      <c r="G942" s="4">
        <f t="shared" ca="1" si="14"/>
        <v>72</v>
      </c>
      <c r="H942" s="4">
        <v>2</v>
      </c>
    </row>
    <row r="943" spans="1:8" ht="15.6">
      <c r="A943" s="4" t="s">
        <v>801</v>
      </c>
      <c r="B943" s="5">
        <v>45215.3111691991</v>
      </c>
      <c r="C943" s="5">
        <v>45220.290418771197</v>
      </c>
      <c r="D943" s="4" t="s">
        <v>98</v>
      </c>
      <c r="E943" s="4" t="s">
        <v>597</v>
      </c>
      <c r="F943" s="4" t="s">
        <v>121</v>
      </c>
      <c r="G943" s="4">
        <f t="shared" ca="1" si="14"/>
        <v>24</v>
      </c>
      <c r="H943" s="4">
        <v>3</v>
      </c>
    </row>
    <row r="944" spans="1:8" ht="15.6">
      <c r="A944" s="4" t="s">
        <v>802</v>
      </c>
      <c r="B944" s="5">
        <v>44333.841756319001</v>
      </c>
      <c r="C944" s="5">
        <v>44338.201384325803</v>
      </c>
      <c r="D944" s="4" t="s">
        <v>114</v>
      </c>
      <c r="E944" s="4" t="s">
        <v>500</v>
      </c>
      <c r="F944" s="4" t="s">
        <v>122</v>
      </c>
      <c r="G944" s="4">
        <f t="shared" ca="1" si="14"/>
        <v>100</v>
      </c>
      <c r="H944" s="4">
        <v>2</v>
      </c>
    </row>
    <row r="945" spans="1:8" ht="15.6">
      <c r="A945" s="4" t="s">
        <v>803</v>
      </c>
      <c r="B945" s="5">
        <v>44600.5292849381</v>
      </c>
      <c r="C945" s="5">
        <v>44602.330134200303</v>
      </c>
      <c r="D945" s="4" t="s">
        <v>98</v>
      </c>
      <c r="E945" s="4" t="s">
        <v>804</v>
      </c>
      <c r="F945" s="4" t="s">
        <v>122</v>
      </c>
      <c r="G945" s="4">
        <f t="shared" ca="1" si="14"/>
        <v>38</v>
      </c>
      <c r="H945" s="4">
        <v>5</v>
      </c>
    </row>
    <row r="946" spans="1:8" ht="15.6">
      <c r="A946" s="4" t="s">
        <v>805</v>
      </c>
      <c r="B946" s="5">
        <v>44864.929231535301</v>
      </c>
      <c r="C946" s="5">
        <v>44867.204974114997</v>
      </c>
      <c r="D946" s="4" t="s">
        <v>98</v>
      </c>
      <c r="E946" s="4" t="s">
        <v>806</v>
      </c>
      <c r="F946" s="4" t="s">
        <v>122</v>
      </c>
      <c r="G946" s="4">
        <f t="shared" ca="1" si="14"/>
        <v>32</v>
      </c>
      <c r="H946" s="4">
        <v>4</v>
      </c>
    </row>
    <row r="947" spans="1:8" ht="15.6">
      <c r="A947" s="4" t="s">
        <v>807</v>
      </c>
      <c r="B947" s="5">
        <v>45069.244229829201</v>
      </c>
      <c r="C947" s="5">
        <v>45074.209718845203</v>
      </c>
      <c r="D947" s="4" t="s">
        <v>98</v>
      </c>
      <c r="E947" s="4" t="s">
        <v>808</v>
      </c>
      <c r="F947" s="4" t="s">
        <v>112</v>
      </c>
      <c r="G947" s="4">
        <f t="shared" ca="1" si="14"/>
        <v>89</v>
      </c>
      <c r="H947" s="4">
        <v>2</v>
      </c>
    </row>
    <row r="948" spans="1:8" ht="15.6">
      <c r="A948" s="4" t="s">
        <v>809</v>
      </c>
      <c r="B948" s="5">
        <v>44784.434524906697</v>
      </c>
      <c r="C948" s="5">
        <v>44790.611229298003</v>
      </c>
      <c r="D948" s="4" t="s">
        <v>94</v>
      </c>
      <c r="E948" s="4" t="s">
        <v>810</v>
      </c>
      <c r="F948" s="4" t="s">
        <v>141</v>
      </c>
      <c r="G948" s="4">
        <f t="shared" ca="1" si="14"/>
        <v>51</v>
      </c>
      <c r="H948" s="4">
        <v>1</v>
      </c>
    </row>
    <row r="949" spans="1:8" ht="15.6">
      <c r="A949" s="4" t="s">
        <v>811</v>
      </c>
      <c r="B949" s="5">
        <v>44558.3083319695</v>
      </c>
      <c r="C949" s="5">
        <v>44560.451389303998</v>
      </c>
      <c r="D949" s="4" t="s">
        <v>98</v>
      </c>
      <c r="E949" s="4" t="s">
        <v>682</v>
      </c>
      <c r="F949" s="4" t="s">
        <v>109</v>
      </c>
      <c r="G949" s="4">
        <f t="shared" ca="1" si="14"/>
        <v>63</v>
      </c>
      <c r="H949" s="4">
        <v>3</v>
      </c>
    </row>
    <row r="950" spans="1:8" ht="15.6">
      <c r="A950" s="4" t="s">
        <v>811</v>
      </c>
      <c r="B950" s="5">
        <v>44558.2646936612</v>
      </c>
      <c r="C950" s="5">
        <v>44560.679441900698</v>
      </c>
      <c r="D950" s="4" t="s">
        <v>98</v>
      </c>
      <c r="E950" s="4" t="s">
        <v>682</v>
      </c>
      <c r="F950" s="4" t="s">
        <v>118</v>
      </c>
      <c r="G950" s="4">
        <f t="shared" ca="1" si="14"/>
        <v>96</v>
      </c>
      <c r="H950" s="4">
        <v>5</v>
      </c>
    </row>
    <row r="951" spans="1:8" ht="15.6">
      <c r="A951" s="4" t="s">
        <v>811</v>
      </c>
      <c r="B951" s="5">
        <v>44558.808230026101</v>
      </c>
      <c r="C951" s="5">
        <v>44560.190938617299</v>
      </c>
      <c r="D951" s="4" t="s">
        <v>98</v>
      </c>
      <c r="E951" s="4" t="s">
        <v>682</v>
      </c>
      <c r="F951" s="4" t="s">
        <v>101</v>
      </c>
      <c r="G951" s="4">
        <f t="shared" ca="1" si="14"/>
        <v>28</v>
      </c>
      <c r="H951" s="4">
        <v>2</v>
      </c>
    </row>
    <row r="952" spans="1:8" ht="15.6">
      <c r="A952" s="4" t="s">
        <v>811</v>
      </c>
      <c r="B952" s="5">
        <v>44558.522006145897</v>
      </c>
      <c r="C952" s="5">
        <v>44560.367935159702</v>
      </c>
      <c r="D952" s="4" t="s">
        <v>98</v>
      </c>
      <c r="E952" s="4" t="s">
        <v>682</v>
      </c>
      <c r="F952" s="4" t="s">
        <v>106</v>
      </c>
      <c r="G952" s="4">
        <f t="shared" ca="1" si="14"/>
        <v>10</v>
      </c>
      <c r="H952" s="4">
        <v>2</v>
      </c>
    </row>
    <row r="953" spans="1:8" ht="15.6">
      <c r="A953" s="4" t="s">
        <v>812</v>
      </c>
      <c r="B953" s="5">
        <v>44882.434276993001</v>
      </c>
      <c r="C953" s="5">
        <v>44887.408005138699</v>
      </c>
      <c r="D953" s="4" t="s">
        <v>114</v>
      </c>
      <c r="E953" s="4" t="s">
        <v>248</v>
      </c>
      <c r="F953" s="4" t="s">
        <v>121</v>
      </c>
      <c r="G953" s="4">
        <f t="shared" ca="1" si="14"/>
        <v>31</v>
      </c>
      <c r="H953" s="4">
        <v>5</v>
      </c>
    </row>
    <row r="954" spans="1:8" ht="15.6">
      <c r="A954" s="4" t="s">
        <v>813</v>
      </c>
      <c r="B954" s="5">
        <v>44564.2542786419</v>
      </c>
      <c r="C954" s="5">
        <v>44569.127089399197</v>
      </c>
      <c r="D954" s="4" t="s">
        <v>114</v>
      </c>
      <c r="E954" s="4" t="s">
        <v>814</v>
      </c>
      <c r="F954" s="4" t="s">
        <v>121</v>
      </c>
      <c r="G954" s="4">
        <f t="shared" ca="1" si="14"/>
        <v>56</v>
      </c>
      <c r="H954" s="4">
        <v>4</v>
      </c>
    </row>
    <row r="955" spans="1:8" ht="15.6">
      <c r="A955" s="4" t="s">
        <v>815</v>
      </c>
      <c r="B955" s="5">
        <v>44305.9146399827</v>
      </c>
      <c r="C955" s="5">
        <v>44310.995241791003</v>
      </c>
      <c r="D955" s="4" t="s">
        <v>98</v>
      </c>
      <c r="E955" s="4" t="s">
        <v>205</v>
      </c>
      <c r="F955" s="4" t="s">
        <v>110</v>
      </c>
      <c r="G955" s="4">
        <f t="shared" ca="1" si="14"/>
        <v>91</v>
      </c>
      <c r="H955" s="4">
        <v>5</v>
      </c>
    </row>
    <row r="956" spans="1:8" ht="15.6">
      <c r="A956" s="4" t="s">
        <v>815</v>
      </c>
      <c r="B956" s="5">
        <v>44305.3543906013</v>
      </c>
      <c r="C956" s="5">
        <v>44310.883974812001</v>
      </c>
      <c r="D956" s="4" t="s">
        <v>98</v>
      </c>
      <c r="E956" s="4" t="s">
        <v>205</v>
      </c>
      <c r="F956" s="4" t="s">
        <v>110</v>
      </c>
      <c r="G956" s="4">
        <f t="shared" ca="1" si="14"/>
        <v>83</v>
      </c>
      <c r="H956" s="4">
        <v>3</v>
      </c>
    </row>
    <row r="957" spans="1:8" ht="15.6">
      <c r="A957" s="4" t="s">
        <v>816</v>
      </c>
      <c r="B957" s="5">
        <v>44899.3543491124</v>
      </c>
      <c r="C957" s="5">
        <v>44901.455165237698</v>
      </c>
      <c r="D957" s="4" t="s">
        <v>98</v>
      </c>
      <c r="E957" s="4" t="s">
        <v>146</v>
      </c>
      <c r="F957" s="4" t="s">
        <v>122</v>
      </c>
      <c r="G957" s="4">
        <f t="shared" ca="1" si="14"/>
        <v>63</v>
      </c>
      <c r="H957" s="4">
        <v>5</v>
      </c>
    </row>
    <row r="958" spans="1:8" ht="15.6">
      <c r="A958" s="4" t="s">
        <v>817</v>
      </c>
      <c r="B958" s="5">
        <v>44435.0701870021</v>
      </c>
      <c r="C958" s="5">
        <v>44437.934574183797</v>
      </c>
      <c r="D958" s="4" t="s">
        <v>94</v>
      </c>
      <c r="E958" s="4" t="s">
        <v>140</v>
      </c>
      <c r="F958" s="4" t="s">
        <v>131</v>
      </c>
      <c r="G958" s="4">
        <f t="shared" ca="1" si="14"/>
        <v>25</v>
      </c>
      <c r="H958" s="4">
        <v>6</v>
      </c>
    </row>
    <row r="959" spans="1:8" ht="15.6">
      <c r="A959" s="4" t="s">
        <v>817</v>
      </c>
      <c r="B959" s="5">
        <v>44435.9597354121</v>
      </c>
      <c r="C959" s="5">
        <v>44437.2236702062</v>
      </c>
      <c r="D959" s="4" t="s">
        <v>94</v>
      </c>
      <c r="E959" s="4" t="s">
        <v>140</v>
      </c>
      <c r="F959" s="4" t="s">
        <v>109</v>
      </c>
      <c r="G959" s="4">
        <f t="shared" ca="1" si="14"/>
        <v>75</v>
      </c>
      <c r="H959" s="4">
        <v>6</v>
      </c>
    </row>
    <row r="960" spans="1:8" ht="15.6">
      <c r="A960" s="4" t="s">
        <v>818</v>
      </c>
      <c r="B960" s="5">
        <v>44957.072251354199</v>
      </c>
      <c r="C960" s="5">
        <v>44957.999659633897</v>
      </c>
      <c r="D960" s="4" t="s">
        <v>94</v>
      </c>
      <c r="E960" s="4" t="s">
        <v>239</v>
      </c>
      <c r="F960" s="4" t="s">
        <v>135</v>
      </c>
      <c r="G960" s="4">
        <f t="shared" ca="1" si="14"/>
        <v>95</v>
      </c>
      <c r="H960" s="4">
        <v>3</v>
      </c>
    </row>
    <row r="961" spans="1:8" ht="15.6">
      <c r="A961" s="4" t="s">
        <v>819</v>
      </c>
      <c r="B961" s="5">
        <v>44849.627435547998</v>
      </c>
      <c r="C961" s="5">
        <v>44853.7231769344</v>
      </c>
      <c r="D961" s="4" t="s">
        <v>98</v>
      </c>
      <c r="E961" s="4" t="s">
        <v>152</v>
      </c>
      <c r="F961" s="4" t="s">
        <v>131</v>
      </c>
      <c r="G961" s="4">
        <f t="shared" ca="1" si="14"/>
        <v>69</v>
      </c>
      <c r="H961" s="4">
        <v>3</v>
      </c>
    </row>
    <row r="962" spans="1:8" ht="15.6">
      <c r="A962" s="4" t="s">
        <v>820</v>
      </c>
      <c r="B962" s="5">
        <v>44900.8886762525</v>
      </c>
      <c r="C962" s="5">
        <v>44903.607592488101</v>
      </c>
      <c r="D962" s="4" t="s">
        <v>94</v>
      </c>
      <c r="E962" s="4" t="s">
        <v>533</v>
      </c>
      <c r="F962" s="4" t="s">
        <v>121</v>
      </c>
      <c r="G962" s="4">
        <f t="shared" ref="G962:G999" ca="1" si="15">RANDBETWEEN(10,100)</f>
        <v>79</v>
      </c>
      <c r="H962" s="4">
        <v>4</v>
      </c>
    </row>
    <row r="963" spans="1:8" ht="15.6">
      <c r="A963" s="4" t="s">
        <v>821</v>
      </c>
      <c r="B963" s="5">
        <v>44806.251666976299</v>
      </c>
      <c r="C963" s="5">
        <v>44811.149119774302</v>
      </c>
      <c r="D963" s="4" t="s">
        <v>94</v>
      </c>
      <c r="E963" s="4" t="s">
        <v>160</v>
      </c>
      <c r="F963" s="4" t="s">
        <v>141</v>
      </c>
      <c r="G963" s="4">
        <f t="shared" ca="1" si="15"/>
        <v>95</v>
      </c>
      <c r="H963" s="4">
        <v>9</v>
      </c>
    </row>
    <row r="964" spans="1:8" ht="15.6">
      <c r="A964" s="4" t="s">
        <v>822</v>
      </c>
      <c r="B964" s="5">
        <v>44305.203311443103</v>
      </c>
      <c r="C964" s="5">
        <v>44311.4978077669</v>
      </c>
      <c r="D964" s="4" t="s">
        <v>98</v>
      </c>
      <c r="E964" s="4" t="s">
        <v>127</v>
      </c>
      <c r="F964" s="4" t="s">
        <v>125</v>
      </c>
      <c r="G964" s="4">
        <f t="shared" ca="1" si="15"/>
        <v>30</v>
      </c>
      <c r="H964" s="4">
        <v>5</v>
      </c>
    </row>
    <row r="965" spans="1:8" ht="15.6">
      <c r="A965" s="4" t="s">
        <v>822</v>
      </c>
      <c r="B965" s="5">
        <v>44305.458864439002</v>
      </c>
      <c r="C965" s="5">
        <v>44311.867861192302</v>
      </c>
      <c r="D965" s="4" t="s">
        <v>98</v>
      </c>
      <c r="E965" s="4" t="s">
        <v>127</v>
      </c>
      <c r="F965" s="4" t="s">
        <v>122</v>
      </c>
      <c r="G965" s="4">
        <f t="shared" ca="1" si="15"/>
        <v>66</v>
      </c>
      <c r="H965" s="4">
        <v>6</v>
      </c>
    </row>
    <row r="966" spans="1:8" ht="15.6">
      <c r="A966" s="4" t="s">
        <v>822</v>
      </c>
      <c r="B966" s="5">
        <v>44305.087991692199</v>
      </c>
      <c r="C966" s="5">
        <v>44311.7359106367</v>
      </c>
      <c r="D966" s="4" t="s">
        <v>98</v>
      </c>
      <c r="E966" s="4" t="s">
        <v>127</v>
      </c>
      <c r="F966" s="4" t="s">
        <v>110</v>
      </c>
      <c r="G966" s="4">
        <f t="shared" ca="1" si="15"/>
        <v>48</v>
      </c>
      <c r="H966" s="4">
        <v>3</v>
      </c>
    </row>
    <row r="967" spans="1:8" ht="15.6">
      <c r="A967" s="4" t="s">
        <v>822</v>
      </c>
      <c r="B967" s="5">
        <v>44305.2943246668</v>
      </c>
      <c r="C967" s="5">
        <v>44311.069875662797</v>
      </c>
      <c r="D967" s="4" t="s">
        <v>98</v>
      </c>
      <c r="E967" s="4" t="s">
        <v>127</v>
      </c>
      <c r="F967" s="4" t="s">
        <v>106</v>
      </c>
      <c r="G967" s="4">
        <f t="shared" ca="1" si="15"/>
        <v>46</v>
      </c>
      <c r="H967" s="4">
        <v>12</v>
      </c>
    </row>
    <row r="968" spans="1:8" ht="15.6">
      <c r="A968" s="4" t="s">
        <v>822</v>
      </c>
      <c r="B968" s="5">
        <v>44305.006598296502</v>
      </c>
      <c r="C968" s="5">
        <v>44311.577547270397</v>
      </c>
      <c r="D968" s="4" t="s">
        <v>98</v>
      </c>
      <c r="E968" s="4" t="s">
        <v>127</v>
      </c>
      <c r="F968" s="4" t="s">
        <v>122</v>
      </c>
      <c r="G968" s="4">
        <f t="shared" ca="1" si="15"/>
        <v>10</v>
      </c>
      <c r="H968" s="4">
        <v>4</v>
      </c>
    </row>
    <row r="969" spans="1:8" ht="15.6">
      <c r="A969" s="4" t="s">
        <v>822</v>
      </c>
      <c r="B969" s="5">
        <v>44305.707227208601</v>
      </c>
      <c r="C969" s="5">
        <v>44311.5475896391</v>
      </c>
      <c r="D969" s="4" t="s">
        <v>98</v>
      </c>
      <c r="E969" s="4" t="s">
        <v>127</v>
      </c>
      <c r="F969" s="4" t="s">
        <v>141</v>
      </c>
      <c r="G969" s="4">
        <f t="shared" ca="1" si="15"/>
        <v>78</v>
      </c>
      <c r="H969" s="4">
        <v>2</v>
      </c>
    </row>
    <row r="970" spans="1:8" ht="15.6">
      <c r="A970" s="4" t="s">
        <v>823</v>
      </c>
      <c r="B970" s="5">
        <v>44997.466653371201</v>
      </c>
      <c r="C970" s="5">
        <v>45002.523685364104</v>
      </c>
      <c r="D970" s="4" t="s">
        <v>114</v>
      </c>
      <c r="E970" s="4" t="s">
        <v>824</v>
      </c>
      <c r="F970" s="4" t="s">
        <v>106</v>
      </c>
      <c r="G970" s="4">
        <f t="shared" ca="1" si="15"/>
        <v>47</v>
      </c>
      <c r="H970" s="4">
        <v>7</v>
      </c>
    </row>
    <row r="971" spans="1:8" ht="15.6">
      <c r="A971" s="4" t="s">
        <v>825</v>
      </c>
      <c r="B971" s="5">
        <v>44704.908889342601</v>
      </c>
      <c r="C971" s="5">
        <v>44708.051106806801</v>
      </c>
      <c r="D971" s="4" t="s">
        <v>114</v>
      </c>
      <c r="E971" s="4" t="s">
        <v>197</v>
      </c>
      <c r="F971" s="4" t="s">
        <v>110</v>
      </c>
      <c r="G971" s="4">
        <f t="shared" ca="1" si="15"/>
        <v>14</v>
      </c>
      <c r="H971" s="4">
        <v>5</v>
      </c>
    </row>
    <row r="972" spans="1:8" ht="15.6">
      <c r="A972" s="4" t="s">
        <v>825</v>
      </c>
      <c r="B972" s="5">
        <v>44704.057402500897</v>
      </c>
      <c r="C972" s="5">
        <v>44708.709706817303</v>
      </c>
      <c r="D972" s="4" t="s">
        <v>114</v>
      </c>
      <c r="E972" s="4" t="s">
        <v>197</v>
      </c>
      <c r="F972" s="4" t="s">
        <v>131</v>
      </c>
      <c r="G972" s="4">
        <f t="shared" ca="1" si="15"/>
        <v>19</v>
      </c>
      <c r="H972" s="4">
        <v>2</v>
      </c>
    </row>
    <row r="973" spans="1:8" ht="15.6">
      <c r="A973" s="4" t="s">
        <v>826</v>
      </c>
      <c r="B973" s="5">
        <v>44899.395104919597</v>
      </c>
      <c r="C973" s="5">
        <v>44901.430799803602</v>
      </c>
      <c r="D973" s="4" t="s">
        <v>94</v>
      </c>
      <c r="E973" s="4" t="s">
        <v>127</v>
      </c>
      <c r="F973" s="4" t="s">
        <v>106</v>
      </c>
      <c r="G973" s="4">
        <f t="shared" ca="1" si="15"/>
        <v>71</v>
      </c>
      <c r="H973" s="4">
        <v>5</v>
      </c>
    </row>
    <row r="974" spans="1:8" ht="15.6">
      <c r="A974" s="4" t="s">
        <v>827</v>
      </c>
      <c r="B974" s="5">
        <v>44308.1208268669</v>
      </c>
      <c r="C974" s="5">
        <v>44312.628700178902</v>
      </c>
      <c r="D974" s="4" t="s">
        <v>98</v>
      </c>
      <c r="E974" s="4" t="s">
        <v>828</v>
      </c>
      <c r="F974" s="4" t="s">
        <v>106</v>
      </c>
      <c r="G974" s="4">
        <f t="shared" ca="1" si="15"/>
        <v>39</v>
      </c>
      <c r="H974" s="4">
        <v>4</v>
      </c>
    </row>
    <row r="975" spans="1:8" ht="15.6">
      <c r="A975" s="4" t="s">
        <v>829</v>
      </c>
      <c r="B975" s="5">
        <v>44800.531927660602</v>
      </c>
      <c r="C975" s="5">
        <v>44803.713480020699</v>
      </c>
      <c r="D975" s="4" t="s">
        <v>98</v>
      </c>
      <c r="E975" s="4" t="s">
        <v>160</v>
      </c>
      <c r="F975" s="4" t="s">
        <v>106</v>
      </c>
      <c r="G975" s="4">
        <f t="shared" ca="1" si="15"/>
        <v>16</v>
      </c>
      <c r="H975" s="4">
        <v>2</v>
      </c>
    </row>
    <row r="976" spans="1:8" ht="15.6">
      <c r="A976" s="4" t="s">
        <v>829</v>
      </c>
      <c r="B976" s="5">
        <v>44800.179187572699</v>
      </c>
      <c r="C976" s="5">
        <v>44803.566327009299</v>
      </c>
      <c r="D976" s="4" t="s">
        <v>98</v>
      </c>
      <c r="E976" s="4" t="s">
        <v>160</v>
      </c>
      <c r="F976" s="4" t="s">
        <v>135</v>
      </c>
      <c r="G976" s="4">
        <f t="shared" ca="1" si="15"/>
        <v>32</v>
      </c>
      <c r="H976" s="4">
        <v>3</v>
      </c>
    </row>
    <row r="977" spans="1:8" ht="15.6">
      <c r="A977" s="4" t="s">
        <v>830</v>
      </c>
      <c r="B977" s="5">
        <v>44476.997724060697</v>
      </c>
      <c r="C977" s="5">
        <v>44480.196966699201</v>
      </c>
      <c r="D977" s="4" t="s">
        <v>98</v>
      </c>
      <c r="E977" s="4" t="s">
        <v>127</v>
      </c>
      <c r="F977" s="4" t="s">
        <v>100</v>
      </c>
      <c r="G977" s="4">
        <f t="shared" ca="1" si="15"/>
        <v>82</v>
      </c>
      <c r="H977" s="4">
        <v>2</v>
      </c>
    </row>
    <row r="978" spans="1:8" ht="15.6">
      <c r="A978" s="4" t="s">
        <v>830</v>
      </c>
      <c r="B978" s="5">
        <v>44476.9360624373</v>
      </c>
      <c r="C978" s="5">
        <v>44480.7175488516</v>
      </c>
      <c r="D978" s="4" t="s">
        <v>98</v>
      </c>
      <c r="E978" s="4" t="s">
        <v>127</v>
      </c>
      <c r="F978" s="4" t="s">
        <v>141</v>
      </c>
      <c r="G978" s="4">
        <f t="shared" ca="1" si="15"/>
        <v>73</v>
      </c>
      <c r="H978" s="4">
        <v>3</v>
      </c>
    </row>
    <row r="979" spans="1:8" ht="15.6">
      <c r="A979" s="4" t="s">
        <v>831</v>
      </c>
      <c r="B979" s="5">
        <v>45289.526225439702</v>
      </c>
      <c r="C979" s="5">
        <v>44562.800880072697</v>
      </c>
      <c r="D979" s="4" t="s">
        <v>94</v>
      </c>
      <c r="E979" s="4" t="s">
        <v>164</v>
      </c>
      <c r="F979" s="4" t="s">
        <v>111</v>
      </c>
      <c r="G979" s="4">
        <f t="shared" ca="1" si="15"/>
        <v>60</v>
      </c>
      <c r="H979" s="4">
        <v>1</v>
      </c>
    </row>
    <row r="980" spans="1:8" ht="15.6">
      <c r="A980" s="4" t="s">
        <v>831</v>
      </c>
      <c r="B980" s="5">
        <v>45289.217795852899</v>
      </c>
      <c r="C980" s="5">
        <v>44562.925283901299</v>
      </c>
      <c r="D980" s="4" t="s">
        <v>94</v>
      </c>
      <c r="E980" s="4" t="s">
        <v>164</v>
      </c>
      <c r="F980" s="4" t="s">
        <v>96</v>
      </c>
      <c r="G980" s="4">
        <f t="shared" ca="1" si="15"/>
        <v>66</v>
      </c>
      <c r="H980" s="4">
        <v>9</v>
      </c>
    </row>
    <row r="981" spans="1:8" ht="15.6">
      <c r="A981" s="4" t="s">
        <v>832</v>
      </c>
      <c r="B981" s="5">
        <v>44747.585048936198</v>
      </c>
      <c r="C981" s="5">
        <v>44750.0767419412</v>
      </c>
      <c r="D981" s="4" t="s">
        <v>98</v>
      </c>
      <c r="E981" s="4" t="s">
        <v>361</v>
      </c>
      <c r="F981" s="4" t="s">
        <v>101</v>
      </c>
      <c r="G981" s="4">
        <f t="shared" ca="1" si="15"/>
        <v>21</v>
      </c>
      <c r="H981" s="4">
        <v>7</v>
      </c>
    </row>
    <row r="982" spans="1:8" ht="15.6">
      <c r="A982" s="4" t="s">
        <v>833</v>
      </c>
      <c r="B982" s="5">
        <v>44509.723722772796</v>
      </c>
      <c r="C982" s="5">
        <v>44513.711531458699</v>
      </c>
      <c r="D982" s="4" t="s">
        <v>94</v>
      </c>
      <c r="E982" s="4" t="s">
        <v>834</v>
      </c>
      <c r="F982" s="4" t="s">
        <v>106</v>
      </c>
      <c r="G982" s="4">
        <f t="shared" ca="1" si="15"/>
        <v>62</v>
      </c>
      <c r="H982" s="4">
        <v>2</v>
      </c>
    </row>
    <row r="983" spans="1:8" ht="15.6">
      <c r="A983" s="4" t="s">
        <v>835</v>
      </c>
      <c r="B983" s="5">
        <v>45173.3243997194</v>
      </c>
      <c r="C983" s="5">
        <v>45178.3555396054</v>
      </c>
      <c r="D983" s="4" t="s">
        <v>98</v>
      </c>
      <c r="E983" s="4" t="s">
        <v>164</v>
      </c>
      <c r="F983" s="4" t="s">
        <v>96</v>
      </c>
      <c r="G983" s="4">
        <f t="shared" ca="1" si="15"/>
        <v>10</v>
      </c>
      <c r="H983" s="4">
        <v>5</v>
      </c>
    </row>
    <row r="984" spans="1:8" ht="15.6">
      <c r="A984" s="4" t="s">
        <v>835</v>
      </c>
      <c r="B984" s="5">
        <v>45173.484541993501</v>
      </c>
      <c r="C984" s="5">
        <v>45178.568235622202</v>
      </c>
      <c r="D984" s="4" t="s">
        <v>98</v>
      </c>
      <c r="E984" s="4" t="s">
        <v>164</v>
      </c>
      <c r="F984" s="4" t="s">
        <v>125</v>
      </c>
      <c r="G984" s="4">
        <f t="shared" ca="1" si="15"/>
        <v>86</v>
      </c>
      <c r="H984" s="4">
        <v>2</v>
      </c>
    </row>
    <row r="985" spans="1:8" ht="15.6">
      <c r="A985" s="4" t="s">
        <v>836</v>
      </c>
      <c r="B985" s="5">
        <v>44611.801869419498</v>
      </c>
      <c r="C985" s="5">
        <v>44615.006418574798</v>
      </c>
      <c r="D985" s="4" t="s">
        <v>98</v>
      </c>
      <c r="E985" s="4" t="s">
        <v>279</v>
      </c>
      <c r="F985" s="4" t="s">
        <v>131</v>
      </c>
      <c r="G985" s="4">
        <f t="shared" ca="1" si="15"/>
        <v>66</v>
      </c>
      <c r="H985" s="4">
        <v>2</v>
      </c>
    </row>
    <row r="986" spans="1:8" ht="15.6">
      <c r="A986" s="4" t="s">
        <v>836</v>
      </c>
      <c r="B986" s="5">
        <v>44611.842243998202</v>
      </c>
      <c r="C986" s="5">
        <v>44615.587390968802</v>
      </c>
      <c r="D986" s="4" t="s">
        <v>98</v>
      </c>
      <c r="E986" s="4" t="s">
        <v>279</v>
      </c>
      <c r="F986" s="4" t="s">
        <v>96</v>
      </c>
      <c r="G986" s="4">
        <f t="shared" ca="1" si="15"/>
        <v>23</v>
      </c>
      <c r="H986" s="4">
        <v>5</v>
      </c>
    </row>
    <row r="987" spans="1:8" ht="15.6">
      <c r="A987" s="4" t="s">
        <v>836</v>
      </c>
      <c r="B987" s="5">
        <v>44611.853322721698</v>
      </c>
      <c r="C987" s="5">
        <v>44615.327369518403</v>
      </c>
      <c r="D987" s="4" t="s">
        <v>98</v>
      </c>
      <c r="E987" s="4" t="s">
        <v>279</v>
      </c>
      <c r="F987" s="4" t="s">
        <v>141</v>
      </c>
      <c r="G987" s="4">
        <f t="shared" ca="1" si="15"/>
        <v>70</v>
      </c>
      <c r="H987" s="4">
        <v>6</v>
      </c>
    </row>
    <row r="988" spans="1:8" ht="15.6">
      <c r="A988" s="4" t="s">
        <v>836</v>
      </c>
      <c r="B988" s="5">
        <v>44611.2043169553</v>
      </c>
      <c r="C988" s="5">
        <v>44615.4739160026</v>
      </c>
      <c r="D988" s="4" t="s">
        <v>98</v>
      </c>
      <c r="E988" s="4" t="s">
        <v>279</v>
      </c>
      <c r="F988" s="4" t="s">
        <v>130</v>
      </c>
      <c r="G988" s="4">
        <f t="shared" ca="1" si="15"/>
        <v>25</v>
      </c>
      <c r="H988" s="4">
        <v>4</v>
      </c>
    </row>
    <row r="989" spans="1:8" ht="15.6">
      <c r="A989" s="4" t="s">
        <v>837</v>
      </c>
      <c r="B989" s="5">
        <v>44229.163221725699</v>
      </c>
      <c r="C989" s="5">
        <v>44233.7437907821</v>
      </c>
      <c r="D989" s="4" t="s">
        <v>94</v>
      </c>
      <c r="E989" s="4" t="s">
        <v>804</v>
      </c>
      <c r="F989" s="4" t="s">
        <v>122</v>
      </c>
      <c r="G989" s="4">
        <f t="shared" ca="1" si="15"/>
        <v>34</v>
      </c>
      <c r="H989" s="4">
        <v>2</v>
      </c>
    </row>
    <row r="990" spans="1:8" ht="15.6">
      <c r="A990" s="4" t="s">
        <v>837</v>
      </c>
      <c r="B990" s="5">
        <v>44229.250319453597</v>
      </c>
      <c r="C990" s="5">
        <v>44233.672820262</v>
      </c>
      <c r="D990" s="4" t="s">
        <v>94</v>
      </c>
      <c r="E990" s="4" t="s">
        <v>804</v>
      </c>
      <c r="F990" s="4" t="s">
        <v>135</v>
      </c>
      <c r="G990" s="4">
        <f t="shared" ca="1" si="15"/>
        <v>60</v>
      </c>
      <c r="H990" s="4">
        <v>6</v>
      </c>
    </row>
    <row r="991" spans="1:8" ht="15.6">
      <c r="A991" s="4" t="s">
        <v>837</v>
      </c>
      <c r="B991" s="5">
        <v>44229.255598250798</v>
      </c>
      <c r="C991" s="5">
        <v>44233.2441452516</v>
      </c>
      <c r="D991" s="4" t="s">
        <v>94</v>
      </c>
      <c r="E991" s="4" t="s">
        <v>804</v>
      </c>
      <c r="F991" s="4" t="s">
        <v>101</v>
      </c>
      <c r="G991" s="4">
        <f t="shared" ca="1" si="15"/>
        <v>58</v>
      </c>
      <c r="H991" s="4">
        <v>1</v>
      </c>
    </row>
    <row r="992" spans="1:8" ht="15.6">
      <c r="A992" s="4" t="s">
        <v>838</v>
      </c>
      <c r="B992" s="5">
        <v>45056.802500902399</v>
      </c>
      <c r="C992" s="5">
        <v>45058.039947534198</v>
      </c>
      <c r="D992" s="4" t="s">
        <v>98</v>
      </c>
      <c r="E992" s="4" t="s">
        <v>230</v>
      </c>
      <c r="F992" s="4" t="s">
        <v>112</v>
      </c>
      <c r="G992" s="4">
        <f t="shared" ca="1" si="15"/>
        <v>48</v>
      </c>
      <c r="H992" s="4">
        <v>5</v>
      </c>
    </row>
    <row r="993" spans="1:8" ht="15.6">
      <c r="A993" s="4" t="s">
        <v>839</v>
      </c>
      <c r="B993" s="5">
        <v>45114.5876264299</v>
      </c>
      <c r="C993" s="5">
        <v>45116.181074605702</v>
      </c>
      <c r="D993" s="4" t="s">
        <v>98</v>
      </c>
      <c r="E993" s="4" t="s">
        <v>258</v>
      </c>
      <c r="F993" s="4" t="s">
        <v>118</v>
      </c>
      <c r="G993" s="4">
        <f t="shared" ca="1" si="15"/>
        <v>77</v>
      </c>
      <c r="H993" s="4">
        <v>2</v>
      </c>
    </row>
    <row r="994" spans="1:8" ht="15.6">
      <c r="A994" s="4" t="s">
        <v>840</v>
      </c>
      <c r="B994" s="5">
        <v>45209.119270844902</v>
      </c>
      <c r="C994" s="5">
        <v>45210.691139639297</v>
      </c>
      <c r="D994" s="4" t="s">
        <v>94</v>
      </c>
      <c r="E994" s="4" t="s">
        <v>841</v>
      </c>
      <c r="F994" s="4" t="s">
        <v>96</v>
      </c>
      <c r="G994" s="4">
        <f t="shared" ca="1" si="15"/>
        <v>10</v>
      </c>
      <c r="H994" s="4">
        <v>3</v>
      </c>
    </row>
    <row r="995" spans="1:8" ht="15.6">
      <c r="A995" s="4" t="s">
        <v>842</v>
      </c>
      <c r="B995" s="5">
        <v>44752.577795301397</v>
      </c>
      <c r="C995" s="5">
        <v>44755.296439142403</v>
      </c>
      <c r="D995" s="4" t="s">
        <v>98</v>
      </c>
      <c r="E995" s="4" t="s">
        <v>500</v>
      </c>
      <c r="F995" s="4" t="s">
        <v>112</v>
      </c>
      <c r="G995" s="4">
        <f t="shared" ca="1" si="15"/>
        <v>29</v>
      </c>
      <c r="H995" s="4">
        <v>3</v>
      </c>
    </row>
    <row r="996" spans="1:8" ht="15.6">
      <c r="A996" s="4" t="s">
        <v>842</v>
      </c>
      <c r="B996" s="5">
        <v>44752.183766154303</v>
      </c>
      <c r="C996" s="5">
        <v>44755.876914023604</v>
      </c>
      <c r="D996" s="4" t="s">
        <v>98</v>
      </c>
      <c r="E996" s="4" t="s">
        <v>500</v>
      </c>
      <c r="F996" s="4" t="s">
        <v>135</v>
      </c>
      <c r="G996" s="4">
        <f t="shared" ca="1" si="15"/>
        <v>16</v>
      </c>
      <c r="H996" s="4">
        <v>4</v>
      </c>
    </row>
    <row r="997" spans="1:8" ht="15.6">
      <c r="A997" s="4" t="s">
        <v>842</v>
      </c>
      <c r="B997" s="5">
        <v>44752.995237392402</v>
      </c>
      <c r="C997" s="5">
        <v>44755.331483182803</v>
      </c>
      <c r="D997" s="4" t="s">
        <v>98</v>
      </c>
      <c r="E997" s="4" t="s">
        <v>500</v>
      </c>
      <c r="F997" s="4" t="s">
        <v>122</v>
      </c>
      <c r="G997" s="4">
        <f t="shared" ca="1" si="15"/>
        <v>55</v>
      </c>
      <c r="H997" s="4">
        <v>2</v>
      </c>
    </row>
    <row r="998" spans="1:8" ht="15.6">
      <c r="A998" s="4" t="s">
        <v>843</v>
      </c>
      <c r="B998" s="5">
        <v>44396.254694849304</v>
      </c>
      <c r="C998" s="5">
        <v>44402.3904090777</v>
      </c>
      <c r="D998" s="4" t="s">
        <v>94</v>
      </c>
      <c r="E998" s="4" t="s">
        <v>844</v>
      </c>
      <c r="F998" s="4" t="s">
        <v>96</v>
      </c>
      <c r="G998" s="4">
        <f t="shared" ca="1" si="15"/>
        <v>20</v>
      </c>
      <c r="H998" s="4">
        <v>3</v>
      </c>
    </row>
    <row r="999" spans="1:8" ht="15.6">
      <c r="A999" s="4" t="s">
        <v>845</v>
      </c>
      <c r="B999" s="5">
        <v>44602.142746062302</v>
      </c>
      <c r="C999" s="5">
        <v>44607.6324212861</v>
      </c>
      <c r="D999" s="4" t="s">
        <v>98</v>
      </c>
      <c r="E999" s="4" t="s">
        <v>444</v>
      </c>
      <c r="F999" s="4" t="s">
        <v>135</v>
      </c>
      <c r="G999" s="4">
        <f t="shared" ca="1" si="15"/>
        <v>34</v>
      </c>
      <c r="H999" s="4">
        <v>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2941D1-EAA3-4ED8-AE55-0FC1575810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1，表格设计</vt:lpstr>
      <vt:lpstr>2，成绩单计算</vt:lpstr>
      <vt:lpstr>3，数据清洗</vt:lpstr>
      <vt:lpstr>4，统计</vt:lpstr>
      <vt:lpstr>5，透视基础应用(图片)</vt:lpstr>
      <vt:lpstr>5，透视基础应用(透视表)</vt:lpstr>
      <vt:lpstr>6，图表</vt:lpstr>
      <vt:lpstr>英语成绩</vt:lpstr>
      <vt:lpstr>地区表</vt:lpstr>
      <vt:lpstr>透视表数据源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AnonOby</cp:lastModifiedBy>
  <cp:lastPrinted>2026-01-15T12:59:56Z</cp:lastPrinted>
  <dcterms:created xsi:type="dcterms:W3CDTF">2025-02-18T07:44:00Z</dcterms:created>
  <dcterms:modified xsi:type="dcterms:W3CDTF">2026-01-19T21:22:07Z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1DA7698A430F414FB61C1B69D32EA074_11</vt:lpwstr>
  </property>
  <property fmtid="{D5CDD505-2E9C-101B-9397-08002B2CF9AE}" pid="3" name="KSOProductBuildVer">
    <vt:lpwstr>2052-12.1.0.20784</vt:lpwstr>
  </property>
  <property fmtid="{D5CDD505-2E9C-101B-9397-08002B2CF9AE}" pid="4" name="MSIP_Label_defa4170-0d19-0005-0004-bc88714345d2_Enabled">
    <vt:lpwstr>true</vt:lpwstr>
  </property>
  <property fmtid="{D5CDD505-2E9C-101B-9397-08002B2CF9AE}" pid="5" name="MSIP_Label_defa4170-0d19-0005-0004-bc88714345d2_SetDate">
    <vt:lpwstr>2026-01-10T17:40:27Z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af34c073-0778-4a9e-aa79-c792953fa2b8</vt:lpwstr>
  </property>
  <property fmtid="{D5CDD505-2E9C-101B-9397-08002B2CF9AE}" pid="9" name="MSIP_Label_defa4170-0d19-0005-0004-bc88714345d2_ActionId">
    <vt:lpwstr>bd92067d-364c-40a5-9e87-4045783cf144</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